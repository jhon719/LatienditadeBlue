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" sheetId="1" r:id="rId4"/>
    <sheet state="visible" name="ADQUISICIONES" sheetId="2" r:id="rId5"/>
    <sheet state="visible" name="Hoja 5" sheetId="3" r:id="rId6"/>
    <sheet state="hidden" name="CUENTAS 2025" sheetId="4" r:id="rId7"/>
    <sheet state="visible" name="CUENTAS 2026" sheetId="5" r:id="rId8"/>
    <sheet state="visible" name="PREVENTAS" sheetId="6" r:id="rId9"/>
  </sheets>
  <definedNames>
    <definedName hidden="1" localSheetId="0" name="_xlnm._FilterDatabase">CODIGOS!$A$1:$K$45</definedName>
    <definedName hidden="1" localSheetId="1" name="_xlnm._FilterDatabase">ADQUISICIONES!$A$2:$P$193</definedName>
    <definedName hidden="1" localSheetId="3" name="_xlnm._FilterDatabase">'CUENTAS 2025'!$A$2:$L$523</definedName>
    <definedName hidden="1" localSheetId="4" name="_xlnm._FilterDatabase">'CUENTAS 2026'!$A$2:$M$630</definedName>
    <definedName hidden="1" localSheetId="5" name="_xlnm._FilterDatabase">PREVENTAS!$A$1:$G$72</definedName>
  </definedNames>
  <calcPr/>
  <extLst>
    <ext uri="GoogleSheetsCustomDataVersion2">
      <go:sheetsCustomData xmlns:go="http://customooxmlschemas.google.com/" r:id="rId10" roundtripDataChecksum="YeDQlv6oj4pUqlPA/Pyt4rNrncePEy8loXJOLrwtwNY="/>
    </ext>
  </extLst>
</workbook>
</file>

<file path=xl/sharedStrings.xml><?xml version="1.0" encoding="utf-8"?>
<sst xmlns="http://schemas.openxmlformats.org/spreadsheetml/2006/main" count="5461" uniqueCount="1435">
  <si>
    <t>CAJA</t>
  </si>
  <si>
    <t>ENVIO</t>
  </si>
  <si>
    <t>MONTO</t>
  </si>
  <si>
    <t>PESO</t>
  </si>
  <si>
    <t>ADUANA</t>
  </si>
  <si>
    <t>IMPUESTO</t>
  </si>
  <si>
    <t>CODIGO</t>
  </si>
  <si>
    <t>ESTADO</t>
  </si>
  <si>
    <t>FECHA ENVIO</t>
  </si>
  <si>
    <t>FECHA LLEGADA</t>
  </si>
  <si>
    <t>FECHA ESTIMADA</t>
  </si>
  <si>
    <t>IMPUESTO PAGADO</t>
  </si>
  <si>
    <r>
      <rPr>
        <color rgb="FF1155CC"/>
        <u/>
      </rPr>
      <t>CN110167833JP</t>
    </r>
  </si>
  <si>
    <r>
      <rPr>
        <color rgb="FF1155CC"/>
        <u/>
      </rPr>
      <t>CN110110051JP</t>
    </r>
  </si>
  <si>
    <r>
      <rPr>
        <color rgb="FF1155CC"/>
        <u/>
      </rPr>
      <t>CN110593867JP</t>
    </r>
  </si>
  <si>
    <r>
      <rPr>
        <color rgb="FF1155CC"/>
        <u/>
      </rPr>
      <t>CN110868218JP</t>
    </r>
  </si>
  <si>
    <r>
      <rPr>
        <color rgb="FF1155CC"/>
        <u/>
      </rPr>
      <t>CN111297287JP</t>
    </r>
  </si>
  <si>
    <r>
      <rPr>
        <color rgb="FF1155CC"/>
        <u/>
      </rPr>
      <t>CN111293682JP</t>
    </r>
  </si>
  <si>
    <r>
      <rPr>
        <color rgb="FF1155CC"/>
        <u/>
      </rPr>
      <t>RN096695531JP</t>
    </r>
  </si>
  <si>
    <r>
      <rPr>
        <color rgb="FF1155CC"/>
        <u/>
      </rPr>
      <t>CN111980519JP</t>
    </r>
  </si>
  <si>
    <r>
      <rPr>
        <color rgb="FF1155CC"/>
        <u/>
      </rPr>
      <t>CN112866696JP</t>
    </r>
  </si>
  <si>
    <r>
      <rPr>
        <color rgb="FF1155CC"/>
        <u/>
      </rPr>
      <t>CN112692350JP</t>
    </r>
  </si>
  <si>
    <r>
      <rPr>
        <color rgb="FF1155CC"/>
        <u/>
      </rPr>
      <t>CN112966915JP</t>
    </r>
  </si>
  <si>
    <r>
      <rPr>
        <color rgb="FF1155CC"/>
        <u/>
      </rPr>
      <t>CN113022594JP</t>
    </r>
  </si>
  <si>
    <r>
      <rPr>
        <color rgb="FF1155CC"/>
        <u/>
      </rPr>
      <t>CN112745313JP</t>
    </r>
  </si>
  <si>
    <r>
      <rPr>
        <color rgb="FF1155CC"/>
        <u/>
      </rPr>
      <t>CN113018056JP</t>
    </r>
  </si>
  <si>
    <r>
      <rPr>
        <color rgb="FF1155CC"/>
        <u/>
      </rPr>
      <t>CN113076028JP</t>
    </r>
  </si>
  <si>
    <t>CN116170521JP</t>
  </si>
  <si>
    <r>
      <rPr>
        <color rgb="FF1155CC"/>
        <u/>
      </rPr>
      <t>CN112880698JP</t>
    </r>
  </si>
  <si>
    <r>
      <rPr>
        <color rgb="FF1155CC"/>
        <u/>
      </rPr>
      <t>CN115461531JP</t>
    </r>
  </si>
  <si>
    <t>FABRIZIO</t>
  </si>
  <si>
    <r>
      <rPr>
        <color rgb="FF1155CC"/>
        <u/>
      </rPr>
      <t>CN115298685JP</t>
    </r>
  </si>
  <si>
    <t>JENNI</t>
  </si>
  <si>
    <r>
      <rPr>
        <color rgb="FF1155CC"/>
        <u/>
      </rPr>
      <t>CN115427708JP</t>
    </r>
  </si>
  <si>
    <r>
      <rPr>
        <color rgb="FF1155CC"/>
        <u/>
      </rPr>
      <t>CN115756315JP</t>
    </r>
  </si>
  <si>
    <r>
      <rPr>
        <u/>
      </rPr>
      <t>CN116091585JP</t>
    </r>
  </si>
  <si>
    <t>CN116096826JP</t>
  </si>
  <si>
    <r>
      <rPr>
        <color rgb="FF1155CC"/>
        <u/>
      </rPr>
      <t>CN116147531JP</t>
    </r>
  </si>
  <si>
    <t>ALEX</t>
  </si>
  <si>
    <r>
      <rPr>
        <color rgb="FF1155CC"/>
        <u/>
      </rPr>
      <t>CN116170521JP</t>
    </r>
  </si>
  <si>
    <r>
      <rPr>
        <color rgb="FF1155CC"/>
        <u/>
      </rPr>
      <t>CN116172995JP</t>
    </r>
  </si>
  <si>
    <r>
      <rPr>
        <color rgb="FF1155CC"/>
        <u/>
      </rPr>
      <t>CN116006975JP</t>
    </r>
  </si>
  <si>
    <r>
      <rPr>
        <color rgb="FF1155CC"/>
        <u/>
      </rPr>
      <t>CN118380783JP</t>
    </r>
  </si>
  <si>
    <r>
      <rPr>
        <color rgb="FF1155CC"/>
        <u/>
      </rPr>
      <t>CN118380633JP</t>
    </r>
  </si>
  <si>
    <r>
      <rPr>
        <color rgb="FF1155CC"/>
        <u/>
      </rPr>
      <t>CN119371712JP</t>
    </r>
  </si>
  <si>
    <r>
      <rPr>
        <color rgb="FF1155CC"/>
        <u/>
      </rPr>
      <t>CN120084696JP</t>
    </r>
  </si>
  <si>
    <r>
      <rPr>
        <color rgb="FF1155CC"/>
        <u/>
      </rPr>
      <t>CN119974797JP</t>
    </r>
  </si>
  <si>
    <r>
      <rPr>
        <color rgb="FF1155CC"/>
        <u/>
      </rPr>
      <t>CN119698666JP</t>
    </r>
  </si>
  <si>
    <r>
      <rPr>
        <color rgb="FF1155CC"/>
        <u/>
      </rPr>
      <t>CN119981135JP</t>
    </r>
  </si>
  <si>
    <r>
      <rPr>
        <color rgb="FF1155CC"/>
        <u/>
      </rPr>
      <t>CN119922429JP</t>
    </r>
  </si>
  <si>
    <r>
      <rPr>
        <color rgb="FF1155CC"/>
        <u/>
      </rPr>
      <t>CN119869895JP</t>
    </r>
  </si>
  <si>
    <r>
      <rPr>
        <color rgb="FF1155CC"/>
        <u/>
      </rPr>
      <t>CN120269559JP</t>
    </r>
  </si>
  <si>
    <r>
      <rPr>
        <color rgb="FF1155CC"/>
        <u/>
      </rPr>
      <t>CN120489311JP</t>
    </r>
  </si>
  <si>
    <r>
      <rPr>
        <color rgb="FF1155CC"/>
        <u/>
      </rPr>
      <t>CN120179354JP</t>
    </r>
  </si>
  <si>
    <r>
      <rPr>
        <color rgb="FF1155CC"/>
        <u/>
      </rPr>
      <t>CN126224895JP</t>
    </r>
  </si>
  <si>
    <t>FAB</t>
  </si>
  <si>
    <r>
      <rPr>
        <color rgb="FF1155CC"/>
        <u/>
      </rPr>
      <t>CN125489106JP</t>
    </r>
  </si>
  <si>
    <t>JEN</t>
  </si>
  <si>
    <r>
      <rPr>
        <color rgb="FF1155CC"/>
        <u/>
      </rPr>
      <t>CN125540914JP</t>
    </r>
  </si>
  <si>
    <r>
      <rPr>
        <color rgb="FF1155CC"/>
        <u/>
      </rPr>
      <t>CN125435765JP</t>
    </r>
  </si>
  <si>
    <t>TIA</t>
  </si>
  <si>
    <r>
      <rPr>
        <color rgb="FF1155CC"/>
        <u/>
      </rPr>
      <t>CN125810801JP</t>
    </r>
  </si>
  <si>
    <r>
      <rPr>
        <color rgb="FF1155CC"/>
        <u/>
      </rPr>
      <t>CN126179587JP</t>
    </r>
  </si>
  <si>
    <r>
      <rPr>
        <color rgb="FF1155CC"/>
        <u/>
      </rPr>
      <t>CN125595728JP</t>
    </r>
  </si>
  <si>
    <t xml:space="preserve">JEN </t>
  </si>
  <si>
    <r>
      <rPr>
        <color rgb="FF1155CC"/>
        <u/>
      </rPr>
      <t>CN126057331JP</t>
    </r>
  </si>
  <si>
    <r>
      <rPr>
        <color rgb="FF1155CC"/>
        <u/>
      </rPr>
      <t>CN126169457JP</t>
    </r>
  </si>
  <si>
    <r>
      <rPr>
        <color rgb="FF1155CC"/>
        <u/>
      </rPr>
      <t>CN126114983JP</t>
    </r>
  </si>
  <si>
    <r>
      <rPr>
        <color rgb="FF1155CC"/>
        <u/>
      </rPr>
      <t>CN125819156JP</t>
    </r>
  </si>
  <si>
    <t xml:space="preserve">TIA </t>
  </si>
  <si>
    <r>
      <rPr>
        <color rgb="FF1155CC"/>
        <u/>
      </rPr>
      <t>CN127582656JP</t>
    </r>
  </si>
  <si>
    <t xml:space="preserve">    LA TIENDITA DE BLUE</t>
  </si>
  <si>
    <t>CALCULADORA</t>
  </si>
  <si>
    <t>HORAS</t>
  </si>
  <si>
    <t>MINUTOS</t>
  </si>
  <si>
    <t>MES</t>
  </si>
  <si>
    <t>TIPO</t>
  </si>
  <si>
    <t>LOTE</t>
  </si>
  <si>
    <t>COMISION</t>
  </si>
  <si>
    <t>COSTO</t>
  </si>
  <si>
    <t>ENVIO NAC</t>
  </si>
  <si>
    <t>TOTAL</t>
  </si>
  <si>
    <t>ENVIO INT</t>
  </si>
  <si>
    <t>E INT SOL</t>
  </si>
  <si>
    <t>SOLES</t>
  </si>
  <si>
    <t>(+SUNAT)</t>
  </si>
  <si>
    <t>APROX</t>
  </si>
  <si>
    <t>REVENUE</t>
  </si>
  <si>
    <t>N° CAJA</t>
  </si>
  <si>
    <t>N ENVIO</t>
  </si>
  <si>
    <t>TIPO DE CAMBIO</t>
  </si>
  <si>
    <t>DICIEMBRE</t>
  </si>
  <si>
    <t>JUNK</t>
  </si>
  <si>
    <t>DOLARES</t>
  </si>
  <si>
    <t>COSTO COMPRA</t>
  </si>
  <si>
    <t>LIMITE</t>
  </si>
  <si>
    <t>NEW</t>
  </si>
  <si>
    <t>SUBTOTALES</t>
  </si>
  <si>
    <t>GACHA</t>
  </si>
  <si>
    <t>PERDIDA</t>
  </si>
  <si>
    <t>PRECIO APROX</t>
  </si>
  <si>
    <t>SIN IMPUESTOS</t>
  </si>
  <si>
    <t>ENVIOS</t>
  </si>
  <si>
    <t>N CAJA</t>
  </si>
  <si>
    <t>COSTO NETO</t>
  </si>
  <si>
    <t>COSTO ENVIO</t>
  </si>
  <si>
    <t>COSTO BRUTO</t>
  </si>
  <si>
    <t>COSTE FINAL</t>
  </si>
  <si>
    <t>PROFIT</t>
  </si>
  <si>
    <t>USED</t>
  </si>
  <si>
    <t>MERCH</t>
  </si>
  <si>
    <t>DANTE</t>
  </si>
  <si>
    <t>ROXANA</t>
  </si>
  <si>
    <t>ENERO</t>
  </si>
  <si>
    <t xml:space="preserve"> NEW</t>
  </si>
  <si>
    <t>FEBRERO</t>
  </si>
  <si>
    <t>MOCHI</t>
  </si>
  <si>
    <t>POKE</t>
  </si>
  <si>
    <t>PED-JEAN</t>
  </si>
  <si>
    <t>PED-NICO</t>
  </si>
  <si>
    <t>CARTAS</t>
  </si>
  <si>
    <t>PELUCHE</t>
  </si>
  <si>
    <t>PA MI</t>
  </si>
  <si>
    <t>UKU</t>
  </si>
  <si>
    <t>005JAROLD</t>
  </si>
  <si>
    <t>HYUNX</t>
  </si>
  <si>
    <t>MAYO</t>
  </si>
  <si>
    <t>FLUSH</t>
  </si>
  <si>
    <t>MINI</t>
  </si>
  <si>
    <t>OPEN</t>
  </si>
  <si>
    <t>CD</t>
  </si>
  <si>
    <t>JULIO</t>
  </si>
  <si>
    <t>POPUP</t>
  </si>
  <si>
    <t>XLUTON</t>
  </si>
  <si>
    <t>JEAN</t>
  </si>
  <si>
    <t>AGOSTO</t>
  </si>
  <si>
    <t>SEPTIEMBRE</t>
  </si>
  <si>
    <t>CARDS</t>
  </si>
  <si>
    <t>SUELTA</t>
  </si>
  <si>
    <t>MELISSA</t>
  </si>
  <si>
    <t>POSTER</t>
  </si>
  <si>
    <t>&lt;</t>
  </si>
  <si>
    <t>2 o mas figuras</t>
  </si>
  <si>
    <t>CUENTAS</t>
  </si>
  <si>
    <t>SUBTOTAL</t>
  </si>
  <si>
    <t>Hola buenas hermano(a/e) tienes una cuentita pendiente:</t>
  </si>
  <si>
    <t>FECHA</t>
  </si>
  <si>
    <t>CLIENTE</t>
  </si>
  <si>
    <t>FIGURA</t>
  </si>
  <si>
    <t>PRECIO</t>
  </si>
  <si>
    <t>ADELANTO</t>
  </si>
  <si>
    <t>RESTANTE</t>
  </si>
  <si>
    <t>ENTREGADO</t>
  </si>
  <si>
    <t>TIPO DE ENTR</t>
  </si>
  <si>
    <t>FECHA LIMITE</t>
  </si>
  <si>
    <t>ALMACEN</t>
  </si>
  <si>
    <t>PAGADO</t>
  </si>
  <si>
    <t>DAN</t>
  </si>
  <si>
    <t xml:space="preserve"> RIFA MERCH TOALLA CHOPPER</t>
  </si>
  <si>
    <t>STOCK</t>
  </si>
  <si>
    <t>PENDIENTE</t>
  </si>
  <si>
    <t>ALPHONSE</t>
  </si>
  <si>
    <t>CHIBI PELIAZUL</t>
  </si>
  <si>
    <t>MARZO</t>
  </si>
  <si>
    <t>PREVENTA</t>
  </si>
  <si>
    <t>GLITTER EN TANGA</t>
  </si>
  <si>
    <t>ABRIL</t>
  </si>
  <si>
    <t>BUBUN</t>
  </si>
  <si>
    <t>2 LLAVEROS</t>
  </si>
  <si>
    <t>GLITTER TO LOVE RU</t>
  </si>
  <si>
    <t>JOSE ANDRE</t>
  </si>
  <si>
    <t>2.5 DIMEN X2</t>
  </si>
  <si>
    <t>TREINTA</t>
  </si>
  <si>
    <t>ARANCIEA</t>
  </si>
  <si>
    <t>2.5 MIRIEL CORAZON</t>
  </si>
  <si>
    <t>UNIFORM PERU</t>
  </si>
  <si>
    <t>RENZO</t>
  </si>
  <si>
    <t>3 ALMIRANTES</t>
  </si>
  <si>
    <t>3 PINES +  MINIFILE</t>
  </si>
  <si>
    <t>3 SELLADOS+CUADRO</t>
  </si>
  <si>
    <t>HUGO</t>
  </si>
  <si>
    <t>3 SIN BASE</t>
  </si>
  <si>
    <t>BOLSA POKEMON</t>
  </si>
  <si>
    <t>ARGONAUTA</t>
  </si>
  <si>
    <t>4 CHIBIS MONOGATARI</t>
  </si>
  <si>
    <t>POSTER SAO</t>
  </si>
  <si>
    <t>7 LLAVEROS</t>
  </si>
  <si>
    <t>CHRISTIAN CONTRERAS</t>
  </si>
  <si>
    <t>ACE ENDEAVOR GOYO CAJA</t>
  </si>
  <si>
    <t>ACE GRANDE</t>
  </si>
  <si>
    <t>VD</t>
  </si>
  <si>
    <t>ACE SIN BASE</t>
  </si>
  <si>
    <t>ANTHONY</t>
  </si>
  <si>
    <t>PELUCHE TORCHIK</t>
  </si>
  <si>
    <t>PELUCHE TOTODILE</t>
  </si>
  <si>
    <t>PELUCHE MORENO</t>
  </si>
  <si>
    <t>CLEO</t>
  </si>
  <si>
    <t>AIN</t>
  </si>
  <si>
    <t>AZUL COLETAS</t>
  </si>
  <si>
    <t>HERNANDEZ</t>
  </si>
  <si>
    <t xml:space="preserve">AKASA  </t>
  </si>
  <si>
    <t>SUPA VEGITADA</t>
  </si>
  <si>
    <t>AKASA SIN BASE</t>
  </si>
  <si>
    <t>FILE UTA</t>
  </si>
  <si>
    <t>ARMILENK</t>
  </si>
  <si>
    <t>CABALLA GORRA</t>
  </si>
  <si>
    <t>CABALLA PLOMA</t>
  </si>
  <si>
    <t>ANILLO ERISO</t>
  </si>
  <si>
    <t>JORGEPEDRO</t>
  </si>
  <si>
    <t>ANYA CHIQUI</t>
  </si>
  <si>
    <t>MARSHALL</t>
  </si>
  <si>
    <t>ANYA QPOSKET</t>
  </si>
  <si>
    <t>BASTOFORD</t>
  </si>
  <si>
    <t>NESUKO GLITTER</t>
  </si>
  <si>
    <t>TROUBLE</t>
  </si>
  <si>
    <t>AZUNA</t>
  </si>
  <si>
    <t>KIWI</t>
  </si>
  <si>
    <t>BAKUGO</t>
  </si>
  <si>
    <t>DAASH</t>
  </si>
  <si>
    <t>DEKU SENTADO</t>
  </si>
  <si>
    <t>TETONA MAID</t>
  </si>
  <si>
    <t>DAVID</t>
  </si>
  <si>
    <t>FILE URARAKA</t>
  </si>
  <si>
    <t>DEMONSLAYERPE</t>
  </si>
  <si>
    <t>GENYA POSTER</t>
  </si>
  <si>
    <t>BARBABLANCA GRAND</t>
  </si>
  <si>
    <t>LUIS DIAZ</t>
  </si>
  <si>
    <t>BARBABLANCA GRANDISTA</t>
  </si>
  <si>
    <t>DIXON</t>
  </si>
  <si>
    <t>BARBABLANCA MANHOOD</t>
  </si>
  <si>
    <t>KAEL</t>
  </si>
  <si>
    <t>BARDOK</t>
  </si>
  <si>
    <t>SHOHAI</t>
  </si>
  <si>
    <t>BATTLE REC LUFFY</t>
  </si>
  <si>
    <t>OZPINARC</t>
  </si>
  <si>
    <t>BEBAS</t>
  </si>
  <si>
    <t>BENIMARU</t>
  </si>
  <si>
    <t>BNH X3</t>
  </si>
  <si>
    <t>WONEJO</t>
  </si>
  <si>
    <t>BOA SERAFIN</t>
  </si>
  <si>
    <t xml:space="preserve">DICIEMBRE </t>
  </si>
  <si>
    <t>GYOMEI POSTER</t>
  </si>
  <si>
    <t>KANAO POSTER</t>
  </si>
  <si>
    <t xml:space="preserve">ZAMBRANO </t>
  </si>
  <si>
    <t>BOA+UTA</t>
  </si>
  <si>
    <t>MITSURI POSTER</t>
  </si>
  <si>
    <t>BONCLAY STYLING</t>
  </si>
  <si>
    <t>BONNIE</t>
  </si>
  <si>
    <t>BONNIE EGG</t>
  </si>
  <si>
    <t>BOTICARIA ACRILICO</t>
  </si>
  <si>
    <t>BOTICARIA PIN</t>
  </si>
  <si>
    <t>LUIS</t>
  </si>
  <si>
    <t>BOTICARIA+MIKU</t>
  </si>
  <si>
    <t>132-154</t>
  </si>
  <si>
    <t>BROLY SIN BASE</t>
  </si>
  <si>
    <t>ALVARO LUCK</t>
  </si>
  <si>
    <t>BROOK</t>
  </si>
  <si>
    <t>TOKITO POSTER</t>
  </si>
  <si>
    <t>BUNNY SAO+ GATA</t>
  </si>
  <si>
    <t>TOMIOKA POSTER</t>
  </si>
  <si>
    <t>ZENITSU POSTER</t>
  </si>
  <si>
    <t>DEYNA</t>
  </si>
  <si>
    <t>LEVI</t>
  </si>
  <si>
    <t>DINAMICA NATH</t>
  </si>
  <si>
    <t>AI OSHI NO KO</t>
  </si>
  <si>
    <t>DEKU ICHI</t>
  </si>
  <si>
    <t>IDOL OSHI NO KO</t>
  </si>
  <si>
    <t>KHALED</t>
  </si>
  <si>
    <t>CABALLAS</t>
  </si>
  <si>
    <t>OSCAR RAMIREZ</t>
  </si>
  <si>
    <t>CASCO VERDE CHIBI</t>
  </si>
  <si>
    <t>TOMIOKA</t>
  </si>
  <si>
    <t xml:space="preserve">SET X5 OSHI NO KO </t>
  </si>
  <si>
    <t>KASUMI</t>
  </si>
  <si>
    <t>CHIFUYU X2</t>
  </si>
  <si>
    <t>DUO QPOSKET</t>
  </si>
  <si>
    <t>CHOPPER</t>
  </si>
  <si>
    <t>COBY BR</t>
  </si>
  <si>
    <t>CONEJA</t>
  </si>
  <si>
    <t>CP0</t>
  </si>
  <si>
    <t>NICO</t>
  </si>
  <si>
    <t>DABI ICHIBAN</t>
  </si>
  <si>
    <t xml:space="preserve">DAKI </t>
  </si>
  <si>
    <t>LLAVEROS</t>
  </si>
  <si>
    <t>MORADA GRANDE</t>
  </si>
  <si>
    <t>RIN</t>
  </si>
  <si>
    <t>GEORGIE</t>
  </si>
  <si>
    <t>ERES QPOSKET</t>
  </si>
  <si>
    <t>MERCH SNK</t>
  </si>
  <si>
    <t>RENGOKU QPOSKET</t>
  </si>
  <si>
    <t>EFRAIN SILVA</t>
  </si>
  <si>
    <t>DEKU+URARAKA</t>
  </si>
  <si>
    <t>HEYSON</t>
  </si>
  <si>
    <t>YAMI-LALA FURYU</t>
  </si>
  <si>
    <t>ELMER ACHAMISO</t>
  </si>
  <si>
    <t>DENJI GRAND</t>
  </si>
  <si>
    <t>DENJI SEGA</t>
  </si>
  <si>
    <t>DENJIRO</t>
  </si>
  <si>
    <t>HIKEN</t>
  </si>
  <si>
    <t>FILE BAKUGO</t>
  </si>
  <si>
    <t>DIABLO</t>
  </si>
  <si>
    <t>DOFLAMINGO</t>
  </si>
  <si>
    <t>FILE GUNDAM</t>
  </si>
  <si>
    <t>DUO ACE YAMATO</t>
  </si>
  <si>
    <t>POSTER JJK</t>
  </si>
  <si>
    <t>LIDER KNY</t>
  </si>
  <si>
    <t>DUO DATE A LIVE</t>
  </si>
  <si>
    <t>RATON UZUI</t>
  </si>
  <si>
    <t>SEBAS._JJ</t>
  </si>
  <si>
    <t xml:space="preserve">DUO ESPRESTO </t>
  </si>
  <si>
    <t>MIKU SAKURA</t>
  </si>
  <si>
    <t>KIRASENPAI</t>
  </si>
  <si>
    <t>DUO GRANDISTAS</t>
  </si>
  <si>
    <t>DUO KOA G4</t>
  </si>
  <si>
    <t>IMPERIO STORE</t>
  </si>
  <si>
    <t>2 POST CARD</t>
  </si>
  <si>
    <t>ONIGIRI</t>
  </si>
  <si>
    <t>ZENITSU QPOSKET</t>
  </si>
  <si>
    <t>DUO RED</t>
  </si>
  <si>
    <t>DUO WANO</t>
  </si>
  <si>
    <t>ENANAS</t>
  </si>
  <si>
    <t>JAROLD005</t>
  </si>
  <si>
    <t>GATITA RUBIA</t>
  </si>
  <si>
    <t>ENEL</t>
  </si>
  <si>
    <t>ICHIKA VESTIDO FIESTA</t>
  </si>
  <si>
    <t>LENY</t>
  </si>
  <si>
    <t>EQUIDNA+TOGA</t>
  </si>
  <si>
    <t>REZE POP UP</t>
  </si>
  <si>
    <t>TRIO TRY PEDIDO</t>
  </si>
  <si>
    <t>ICHIKA VESTIDO NOVIA</t>
  </si>
  <si>
    <t>FATE ROJA</t>
  </si>
  <si>
    <t>NINO VESTIDO NOVIA</t>
  </si>
  <si>
    <t>DUO NAMI-BOA</t>
  </si>
  <si>
    <t>MINI QUINTI</t>
  </si>
  <si>
    <t>NAMI</t>
  </si>
  <si>
    <t>CABALLA JEAN</t>
  </si>
  <si>
    <t xml:space="preserve">FEBRERO </t>
  </si>
  <si>
    <t>CABALLA TIARA</t>
  </si>
  <si>
    <t>FRANKY CHICO</t>
  </si>
  <si>
    <t>FRANKY STYLING</t>
  </si>
  <si>
    <t>FREEZER</t>
  </si>
  <si>
    <t>FRIEREN MASTER</t>
  </si>
  <si>
    <t>NATH</t>
  </si>
  <si>
    <t>FRUTA CORAZON</t>
  </si>
  <si>
    <t>GUS</t>
  </si>
  <si>
    <t>FRUTA SHINY</t>
  </si>
  <si>
    <t>LUIS FACEBOOK</t>
  </si>
  <si>
    <t>FUBUKI+TOGA</t>
  </si>
  <si>
    <t>G4 KOA</t>
  </si>
  <si>
    <t>G5 MEGAHOUSE</t>
  </si>
  <si>
    <t>RODOLFO</t>
  </si>
  <si>
    <t>GABIMARU</t>
  </si>
  <si>
    <t>SANJI + PUDDING GLITTER</t>
  </si>
  <si>
    <t>GACHA LUFFY G5</t>
  </si>
  <si>
    <t>SONICO MEGUMIN</t>
  </si>
  <si>
    <t>MAKIMA</t>
  </si>
  <si>
    <t>KHALI</t>
  </si>
  <si>
    <t>GACHAPONES NAKA</t>
  </si>
  <si>
    <t>GANCHITO CHIBI</t>
  </si>
  <si>
    <t>GARP</t>
  </si>
  <si>
    <t>DENJI</t>
  </si>
  <si>
    <t>gintoki</t>
  </si>
  <si>
    <t>LLAVERO BOCHI DE ROCK</t>
  </si>
  <si>
    <t>JEAN MIKU NOVIA</t>
  </si>
  <si>
    <t>MIKU NOVIA</t>
  </si>
  <si>
    <t>GETO</t>
  </si>
  <si>
    <t>JORGE</t>
  </si>
  <si>
    <t>ZOMBIFRANKY</t>
  </si>
  <si>
    <t>GATA DESKTOP CUTE</t>
  </si>
  <si>
    <t>JER</t>
  </si>
  <si>
    <t>GOGETA SS2</t>
  </si>
  <si>
    <t>GOHAN</t>
  </si>
  <si>
    <t>NANALI ROS</t>
  </si>
  <si>
    <t>GOJO</t>
  </si>
  <si>
    <t>MONA CHICHONA</t>
  </si>
  <si>
    <t>SCARLEX</t>
  </si>
  <si>
    <t>GOJO SUELTO</t>
  </si>
  <si>
    <t>JORDANO</t>
  </si>
  <si>
    <t>GOKU HAMME</t>
  </si>
  <si>
    <t>GOKU SCULTURE</t>
  </si>
  <si>
    <t>GOKU SORTEO</t>
  </si>
  <si>
    <t>GOKU TP</t>
  </si>
  <si>
    <t>GORRITO CHIBI</t>
  </si>
  <si>
    <t>SET 6 VOCALOIDS</t>
  </si>
  <si>
    <t>MORENA LOLI</t>
  </si>
  <si>
    <t>SET QUINTIS</t>
  </si>
  <si>
    <t xml:space="preserve">DUO PLAYA </t>
  </si>
  <si>
    <t>JOSUE</t>
  </si>
  <si>
    <t>PAINT ITADORI</t>
  </si>
  <si>
    <t>ANDRES79</t>
  </si>
  <si>
    <t>GYUTARO</t>
  </si>
  <si>
    <t>17 UMAS</t>
  </si>
  <si>
    <t>KIARA</t>
  </si>
  <si>
    <t>DEKU CAJA</t>
  </si>
  <si>
    <t>RENGOKU ARRODILLADO</t>
  </si>
  <si>
    <t>MUZAN</t>
  </si>
  <si>
    <t>SABITO</t>
  </si>
  <si>
    <t>FILE TSUYU</t>
  </si>
  <si>
    <t>LASSZEPHIRUM</t>
  </si>
  <si>
    <t>RIFA - NAKANO</t>
  </si>
  <si>
    <t>REM GATITA</t>
  </si>
  <si>
    <t>KOVACS</t>
  </si>
  <si>
    <t>INOSKE</t>
  </si>
  <si>
    <t>INOSUKE</t>
  </si>
  <si>
    <t>RORONOA</t>
  </si>
  <si>
    <t>ITADORI</t>
  </si>
  <si>
    <t>IZO</t>
  </si>
  <si>
    <t xml:space="preserve">VD </t>
  </si>
  <si>
    <t>REVEN LUIS</t>
  </si>
  <si>
    <t>JIMBE</t>
  </si>
  <si>
    <t>TOY BURGUES</t>
  </si>
  <si>
    <t>JOJOS BLANCA</t>
  </si>
  <si>
    <t>JOLYNE</t>
  </si>
  <si>
    <t>KAGUYA</t>
  </si>
  <si>
    <t>KAGUYA DUO BUNNY</t>
  </si>
  <si>
    <t>WAIFU DORMILONA</t>
  </si>
  <si>
    <t>MISAEL</t>
  </si>
  <si>
    <t>KANAO</t>
  </si>
  <si>
    <t>MARTIN ORDOÑEZ</t>
  </si>
  <si>
    <t>LUFFY G5 GRAND</t>
  </si>
  <si>
    <t>KANEKI GRAND</t>
  </si>
  <si>
    <t>KID STYLING</t>
  </si>
  <si>
    <t>PELUCHE CINCCINO</t>
  </si>
  <si>
    <t>KIRBY</t>
  </si>
  <si>
    <t>PELUCHE EEVEE SENTADO</t>
  </si>
  <si>
    <t>MIKU VESTIDOTE</t>
  </si>
  <si>
    <t>NAYELI</t>
  </si>
  <si>
    <t>BUGGY</t>
  </si>
  <si>
    <t>KIRITO</t>
  </si>
  <si>
    <t>KOA GEAR 5</t>
  </si>
  <si>
    <t>KOA LUCCI+NAMI WANO</t>
  </si>
  <si>
    <t>KOALA</t>
  </si>
  <si>
    <t>MOISES</t>
  </si>
  <si>
    <t>KOCHO+KANAO</t>
  </si>
  <si>
    <t xml:space="preserve">KOMURAZAKI </t>
  </si>
  <si>
    <t>KOZUKI</t>
  </si>
  <si>
    <t>LAW</t>
  </si>
  <si>
    <t>LAW BANPRESTO</t>
  </si>
  <si>
    <t>ALEBT</t>
  </si>
  <si>
    <t>LAW BLANCO</t>
  </si>
  <si>
    <t>LAW BR</t>
  </si>
  <si>
    <t>LAW KOA</t>
  </si>
  <si>
    <t>LAW SCULTURE</t>
  </si>
  <si>
    <t>LAW STYLING SORTEO</t>
  </si>
  <si>
    <t>LENGUA CHIBI</t>
  </si>
  <si>
    <t>DRAKEN CHICO</t>
  </si>
  <si>
    <t>LIBRO CHIBI</t>
  </si>
  <si>
    <t>LICORIS RECOIL</t>
  </si>
  <si>
    <t>SANJI</t>
  </si>
  <si>
    <t>LILITH DXF</t>
  </si>
  <si>
    <t>ESCENA ODEN</t>
  </si>
  <si>
    <t>UTA+KIZATORA</t>
  </si>
  <si>
    <t>BOA VESTIDO</t>
  </si>
  <si>
    <t>LUCCI DXF</t>
  </si>
  <si>
    <t>LUCCY BANDERA SORTEO</t>
  </si>
  <si>
    <t>LUCCY MASCARA</t>
  </si>
  <si>
    <t>LUCCY PALOMO</t>
  </si>
  <si>
    <t>LUFFY</t>
  </si>
  <si>
    <t>GOJO FIGURIZMA</t>
  </si>
  <si>
    <t>LUFFY BANP</t>
  </si>
  <si>
    <t>LUFFY DETALLE</t>
  </si>
  <si>
    <t>LUFFY EGG DXF</t>
  </si>
  <si>
    <t>LUFFY EGG GACHA</t>
  </si>
  <si>
    <t>LUFFY G5</t>
  </si>
  <si>
    <t xml:space="preserve">LUFFY G5  </t>
  </si>
  <si>
    <t>GACHA YASHIGI</t>
  </si>
  <si>
    <t>LUFFY G5 SORTEO</t>
  </si>
  <si>
    <t>LUFFY GRAND</t>
  </si>
  <si>
    <t>LUFFY HERMANO</t>
  </si>
  <si>
    <t>LUFFY ISHIBAN</t>
  </si>
  <si>
    <t>LUFFY RED</t>
  </si>
  <si>
    <t>SK34</t>
  </si>
  <si>
    <t>LUFFY RED / WCF ESC</t>
  </si>
  <si>
    <t>ARC.ONE</t>
  </si>
  <si>
    <t>LUFFY STRONG WORLD</t>
  </si>
  <si>
    <t>LUFFY STYL (CUMPLE)</t>
  </si>
  <si>
    <t>LUFFY+CHOPPER MH</t>
  </si>
  <si>
    <t>LUFFYCIÑO</t>
  </si>
  <si>
    <t>LUFFYTARO</t>
  </si>
  <si>
    <t>CRISITO</t>
  </si>
  <si>
    <t>LUM</t>
  </si>
  <si>
    <t>LUPIN</t>
  </si>
  <si>
    <t>LUPIN VESTIDO</t>
  </si>
  <si>
    <t>MXBXLL</t>
  </si>
  <si>
    <t>MADOKA</t>
  </si>
  <si>
    <t xml:space="preserve">DAVID </t>
  </si>
  <si>
    <t>makima</t>
  </si>
  <si>
    <t>REY DEL TENIS</t>
  </si>
  <si>
    <t>MAMA ROBIN</t>
  </si>
  <si>
    <t>MANHOOD</t>
  </si>
  <si>
    <t xml:space="preserve">MARCO </t>
  </si>
  <si>
    <t>MARIN</t>
  </si>
  <si>
    <t>SANJI CHICO</t>
  </si>
  <si>
    <t>MARIN EMPLEADA</t>
  </si>
  <si>
    <t>MARIN VESTIDO</t>
  </si>
  <si>
    <t>WILLIAM MEGAHOUSE</t>
  </si>
  <si>
    <t>MEGAHOUSE ESCENA</t>
  </si>
  <si>
    <t>BENS</t>
  </si>
  <si>
    <t>ACRILICO ZEFF</t>
  </si>
  <si>
    <t>UTA SIN ALAS</t>
  </si>
  <si>
    <t>3 ACRILICOS</t>
  </si>
  <si>
    <t xml:space="preserve">GUS </t>
  </si>
  <si>
    <t>MERCH WANO</t>
  </si>
  <si>
    <t>MESA CHIBI</t>
  </si>
  <si>
    <t>MIHAWK BR</t>
  </si>
  <si>
    <t>MIKU ANIMALITO</t>
  </si>
  <si>
    <t>MIKU BANPRESTO</t>
  </si>
  <si>
    <t>MIKU BLOSSOM PIE</t>
  </si>
  <si>
    <t>SPEED</t>
  </si>
  <si>
    <t>MIKU CAJA</t>
  </si>
  <si>
    <t xml:space="preserve">MIKU CORAZONES </t>
  </si>
  <si>
    <t>MIKU DARK</t>
  </si>
  <si>
    <t>MIKU DETALLE</t>
  </si>
  <si>
    <t>WILLIAMBH</t>
  </si>
  <si>
    <t>MIKU FURYU</t>
  </si>
  <si>
    <t>GONZ</t>
  </si>
  <si>
    <t>MIKU NAKANO</t>
  </si>
  <si>
    <t>4 CARDS</t>
  </si>
  <si>
    <t>HIYORI</t>
  </si>
  <si>
    <t>NAMI VESTIDO</t>
  </si>
  <si>
    <t>UTA GLITTER</t>
  </si>
  <si>
    <t>MONOGATARI SILLA</t>
  </si>
  <si>
    <t>PABLO</t>
  </si>
  <si>
    <t>RAQUEL</t>
  </si>
  <si>
    <t>LLAVERO METALICO</t>
  </si>
  <si>
    <t>RICHARD</t>
  </si>
  <si>
    <t>SET ICHIBAN ONE PIECE</t>
  </si>
  <si>
    <t>CAMI</t>
  </si>
  <si>
    <t>MITSURI+TOKITO</t>
  </si>
  <si>
    <t>MOB PSYCHO</t>
  </si>
  <si>
    <t>MOCHILA CHIBI</t>
  </si>
  <si>
    <t>MOMO SIN BASE</t>
  </si>
  <si>
    <t>MOMONOSUKE</t>
  </si>
  <si>
    <t>BOA SERPIENTE</t>
  </si>
  <si>
    <t>MONJA</t>
  </si>
  <si>
    <t>MONOGATARI COLETAS</t>
  </si>
  <si>
    <t>MONOGATARI NARANKA</t>
  </si>
  <si>
    <t>ESCENA ZORO LUFFY</t>
  </si>
  <si>
    <t>DUO GRAND KNY</t>
  </si>
  <si>
    <t>GRAND CHAINSAW</t>
  </si>
  <si>
    <t>GRAND ITADORI</t>
  </si>
  <si>
    <t>GRAND KAIYU 8</t>
  </si>
  <si>
    <t>GRAND KANEKI</t>
  </si>
  <si>
    <t>LEO</t>
  </si>
  <si>
    <t>NAMI BIKINI</t>
  </si>
  <si>
    <t>SHAMIR</t>
  </si>
  <si>
    <t>NAMI BR</t>
  </si>
  <si>
    <t>NAMI DXF</t>
  </si>
  <si>
    <t>NAMI EGG</t>
  </si>
  <si>
    <t xml:space="preserve">LUIS HERRERA </t>
  </si>
  <si>
    <t>NAMI STY</t>
  </si>
  <si>
    <t>NAMI THE SHUKKO</t>
  </si>
  <si>
    <t>QUINTI SORTEO</t>
  </si>
  <si>
    <t>NAVIDEÑA</t>
  </si>
  <si>
    <t>TANJIRO GRANDISTA</t>
  </si>
  <si>
    <t>MEOW</t>
  </si>
  <si>
    <t>NESUKO DXF</t>
  </si>
  <si>
    <t>ALCANCIA BB NEGRA</t>
  </si>
  <si>
    <t>SHIRAHOSHI DORADA</t>
  </si>
  <si>
    <t>NESUKO ICHI</t>
  </si>
  <si>
    <t>NESUKO SEGA</t>
  </si>
  <si>
    <t>NEZUKO SEGA</t>
  </si>
  <si>
    <t>ALBEDO DIAMANTE</t>
  </si>
  <si>
    <t>NIÑA UNIFORME</t>
  </si>
  <si>
    <t>NOBARA</t>
  </si>
  <si>
    <t>ODEN KOA</t>
  </si>
  <si>
    <t>YELTSIN</t>
  </si>
  <si>
    <t>AIZAWA</t>
  </si>
  <si>
    <t>OTAMA X2, SANJI, MOMON, RAYL, ROB, SHINOBU, DENJIRO</t>
  </si>
  <si>
    <t>AZUL AIZAWA</t>
  </si>
  <si>
    <t>DEKU</t>
  </si>
  <si>
    <t>PALETA CHIBI</t>
  </si>
  <si>
    <t>PELON BLEACH</t>
  </si>
  <si>
    <t>PELOTA CHIBI</t>
  </si>
  <si>
    <t>MIRIO</t>
  </si>
  <si>
    <t>MIRKO</t>
  </si>
  <si>
    <t>PELUCHE MAGIKARP</t>
  </si>
  <si>
    <t>NEJIRE</t>
  </si>
  <si>
    <t>PELUCHE SILVEON</t>
  </si>
  <si>
    <t>SHOTO</t>
  </si>
  <si>
    <t>TOGA</t>
  </si>
  <si>
    <t>PERONA</t>
  </si>
  <si>
    <t>PIKACHU+CHOPERCITO</t>
  </si>
  <si>
    <t>PILAR SONIDO</t>
  </si>
  <si>
    <t>PIN HAYKYU</t>
  </si>
  <si>
    <t>PONIRU</t>
  </si>
  <si>
    <t>PORTACEL LUFFY</t>
  </si>
  <si>
    <t>POSAVASO MITSURI</t>
  </si>
  <si>
    <t>RUBIA MHA</t>
  </si>
  <si>
    <t>POSTER KILLER</t>
  </si>
  <si>
    <t>POSTER LAW</t>
  </si>
  <si>
    <t>SHIGARAKI</t>
  </si>
  <si>
    <t>POWER</t>
  </si>
  <si>
    <t>SHINSO</t>
  </si>
  <si>
    <t>TORTUGA AZUL</t>
  </si>
  <si>
    <t>POWER SUELTA</t>
  </si>
  <si>
    <t>PUÑITO CHIBI</t>
  </si>
  <si>
    <t>MIGUEL SULCA</t>
  </si>
  <si>
    <t>QPOSKET UTA/YAMATO</t>
  </si>
  <si>
    <t>GACHA HUMITO</t>
  </si>
  <si>
    <t>GACHA LUFFY GRITON</t>
  </si>
  <si>
    <t>HUGO CUBAS</t>
  </si>
  <si>
    <t>REI DESCARTE</t>
  </si>
  <si>
    <t xml:space="preserve">JORGE </t>
  </si>
  <si>
    <t>REIJU</t>
  </si>
  <si>
    <t>RELAX RUBIA</t>
  </si>
  <si>
    <t>REM</t>
  </si>
  <si>
    <t>SUKAKI</t>
  </si>
  <si>
    <t>REM ANGEL</t>
  </si>
  <si>
    <t>GACHA LUFFY TRANSPA</t>
  </si>
  <si>
    <t>KIRISU</t>
  </si>
  <si>
    <t>REM POLO SUBARU</t>
  </si>
  <si>
    <t>DUO BNH</t>
  </si>
  <si>
    <t>RENGOKU</t>
  </si>
  <si>
    <t>ACRILICOS MHA</t>
  </si>
  <si>
    <t>CHOKONOKO</t>
  </si>
  <si>
    <t>CIELO</t>
  </si>
  <si>
    <t>RENGOKU VIBRATION</t>
  </si>
  <si>
    <t>DUO CHAIN SAW</t>
  </si>
  <si>
    <t>KILLUA</t>
  </si>
  <si>
    <t>RHODY</t>
  </si>
  <si>
    <t>RIFA MERCH FILE CHOPPER</t>
  </si>
  <si>
    <t xml:space="preserve">RIMURU </t>
  </si>
  <si>
    <t>SET KIMETSU</t>
  </si>
  <si>
    <t>ROBIN</t>
  </si>
  <si>
    <t>ROBIN BASE MADERA</t>
  </si>
  <si>
    <t>ROBIN INDIANA</t>
  </si>
  <si>
    <t>ROBIN SHUKKO</t>
  </si>
  <si>
    <t>ROBIN STYLING</t>
  </si>
  <si>
    <t>ROPITA</t>
  </si>
  <si>
    <t>RUBIA BABYDOLL ROJO</t>
  </si>
  <si>
    <t>TODOROKI QPOSKET</t>
  </si>
  <si>
    <t>ANILLO CARNE</t>
  </si>
  <si>
    <t>SABO</t>
  </si>
  <si>
    <t>SABO+B.NEGRA</t>
  </si>
  <si>
    <t>SAILOR MOON</t>
  </si>
  <si>
    <t>MERYMA</t>
  </si>
  <si>
    <t>SAILOR SATURN</t>
  </si>
  <si>
    <t>SAKURA+COLEGIALA</t>
  </si>
  <si>
    <t>SANEMI DORMIDO</t>
  </si>
  <si>
    <t>CHICA VERDE</t>
  </si>
  <si>
    <t>DUO CHIKI</t>
  </si>
  <si>
    <t>PACK 5 QPOSKET</t>
  </si>
  <si>
    <t>SANJI DXF</t>
  </si>
  <si>
    <t>SANJI FIG ZERO</t>
  </si>
  <si>
    <t>SANJI SHUKKO+ CABALLA</t>
  </si>
  <si>
    <t>SASUKE CHIBI</t>
  </si>
  <si>
    <t>PRESENCIAL</t>
  </si>
  <si>
    <t>SENTADA CHIBI</t>
  </si>
  <si>
    <t>SENTADA PAPITAS</t>
  </si>
  <si>
    <t>SENTADA SORTEO</t>
  </si>
  <si>
    <t>REM QPOSKET</t>
  </si>
  <si>
    <t>4 QPOSKET SAILOR</t>
  </si>
  <si>
    <t>DUO DETALLE</t>
  </si>
  <si>
    <t>KAIDO DINAMICA</t>
  </si>
  <si>
    <t>SHANGRILA</t>
  </si>
  <si>
    <t>SHANKS</t>
  </si>
  <si>
    <t>VIVI DINAMICA</t>
  </si>
  <si>
    <t>SHINOBU</t>
  </si>
  <si>
    <t>ROMEL</t>
  </si>
  <si>
    <t>SHINOBU BASE GOD</t>
  </si>
  <si>
    <t>BAKUGO DX</t>
  </si>
  <si>
    <t>SHINSO MHA</t>
  </si>
  <si>
    <t>SHIRA STYLING</t>
  </si>
  <si>
    <t>BAKUGO ICHIBAN LAST O</t>
  </si>
  <si>
    <t>SHIRAHOSHI GLITTER</t>
  </si>
  <si>
    <t>DARK_SAM</t>
  </si>
  <si>
    <t>SHIRAHOSHI GOD</t>
  </si>
  <si>
    <t>SHIROHIGE LLAVERO</t>
  </si>
  <si>
    <t>KORRA</t>
  </si>
  <si>
    <t>SHIZUE</t>
  </si>
  <si>
    <t>BAKUGO QPOSKET</t>
  </si>
  <si>
    <t>DEKU BREAK</t>
  </si>
  <si>
    <t>NANA</t>
  </si>
  <si>
    <t>SHOTO SENTADO</t>
  </si>
  <si>
    <t>SIRENITA</t>
  </si>
  <si>
    <t>SOMBRERO LUFFY</t>
  </si>
  <si>
    <t>BOCCHIDERI</t>
  </si>
  <si>
    <t>SONICO</t>
  </si>
  <si>
    <t>DEKU ICHIBAN</t>
  </si>
  <si>
    <t>SPICE N WOLF</t>
  </si>
  <si>
    <t>STUSSY</t>
  </si>
  <si>
    <t>PHIERO</t>
  </si>
  <si>
    <t xml:space="preserve">STUSSY </t>
  </si>
  <si>
    <t>DEKU QPOSKET</t>
  </si>
  <si>
    <t>TENGEN</t>
  </si>
  <si>
    <t>TETONA BLANCA</t>
  </si>
  <si>
    <t>ENANITOS</t>
  </si>
  <si>
    <t>TOALLA NUMEROS</t>
  </si>
  <si>
    <t>HAWKS AMAZING</t>
  </si>
  <si>
    <t xml:space="preserve">HIMIKO DX </t>
  </si>
  <si>
    <t>HIMIKO GLITTER</t>
  </si>
  <si>
    <t>HIMIKO QPOSKET</t>
  </si>
  <si>
    <t>KIRISHIMA AMAZING</t>
  </si>
  <si>
    <t>VALILU</t>
  </si>
  <si>
    <t>KIRISHIMA BREAK</t>
  </si>
  <si>
    <t>TRIO RELAX</t>
  </si>
  <si>
    <t>KIRISHIMA BW</t>
  </si>
  <si>
    <t>TRISTE CHIBI</t>
  </si>
  <si>
    <t>TRUNKS</t>
  </si>
  <si>
    <t>ULTI</t>
  </si>
  <si>
    <t>MONOMA ICHIBAN</t>
  </si>
  <si>
    <t xml:space="preserve">USOPP </t>
  </si>
  <si>
    <t>USSOP SIN BASE</t>
  </si>
  <si>
    <t xml:space="preserve">UTA CAJA </t>
  </si>
  <si>
    <t>UTA CHIQUITA</t>
  </si>
  <si>
    <t>MORADA DX</t>
  </si>
  <si>
    <t>UTA PEDESTAL</t>
  </si>
  <si>
    <t>SHOTO BREAK</t>
  </si>
  <si>
    <t>2 DEKUS LIBERADOS</t>
  </si>
  <si>
    <t>UTAS</t>
  </si>
  <si>
    <t>VIEJO SLIME</t>
  </si>
  <si>
    <t>VIVI</t>
  </si>
  <si>
    <t>BAKUGO ENERO</t>
  </si>
  <si>
    <t>TANUKI</t>
  </si>
  <si>
    <t>VIVI GACHA</t>
  </si>
  <si>
    <t>DEKU ENERO</t>
  </si>
  <si>
    <t>WAIFU ROSA</t>
  </si>
  <si>
    <t>MIRKO ENERO</t>
  </si>
  <si>
    <t>WCF NAMI+SANJI</t>
  </si>
  <si>
    <t>JHOAN</t>
  </si>
  <si>
    <t>WCF+AKAINU</t>
  </si>
  <si>
    <t>WAKS ENERO</t>
  </si>
  <si>
    <t>YASOPP</t>
  </si>
  <si>
    <t>ZENITSU BREAKDANCE</t>
  </si>
  <si>
    <t>ZENITSU CHICO</t>
  </si>
  <si>
    <t>ENVOLTURA</t>
  </si>
  <si>
    <t>ROX</t>
  </si>
  <si>
    <t>DEVOLUCION TEMPORAL</t>
  </si>
  <si>
    <t>TOHKA</t>
  </si>
  <si>
    <t xml:space="preserve">ZORO </t>
  </si>
  <si>
    <t>ZORO BANP</t>
  </si>
  <si>
    <t>ZORO BR</t>
  </si>
  <si>
    <t xml:space="preserve">DAN </t>
  </si>
  <si>
    <t>ZORO DXF</t>
  </si>
  <si>
    <t>ANGE</t>
  </si>
  <si>
    <t>ZORO FUNKO</t>
  </si>
  <si>
    <t>ZORO MEGAHOUSE</t>
  </si>
  <si>
    <t>ZORO SHUKKO</t>
  </si>
  <si>
    <t>ZORO+ACE GRANDIS</t>
  </si>
  <si>
    <t>ZORRA</t>
  </si>
  <si>
    <t>TOTALSUB</t>
  </si>
  <si>
    <t>BASE</t>
  </si>
  <si>
    <t>17JEAN</t>
  </si>
  <si>
    <t>REI NEGRA</t>
  </si>
  <si>
    <t>REMATE</t>
  </si>
  <si>
    <t>DUO G5 V LUCCI + ICHIBAN</t>
  </si>
  <si>
    <t>A</t>
  </si>
  <si>
    <t>SHANKS+LAW GRAND</t>
  </si>
  <si>
    <t>AARON</t>
  </si>
  <si>
    <t>GOJO CAMISA BLANCA + FERN SENTADA + REM CHIQUITA</t>
  </si>
  <si>
    <t>ADRIAN</t>
  </si>
  <si>
    <t>SHIGARAKI CAJA</t>
  </si>
  <si>
    <t>CELL</t>
  </si>
  <si>
    <t>AGOS</t>
  </si>
  <si>
    <t>LUMINASTA CHICA HIELO</t>
  </si>
  <si>
    <t>BARBA BLANCA SIN ARMA</t>
  </si>
  <si>
    <t>REM VESTIDO</t>
  </si>
  <si>
    <t>NICO LOVELIVE</t>
  </si>
  <si>
    <t>QUINCENA -19</t>
  </si>
  <si>
    <t>CONEJA BLANCA</t>
  </si>
  <si>
    <t>MERCURI</t>
  </si>
  <si>
    <t>ROBOT EQUUUX</t>
  </si>
  <si>
    <t>CONEJA TRILLIZAS</t>
  </si>
  <si>
    <t>RELAX MORADA HOLO</t>
  </si>
  <si>
    <t>CONEJA HERMANA ALBINA</t>
  </si>
  <si>
    <t xml:space="preserve">AGOS </t>
  </si>
  <si>
    <t>GUERRERA PELIVERDE</t>
  </si>
  <si>
    <t>NIKKE GATITA</t>
  </si>
  <si>
    <t>RUBIA GUNDAM</t>
  </si>
  <si>
    <t>MADOKA SIN MANO</t>
  </si>
  <si>
    <t>RLOVELIVE</t>
  </si>
  <si>
    <t>LOVELIVEPELIMORADA</t>
  </si>
  <si>
    <t xml:space="preserve">MIKU GITANA </t>
  </si>
  <si>
    <t xml:space="preserve">MIKU 12 AÑOS </t>
  </si>
  <si>
    <t>CABALLA ROPA CHILL</t>
  </si>
  <si>
    <t>BARCO SIN PIE</t>
  </si>
  <si>
    <t>SAKURA GATITA S</t>
  </si>
  <si>
    <t>RARITA</t>
  </si>
  <si>
    <t>CABALLA S OREJA</t>
  </si>
  <si>
    <t>LL VEST ROJO PELO NARA</t>
  </si>
  <si>
    <t>PELIROJA EQUUUUX</t>
  </si>
  <si>
    <t>ALBEDO + SHALTEAR</t>
  </si>
  <si>
    <t xml:space="preserve">RELAX SHINECOLOR </t>
  </si>
  <si>
    <t>ICHIKA NAKANO</t>
  </si>
  <si>
    <t>NINO BLANCA</t>
  </si>
  <si>
    <t>GINTOKI</t>
  </si>
  <si>
    <t>MIKU LOLITA</t>
  </si>
  <si>
    <t>ALEXGP</t>
  </si>
  <si>
    <t>NAMI PILSEN</t>
  </si>
  <si>
    <t>MIKU S PELO</t>
  </si>
  <si>
    <t>ALEXUS29</t>
  </si>
  <si>
    <t>OSHINOKO ROJA</t>
  </si>
  <si>
    <t>ALI PALACIOS</t>
  </si>
  <si>
    <t>MIRKO LAST ONE</t>
  </si>
  <si>
    <t>TOMIOKA Y NESUKO COMELON</t>
  </si>
  <si>
    <t>3 QPOSKET PRINCESAS</t>
  </si>
  <si>
    <t>DUO SNK</t>
  </si>
  <si>
    <t>-</t>
  </si>
  <si>
    <t>ANATSUKA</t>
  </si>
  <si>
    <t>QPOSKET NAOMI</t>
  </si>
  <si>
    <t>ANDERSONANTICONA</t>
  </si>
  <si>
    <t>ANDRE</t>
  </si>
  <si>
    <t>ANTHONY ALVARO</t>
  </si>
  <si>
    <t>SAKURA</t>
  </si>
  <si>
    <t>SAKURA QPOSKET</t>
  </si>
  <si>
    <t>MIKU COLETAS</t>
  </si>
  <si>
    <t>ANTONELLA R</t>
  </si>
  <si>
    <t>DUO REM REMATE</t>
  </si>
  <si>
    <t>PELUCHE MARRON</t>
  </si>
  <si>
    <t>DR STONE FILES</t>
  </si>
  <si>
    <t>LLAVERO LOVELIVE X6</t>
  </si>
  <si>
    <t>PELINEGRA EQUUUUUX</t>
  </si>
  <si>
    <t xml:space="preserve">LUPIN CARRO </t>
  </si>
  <si>
    <t>FRIEREN GRANDISTA</t>
  </si>
  <si>
    <t>ALBEDO BECUTE</t>
  </si>
  <si>
    <t>PELIROJO SENTADO</t>
  </si>
  <si>
    <t xml:space="preserve">AINZ OOAL GOWN </t>
  </si>
  <si>
    <t>IS THE ORDER A RABBIT</t>
  </si>
  <si>
    <t>BROOK ROSA</t>
  </si>
  <si>
    <t>CHIBI PELICELESTE</t>
  </si>
  <si>
    <t>ZORO STYL</t>
  </si>
  <si>
    <t>PELUCHE MIMIKYU</t>
  </si>
  <si>
    <t>PINES MIKU</t>
  </si>
  <si>
    <t>MIKU CAPERUCITA</t>
  </si>
  <si>
    <t>LOVELIVE PELINEGRA</t>
  </si>
  <si>
    <t>LUFFY AMERICANO</t>
  </si>
  <si>
    <t>SANJI ICHIBAN</t>
  </si>
  <si>
    <t>KURUMI COREFUL</t>
  </si>
  <si>
    <t>ANDJA APPLEFIELD</t>
  </si>
  <si>
    <t>MIKU MATCHA</t>
  </si>
  <si>
    <t>MIKU WINTER</t>
  </si>
  <si>
    <t>ALBEDO CONEJA BLANCA</t>
  </si>
  <si>
    <t>RENGOKU SEPIA</t>
  </si>
  <si>
    <t>SANJI GACHA</t>
  </si>
  <si>
    <t>DANIELMILLAR</t>
  </si>
  <si>
    <t>ONONOKI + MANDARINO</t>
  </si>
  <si>
    <t>CAJA ENANO</t>
  </si>
  <si>
    <t xml:space="preserve">AI HOSHINO - PREMIUM FIGURE A1 </t>
  </si>
  <si>
    <t>OD3</t>
  </si>
  <si>
    <t>SANJI ICHIBAN EGGH</t>
  </si>
  <si>
    <t>TRIO POTTER</t>
  </si>
  <si>
    <t>SANJI TOLACA</t>
  </si>
  <si>
    <t>LLAVERO LOVELIVE X2</t>
  </si>
  <si>
    <t>LLAVERO LOVELIVE X3</t>
  </si>
  <si>
    <t>LUPIN REGALO</t>
  </si>
  <si>
    <t>LLAVEROS LL + METAL</t>
  </si>
  <si>
    <t>NOVIA VESTIDOTE</t>
  </si>
  <si>
    <t>LICORIS RECOIL DESKTOP</t>
  </si>
  <si>
    <t>MIKU DIVA + ESPRESTO VEST BLAN</t>
  </si>
  <si>
    <t>2 RELAX IDOL + NIKKE TETONA</t>
  </si>
  <si>
    <t>DESKTOP MORADA</t>
  </si>
  <si>
    <t>LOVELIVE PLAYA</t>
  </si>
  <si>
    <t>LAW STYLING</t>
  </si>
  <si>
    <t>NIKKE CAJA</t>
  </si>
  <si>
    <t>ROXY BASE</t>
  </si>
  <si>
    <t>ARIAN</t>
  </si>
  <si>
    <t>GOKU SJ 2</t>
  </si>
  <si>
    <t>TAZA ONE PIECE</t>
  </si>
  <si>
    <t>ARIANA</t>
  </si>
  <si>
    <t>MADOKA VEST BLANCO</t>
  </si>
  <si>
    <t>AXEL ANGELES</t>
  </si>
  <si>
    <t>NAMI VESTIDO BLANCO</t>
  </si>
  <si>
    <t xml:space="preserve">KANA SAKURAGI &amp; HITOMI KOSHIGAYA </t>
  </si>
  <si>
    <t>TOMOE KOGA - Rascal Does Not Dream of Bunny Girl Senpai</t>
  </si>
  <si>
    <t>RUBIA EN SILLA</t>
  </si>
  <si>
    <t>MERCURI WITCH</t>
  </si>
  <si>
    <t>GUITARRA STELLAR</t>
  </si>
  <si>
    <t>AYISITA</t>
  </si>
  <si>
    <t xml:space="preserve">LUFFY KOA </t>
  </si>
  <si>
    <t>BET</t>
  </si>
  <si>
    <t>TODOROKI BREAK</t>
  </si>
  <si>
    <t>BLESSED</t>
  </si>
  <si>
    <t>BRYAN SHATUR</t>
  </si>
  <si>
    <t>OSHINOKO X3</t>
  </si>
  <si>
    <t>CAMCAM</t>
  </si>
  <si>
    <t>MARIN MAID</t>
  </si>
  <si>
    <t>CARLOS GR</t>
  </si>
  <si>
    <t>MARIN AQUA</t>
  </si>
  <si>
    <t>CHISTIAN PINEDO</t>
  </si>
  <si>
    <t>ALL MIGHT</t>
  </si>
  <si>
    <t>CHRISTIAN</t>
  </si>
  <si>
    <t>USSOP MORADO</t>
  </si>
  <si>
    <t>CHRISTIAN PINEDA</t>
  </si>
  <si>
    <t>KAYU 9 GRANDISTA</t>
  </si>
  <si>
    <t>DAIKAKU</t>
  </si>
  <si>
    <t xml:space="preserve">GOKU SSJ2 Mate </t>
  </si>
  <si>
    <t>DAIREN</t>
  </si>
  <si>
    <t>MICKEY TOKYO REV</t>
  </si>
  <si>
    <t>DANIEL MILLA</t>
  </si>
  <si>
    <t>URYU</t>
  </si>
  <si>
    <t>ALL MIGHT GRANDISTA</t>
  </si>
  <si>
    <t>DANIEL.CH58</t>
  </si>
  <si>
    <t>ROBOTCITOS</t>
  </si>
  <si>
    <t>GON+LUFFY KOA</t>
  </si>
  <si>
    <t>MADE IN ABYSS COREFUL</t>
  </si>
  <si>
    <t>TSUKI VAQUITA GLITTER</t>
  </si>
  <si>
    <t>DANNY JOAO</t>
  </si>
  <si>
    <t>YUGI CABALLERO</t>
  </si>
  <si>
    <t>DARWIN</t>
  </si>
  <si>
    <t>3 WAIFUS</t>
  </si>
  <si>
    <t>DAVIDTREM</t>
  </si>
  <si>
    <t>K-ON CON GUITARRA</t>
  </si>
  <si>
    <t>DEADCRY</t>
  </si>
  <si>
    <t>K-ON PELINEGRA MAID</t>
  </si>
  <si>
    <t>PELINEGRA OJO CUADRADO</t>
  </si>
  <si>
    <t>ELAINA MANCA</t>
  </si>
  <si>
    <t>GATITA CHIKITA</t>
  </si>
  <si>
    <t>4X LOVELIVE NEGRO</t>
  </si>
  <si>
    <t>MADOKA HELADO</t>
  </si>
  <si>
    <t>AZUNA BUNNY</t>
  </si>
  <si>
    <t>*</t>
  </si>
  <si>
    <t>DIEGO</t>
  </si>
  <si>
    <t>SAILOR PLUTON</t>
  </si>
  <si>
    <t>DIEWELLINTONG</t>
  </si>
  <si>
    <t>SSJ4</t>
  </si>
  <si>
    <t>LOVELIVE</t>
  </si>
  <si>
    <t>RUBIA PINTURA</t>
  </si>
  <si>
    <t>HIJA CASTILLO</t>
  </si>
  <si>
    <t>4 ENANAS</t>
  </si>
  <si>
    <t>RANKALEE</t>
  </si>
  <si>
    <t>DILVER CABRERA</t>
  </si>
  <si>
    <t>LUFFY G4</t>
  </si>
  <si>
    <t>LUFFY GACHA</t>
  </si>
  <si>
    <t>DUO HELLS PAR</t>
  </si>
  <si>
    <t>ARLEQUIN</t>
  </si>
  <si>
    <t>JOSA</t>
  </si>
  <si>
    <t>MAYORDOMA</t>
  </si>
  <si>
    <t>JUMROCK</t>
  </si>
  <si>
    <t>VELDORA HUM+</t>
  </si>
  <si>
    <t>RICOCAN</t>
  </si>
  <si>
    <t>DORIAN</t>
  </si>
  <si>
    <t>MIKU PORRISTA</t>
  </si>
  <si>
    <t>LESLY</t>
  </si>
  <si>
    <t>EDSON_G_T</t>
  </si>
  <si>
    <t>ZORO GRAND DET</t>
  </si>
  <si>
    <t>JOSEPH TRUJILLO</t>
  </si>
  <si>
    <t>LUFFY CHIBI</t>
  </si>
  <si>
    <t>EDSON_P_R</t>
  </si>
  <si>
    <t>NESUKO DX</t>
  </si>
  <si>
    <t>GOGETA GRAND</t>
  </si>
  <si>
    <t>MIKU</t>
  </si>
  <si>
    <t>MIKU ROSA</t>
  </si>
  <si>
    <t>MIKU SENTADA</t>
  </si>
  <si>
    <t>EDU</t>
  </si>
  <si>
    <t>MIKU NAKANO NOVIA</t>
  </si>
  <si>
    <t>ELDRIE</t>
  </si>
  <si>
    <t>ESCOLAR SENTADA</t>
  </si>
  <si>
    <t>ENANOFURTIVO</t>
  </si>
  <si>
    <t>YUTA</t>
  </si>
  <si>
    <t>FLO</t>
  </si>
  <si>
    <t>RIN ITOSHI</t>
  </si>
  <si>
    <t>GABRI</t>
  </si>
  <si>
    <t>MIKU + NINO</t>
  </si>
  <si>
    <t xml:space="preserve">GABRI  </t>
  </si>
  <si>
    <t>DUO QUINTI</t>
  </si>
  <si>
    <t>GABRIEL CONTRERAS</t>
  </si>
  <si>
    <t>ANDROIDE 18</t>
  </si>
  <si>
    <t>RENGOKU FUEGO</t>
  </si>
  <si>
    <t>HEROE PELIAZUL</t>
  </si>
  <si>
    <t>MAMA UZAKI SIN MANO</t>
  </si>
  <si>
    <t>GOHAN SIN BASE</t>
  </si>
  <si>
    <t>GOKU SIN BASE</t>
  </si>
  <si>
    <t>SHINOBU QPOSKET</t>
  </si>
  <si>
    <t>YASSOP</t>
  </si>
  <si>
    <t>MARIN COJA</t>
  </si>
  <si>
    <t>TORSO MIHAWK + ESPADAS</t>
  </si>
  <si>
    <t>VEGETA MITA MITA</t>
  </si>
  <si>
    <t>SHINIGAMi ENANO</t>
  </si>
  <si>
    <t>GATUNO GUNDAM</t>
  </si>
  <si>
    <t>DUO GUNDAM</t>
  </si>
  <si>
    <t>HAMTO</t>
  </si>
  <si>
    <t xml:space="preserve">HAMTO </t>
  </si>
  <si>
    <t>BAKUGO SUELTO</t>
  </si>
  <si>
    <t>HAYAMI</t>
  </si>
  <si>
    <t>YOSHIKO LOVELIVE</t>
  </si>
  <si>
    <t>KURUMI CAJA DESKTOP</t>
  </si>
  <si>
    <t>ZORO 2 ESPADAS</t>
  </si>
  <si>
    <t>DR XENOS</t>
  </si>
  <si>
    <t>MIKU MATCHA + BASE</t>
  </si>
  <si>
    <t>INVERNAL</t>
  </si>
  <si>
    <t>SEYA</t>
  </si>
  <si>
    <t>ANYA QPOS</t>
  </si>
  <si>
    <t>GOGETA SSJ4</t>
  </si>
  <si>
    <t>AZULITO DBZ</t>
  </si>
  <si>
    <t xml:space="preserve">HUGO  </t>
  </si>
  <si>
    <t>GOGETA BLUE</t>
  </si>
  <si>
    <t>REI CADENAS</t>
  </si>
  <si>
    <t>IKKI</t>
  </si>
  <si>
    <t>PELI MARRON BUENORRA</t>
  </si>
  <si>
    <t>BOA NIÑA</t>
  </si>
  <si>
    <t>MONOGATARI  RUBIA</t>
  </si>
  <si>
    <t>ALBEDO VACA</t>
  </si>
  <si>
    <t>KURUMI ROJA</t>
  </si>
  <si>
    <t>RELAX CAPUCHA</t>
  </si>
  <si>
    <t xml:space="preserve">MIKU X KUROMI </t>
  </si>
  <si>
    <t>MITSURI</t>
  </si>
  <si>
    <t>CONEJA CAJA</t>
  </si>
  <si>
    <t>YOTSUBA VEST NEGRO</t>
  </si>
  <si>
    <t>FERN VESTIDO</t>
  </si>
  <si>
    <t>YAMATO DXF CAJA</t>
  </si>
  <si>
    <t>OTAMA DXF CAJA</t>
  </si>
  <si>
    <t xml:space="preserve">NAMI DIAMOND </t>
  </si>
  <si>
    <t>NENA BOTELLITA</t>
  </si>
  <si>
    <t>3 LLAVEROS METAL</t>
  </si>
  <si>
    <t>ITSUKI VACA + ICHIKA CONEJA S/ORR</t>
  </si>
  <si>
    <t>NIKKE AZEL</t>
  </si>
  <si>
    <t xml:space="preserve">PELIMARRON </t>
  </si>
  <si>
    <t>CONEJA PELIMORADA</t>
  </si>
  <si>
    <t>RUBIA ROPA ROJA</t>
  </si>
  <si>
    <t>RUBIA PELO CORTO</t>
  </si>
  <si>
    <t>BRUJA REZERO</t>
  </si>
  <si>
    <t>NAMI BORRACHA</t>
  </si>
  <si>
    <t>MEJIRO DOBBER</t>
  </si>
  <si>
    <t xml:space="preserve">KANA  </t>
  </si>
  <si>
    <t>ALBEDO</t>
  </si>
  <si>
    <t xml:space="preserve">MY DRESS UP POLICIA </t>
  </si>
  <si>
    <t>ITSUKI NAKANO</t>
  </si>
  <si>
    <t>ROGER KOA</t>
  </si>
  <si>
    <t>REM GATO ESPRESTO</t>
  </si>
  <si>
    <t>DUO DIFRAZ QUINTI</t>
  </si>
  <si>
    <t>SET QUINTIS CONEJA</t>
  </si>
  <si>
    <t xml:space="preserve">IKKI </t>
  </si>
  <si>
    <t>TRAJE MORADO + MIKU CAPERUZA</t>
  </si>
  <si>
    <t>IMCJ</t>
  </si>
  <si>
    <t>TENSURA PELIROJO</t>
  </si>
  <si>
    <t>TRIOTRY PEDIDO</t>
  </si>
  <si>
    <t>PEDIDO</t>
  </si>
  <si>
    <t>WAIFU PIJAMA</t>
  </si>
  <si>
    <t>DUO AQUA ROXY</t>
  </si>
  <si>
    <t>MAI SAKURA</t>
  </si>
  <si>
    <t>JAZZSAM</t>
  </si>
  <si>
    <t>FUCHIGURO</t>
  </si>
  <si>
    <t>JEAN FERNANDEZ</t>
  </si>
  <si>
    <t xml:space="preserve">AKASA +  TENGEN </t>
  </si>
  <si>
    <t>JERXUX</t>
  </si>
  <si>
    <t>MAMBO</t>
  </si>
  <si>
    <t>SPECIAL WEEK</t>
  </si>
  <si>
    <t>RICE SHOWE</t>
  </si>
  <si>
    <t>JOHN</t>
  </si>
  <si>
    <t>NAMI NAVIDAD</t>
  </si>
  <si>
    <t>JONATANZ</t>
  </si>
  <si>
    <t>FRIEREN</t>
  </si>
  <si>
    <t>SHION SLIME</t>
  </si>
  <si>
    <t>4 POSTERS BLEACH</t>
  </si>
  <si>
    <t>CHIBIS K-ON</t>
  </si>
  <si>
    <t>DUO BLEACH</t>
  </si>
  <si>
    <t>GATITA K-ON</t>
  </si>
  <si>
    <t>AZUKA THRILL + BASE</t>
  </si>
  <si>
    <t>TANJIRO TRIANGULO</t>
  </si>
  <si>
    <t>AZUKA CHIKI</t>
  </si>
  <si>
    <t>K-ON VESTIDO BLANCO</t>
  </si>
  <si>
    <t>PREMIO SORPRESA 50</t>
  </si>
  <si>
    <t>RAFIÑA</t>
  </si>
  <si>
    <t>NESUKO CHUBA</t>
  </si>
  <si>
    <t>KON GUITARRA</t>
  </si>
  <si>
    <t>RELAX TIME PELIROSA</t>
  </si>
  <si>
    <t>JORGER</t>
  </si>
  <si>
    <t>RANGA</t>
  </si>
  <si>
    <t>LABOON</t>
  </si>
  <si>
    <t xml:space="preserve">JOSE </t>
  </si>
  <si>
    <t>ACE DXF CAJA</t>
  </si>
  <si>
    <t xml:space="preserve">MAGA OSCURA </t>
  </si>
  <si>
    <t>JOSU</t>
  </si>
  <si>
    <t>FRIEREN DUO</t>
  </si>
  <si>
    <t>FRIEREN VIAJE</t>
  </si>
  <si>
    <t>TSUNADE</t>
  </si>
  <si>
    <t>SASORI</t>
  </si>
  <si>
    <t>JUAN GABRIEL</t>
  </si>
  <si>
    <t>DUO GINTAMA</t>
  </si>
  <si>
    <t>JUANITO</t>
  </si>
  <si>
    <t>LUFFY GRAND + KINEMON</t>
  </si>
  <si>
    <t>SET DCF</t>
  </si>
  <si>
    <t>JUANK</t>
  </si>
  <si>
    <t>3X LOVELIVE</t>
  </si>
  <si>
    <t>EROMANGA VESTIDO V</t>
  </si>
  <si>
    <t>NESUKO</t>
  </si>
  <si>
    <t>LUFFY GRAND SUELTO</t>
  </si>
  <si>
    <t>SABO GRANDISTA</t>
  </si>
  <si>
    <t>JULIO.ER</t>
  </si>
  <si>
    <t>MIJOCK</t>
  </si>
  <si>
    <t>DUO SHANGRILA</t>
  </si>
  <si>
    <t>AZUKA PELAZO</t>
  </si>
  <si>
    <t>MADE IN ABYSS</t>
  </si>
  <si>
    <t>REI ALTA BLANCA</t>
  </si>
  <si>
    <t>PREMIO SORPRESA 60</t>
  </si>
  <si>
    <t>POSAVASOS BERSERK X5</t>
  </si>
  <si>
    <t>KAEL BERTEA</t>
  </si>
  <si>
    <t>AKASA</t>
  </si>
  <si>
    <t>GYOMEY</t>
  </si>
  <si>
    <t>KANDY</t>
  </si>
  <si>
    <t>POSTRES SAILOR</t>
  </si>
  <si>
    <t>FRUTA KID</t>
  </si>
  <si>
    <t>CHOPPER POSTRE</t>
  </si>
  <si>
    <t>CIERVA KON</t>
  </si>
  <si>
    <t>KEYDI</t>
  </si>
  <si>
    <t>BLUELOCK</t>
  </si>
  <si>
    <t>KIMETSU FAN</t>
  </si>
  <si>
    <t>DUO LAMPARA</t>
  </si>
  <si>
    <t>NEJI + UMA OREJA AZUL</t>
  </si>
  <si>
    <t xml:space="preserve">KITSUNE </t>
  </si>
  <si>
    <t>KANA OSHINOKO</t>
  </si>
  <si>
    <t>RUBY VESTIDO</t>
  </si>
  <si>
    <t>MENCHO CHIQUITA</t>
  </si>
  <si>
    <t>AI OSHINO AMP</t>
  </si>
  <si>
    <t>ELAINA SUELTA</t>
  </si>
  <si>
    <t>RUBY RELAX</t>
  </si>
  <si>
    <t>LOVELIVE VESTIDO CELESTE AMARILLO</t>
  </si>
  <si>
    <t>KIXS</t>
  </si>
  <si>
    <t>PELIROSA MY DRESS UP DARLING</t>
  </si>
  <si>
    <t xml:space="preserve"> </t>
  </si>
  <si>
    <t>MIKU X RASCA</t>
  </si>
  <si>
    <t>KIYO900</t>
  </si>
  <si>
    <t>DUO NIKKE</t>
  </si>
  <si>
    <t>LAMY</t>
  </si>
  <si>
    <t>REM JAPO</t>
  </si>
  <si>
    <t>LENYN</t>
  </si>
  <si>
    <t>ZORITO</t>
  </si>
  <si>
    <t>FUSHIGURO</t>
  </si>
  <si>
    <t>KURUMI</t>
  </si>
  <si>
    <t>GOYO</t>
  </si>
  <si>
    <t>LESLY1108</t>
  </si>
  <si>
    <t>LUFFY G5 TOP</t>
  </si>
  <si>
    <t>LOR</t>
  </si>
  <si>
    <t>DUO NINO KYNTIE+TRIO</t>
  </si>
  <si>
    <t>LUIS NOSE</t>
  </si>
  <si>
    <t>KING DXF</t>
  </si>
  <si>
    <t>MAI</t>
  </si>
  <si>
    <t>MIKU ALMOHADA</t>
  </si>
  <si>
    <t>MANGUITO</t>
  </si>
  <si>
    <t xml:space="preserve">JOJO AZUL </t>
  </si>
  <si>
    <t>MARIBETH</t>
  </si>
  <si>
    <t>ROGER SPC DXF</t>
  </si>
  <si>
    <t>MARTIN LOYOLA</t>
  </si>
  <si>
    <t>TSUNADE + TOKYO</t>
  </si>
  <si>
    <t>MEGAN</t>
  </si>
  <si>
    <t>LAW BASE GRANDE</t>
  </si>
  <si>
    <t>MIHAWK BASE TRANS</t>
  </si>
  <si>
    <t>BAKUGO ICHIBAN CICATRIZ</t>
  </si>
  <si>
    <t>DUO BAKU TODO</t>
  </si>
  <si>
    <t>ARTBOOK ULTRA</t>
  </si>
  <si>
    <t>ARTBOOK EXHIBITION</t>
  </si>
  <si>
    <t>DUO BAKU - DEKU ESCOLAR</t>
  </si>
  <si>
    <t>BAKUGO MASTERLISE ESCOLAR</t>
  </si>
  <si>
    <t>DUO BAKU - DEKU NIÑOS + YAPA</t>
  </si>
  <si>
    <t>TRIO SEGA</t>
  </si>
  <si>
    <t>TRIO PELUCHES</t>
  </si>
  <si>
    <t>DEKU BLACK, 2 SHINSO, 2 IZAWA, 3 HAWKS, DEKU CAJA ULTIMO</t>
  </si>
  <si>
    <t>TODORIKOS</t>
  </si>
  <si>
    <t>DEKU ICHIBAN MASTERLISE</t>
  </si>
  <si>
    <t>BAKUGO MINI CHIBI</t>
  </si>
  <si>
    <t>MANI WANO GLITTER</t>
  </si>
  <si>
    <t>ROBIN WANO GLITTER</t>
  </si>
  <si>
    <t>VIVI GLITTER</t>
  </si>
  <si>
    <t>SANJI TH SHUKKO</t>
  </si>
  <si>
    <t>FRANKY RED FILM</t>
  </si>
  <si>
    <t>CHOPPERZORD</t>
  </si>
  <si>
    <t>AURICULARES BAKUGO</t>
  </si>
  <si>
    <t>4 BAKUGOS</t>
  </si>
  <si>
    <t>MICHAEL</t>
  </si>
  <si>
    <t>MAKIMA SENT</t>
  </si>
  <si>
    <t>MIKA</t>
  </si>
  <si>
    <t xml:space="preserve">RUBIA TETONA </t>
  </si>
  <si>
    <t>MILA</t>
  </si>
  <si>
    <t>DENJI SIN DEDO</t>
  </si>
  <si>
    <t>BARBA BLANCA MH</t>
  </si>
  <si>
    <t>KUMA MH</t>
  </si>
  <si>
    <t>GOKU ULTRA</t>
  </si>
  <si>
    <t>MISAKI</t>
  </si>
  <si>
    <t>MOAH</t>
  </si>
  <si>
    <t>NINO RELAX TIME</t>
  </si>
  <si>
    <t xml:space="preserve">REM PIJAMA </t>
  </si>
  <si>
    <t>MOISES CRUZ</t>
  </si>
  <si>
    <t>ZENITSU</t>
  </si>
  <si>
    <t>MOTIVACION G</t>
  </si>
  <si>
    <t>BROOK STYLING</t>
  </si>
  <si>
    <t>USSOP STY</t>
  </si>
  <si>
    <t>LUFFY STY</t>
  </si>
  <si>
    <t>FRANKY STY</t>
  </si>
  <si>
    <t>USSOP CELESTE</t>
  </si>
  <si>
    <t>KAKASHI GRAND</t>
  </si>
  <si>
    <t>MADARA</t>
  </si>
  <si>
    <t>NARUTO GRAND</t>
  </si>
  <si>
    <t>NADIA.NNUSER</t>
  </si>
  <si>
    <t xml:space="preserve">ACE REMATE BOLSO </t>
  </si>
  <si>
    <t>NAGI</t>
  </si>
  <si>
    <t>NAGI CHIBI</t>
  </si>
  <si>
    <t>TOGA GLITTER</t>
  </si>
  <si>
    <t>NAOMOCT</t>
  </si>
  <si>
    <t>SHOTO ICHIBAN SUELTO</t>
  </si>
  <si>
    <t xml:space="preserve">2 CHIBIS BNH </t>
  </si>
  <si>
    <t>TOMIOKA CHIKI</t>
  </si>
  <si>
    <t>2 MIKUS CAJA</t>
  </si>
  <si>
    <t>MUIKU BASE CUADRADA</t>
  </si>
  <si>
    <t>ANYA + FIONA</t>
  </si>
  <si>
    <t>4 GACHAS</t>
  </si>
  <si>
    <t>ICHIBAN BONNIW</t>
  </si>
  <si>
    <t>REPORT AMARI</t>
  </si>
  <si>
    <t>MIKEY ICHIBAN</t>
  </si>
  <si>
    <t>2 POSTCARD SANJI</t>
  </si>
  <si>
    <t>PUDDING ICHIBAN</t>
  </si>
  <si>
    <t xml:space="preserve">NAYELI </t>
  </si>
  <si>
    <t>ASUNA SAO</t>
  </si>
  <si>
    <t>NEYREM</t>
  </si>
  <si>
    <t>GATITA</t>
  </si>
  <si>
    <t>SHANKS BATTLE REC</t>
  </si>
  <si>
    <t>RAM JAPO</t>
  </si>
  <si>
    <t>RUBIA LOVE LIVE</t>
  </si>
  <si>
    <t>MIKU SPORTY</t>
  </si>
  <si>
    <t>RUBIA HOLOLIVE</t>
  </si>
  <si>
    <t>NINO VESTIDO NEGRO</t>
  </si>
  <si>
    <t>OBITO</t>
  </si>
  <si>
    <t>RUBIA BARCO</t>
  </si>
  <si>
    <t>NAMI GRANDE BANP</t>
  </si>
  <si>
    <t>NINO AQUA</t>
  </si>
  <si>
    <t>6 LLAVERO MONOGATARI</t>
  </si>
  <si>
    <t>3 POWER RANGER JAPO</t>
  </si>
  <si>
    <t>PANDA</t>
  </si>
  <si>
    <t>ZORO AGACHADO</t>
  </si>
  <si>
    <t>PANN</t>
  </si>
  <si>
    <t>NINO TRAJE DE BAÑO</t>
  </si>
  <si>
    <t>PANSHO</t>
  </si>
  <si>
    <t>DUO CABALLAS</t>
  </si>
  <si>
    <t>CABALLA IKUNO</t>
  </si>
  <si>
    <t>KINTY VESTIDO AMARILLO</t>
  </si>
  <si>
    <t>ITSUKI CONEJA</t>
  </si>
  <si>
    <t>EISHIN  CABALLA</t>
  </si>
  <si>
    <t>KANA (PARA KITSUNE)</t>
  </si>
  <si>
    <t>MIKU NAKANO SEGA</t>
  </si>
  <si>
    <t>BOA RETRO</t>
  </si>
  <si>
    <t xml:space="preserve">PANSHO </t>
  </si>
  <si>
    <t>NOVIA LUPIN</t>
  </si>
  <si>
    <t>PAPA CERDITO</t>
  </si>
  <si>
    <t>DUO SHINGEKI + GOJO MAX + NAGISA EVAN</t>
  </si>
  <si>
    <t>POLAR</t>
  </si>
  <si>
    <t>REM NAVIDAD</t>
  </si>
  <si>
    <t xml:space="preserve">SHIRO NO GAME NO LIFE </t>
  </si>
  <si>
    <t>ACE GRANDISTA</t>
  </si>
  <si>
    <t>REM RELAX</t>
  </si>
  <si>
    <t>LUFFY WCF ECENA</t>
  </si>
  <si>
    <t>ACE STYLING</t>
  </si>
  <si>
    <t>NAMI STYLING</t>
  </si>
  <si>
    <t>CAJA ESCOLAR</t>
  </si>
  <si>
    <t>SHIZU</t>
  </si>
  <si>
    <t xml:space="preserve">POLAR </t>
  </si>
  <si>
    <t>SHANKS RETRO</t>
  </si>
  <si>
    <t>RAPSOR</t>
  </si>
  <si>
    <t>VESTIDO ESCOTE V</t>
  </si>
  <si>
    <t>CALENDARIO BLU</t>
  </si>
  <si>
    <t>REYI</t>
  </si>
  <si>
    <t>SHIRAHOSHI DORADO</t>
  </si>
  <si>
    <t>RICARDO G</t>
  </si>
  <si>
    <t>EVA MORADO</t>
  </si>
  <si>
    <t xml:space="preserve">LAMPARA GUNDAM </t>
  </si>
  <si>
    <t>RICARDO VALLADARES</t>
  </si>
  <si>
    <t>DUO RANKALEE</t>
  </si>
  <si>
    <t>2X LOVELIVE</t>
  </si>
  <si>
    <t>HADA ARRODILLADA</t>
  </si>
  <si>
    <t>DUO MARIN KITAGAWA</t>
  </si>
  <si>
    <t>3 MAKIMAS</t>
  </si>
  <si>
    <t xml:space="preserve">RICOCAN </t>
  </si>
  <si>
    <t>DUO MAGAS</t>
  </si>
  <si>
    <t>ROCKLIFE</t>
  </si>
  <si>
    <t>GUNDAM ROSA</t>
  </si>
  <si>
    <t>GUERRERA TETONA</t>
  </si>
  <si>
    <t>ROD</t>
  </si>
  <si>
    <t>MEGUMIN</t>
  </si>
  <si>
    <t>RODERICK</t>
  </si>
  <si>
    <t>POWER CONEJA</t>
  </si>
  <si>
    <t>ROGER</t>
  </si>
  <si>
    <t>ITACHI + NARUTO GRANDISTA</t>
  </si>
  <si>
    <t>RUBEN ROMERO</t>
  </si>
  <si>
    <t>GUILLOTINA</t>
  </si>
  <si>
    <t>RUSBELL</t>
  </si>
  <si>
    <t xml:space="preserve">NIKKE NOODLE </t>
  </si>
  <si>
    <t>REM HADA</t>
  </si>
  <si>
    <t>REM DUO BICUTE</t>
  </si>
  <si>
    <t>RUSSBEL LIVES</t>
  </si>
  <si>
    <t>DUO ALBEDO</t>
  </si>
  <si>
    <t>REM CONEJA</t>
  </si>
  <si>
    <t>RUSSBELL</t>
  </si>
  <si>
    <t>X4 LOVELIVE</t>
  </si>
  <si>
    <t>BARQUITA</t>
  </si>
  <si>
    <t>BICUTE BUNNIE</t>
  </si>
  <si>
    <t>PELIROSA SENTADA</t>
  </si>
  <si>
    <t>VESTIDOTE MORADO</t>
  </si>
  <si>
    <t>SANDRA G</t>
  </si>
  <si>
    <t>RANMA</t>
  </si>
  <si>
    <t>SANTA</t>
  </si>
  <si>
    <t>MAID CAJA</t>
  </si>
  <si>
    <t>SARA BENDEZU</t>
  </si>
  <si>
    <t>ZORO ICHIBAN</t>
  </si>
  <si>
    <t>SATU</t>
  </si>
  <si>
    <t>ALBEDO DUO</t>
  </si>
  <si>
    <t>NIKKE DIABLA</t>
  </si>
  <si>
    <t>SHECHUAN</t>
  </si>
  <si>
    <t>YUZURIHA HELLS PARADISE</t>
  </si>
  <si>
    <t>SNOOZE</t>
  </si>
  <si>
    <t>FATE PELIMORADA</t>
  </si>
  <si>
    <t>ELAINA TAITO</t>
  </si>
  <si>
    <t>RUBIA VESTIDO NOVIA</t>
  </si>
  <si>
    <t>PELI AZUL TRIO</t>
  </si>
  <si>
    <t>DUO WONDERLAND</t>
  </si>
  <si>
    <t xml:space="preserve">SUSAN </t>
  </si>
  <si>
    <t>MRTA LOLI</t>
  </si>
  <si>
    <t>SYLBUNNY</t>
  </si>
  <si>
    <t>TAILS</t>
  </si>
  <si>
    <t>LINK</t>
  </si>
  <si>
    <t>CHOSSO LUMINASTA</t>
  </si>
  <si>
    <t>TATSUMAKI</t>
  </si>
  <si>
    <t>KAGUYA + MILIN</t>
  </si>
  <si>
    <t>SHUNA</t>
  </si>
  <si>
    <t xml:space="preserve">KAGUYA  </t>
  </si>
  <si>
    <t>REM GATITO</t>
  </si>
  <si>
    <t>PRINCESA KANA</t>
  </si>
  <si>
    <t>REM PERRITO</t>
  </si>
  <si>
    <t xml:space="preserve">OSHINOKO + EQUIDNA </t>
  </si>
  <si>
    <t>LLAVERO RUBIA MINI</t>
  </si>
  <si>
    <t>AI+ANGEL BEATS</t>
  </si>
  <si>
    <t>TOHKA+ANGEL MORADA</t>
  </si>
  <si>
    <t>UTA</t>
  </si>
  <si>
    <t>REM AZUL</t>
  </si>
  <si>
    <t>AI OSHINO</t>
  </si>
  <si>
    <t>SLIME</t>
  </si>
  <si>
    <t>REM MAID</t>
  </si>
  <si>
    <t>MADOKA NEGRA SENTADA</t>
  </si>
  <si>
    <t>ELAINA MORADA</t>
  </si>
  <si>
    <t>LICORIS RECOIL SIN SOMBR</t>
  </si>
  <si>
    <t>RIMURU MAXIMATIC</t>
  </si>
  <si>
    <t>MILIM + SHUNA</t>
  </si>
  <si>
    <t>NIÑA VESTIDO NEGRO</t>
  </si>
  <si>
    <t>KURUMI BIKINI</t>
  </si>
  <si>
    <t>REM GRANJERA</t>
  </si>
  <si>
    <t>OSHINOKO MENCHO</t>
  </si>
  <si>
    <t>TONI PONGO</t>
  </si>
  <si>
    <t>DUO SIRVIENTAS</t>
  </si>
  <si>
    <t>ANYA PATITA</t>
  </si>
  <si>
    <t>USSOP +  PAPA</t>
  </si>
  <si>
    <t>TOPCAT</t>
  </si>
  <si>
    <t>BOA CHIQUITA</t>
  </si>
  <si>
    <t>TORMENTA</t>
  </si>
  <si>
    <t>GOLDEN KAMUI FUSIL</t>
  </si>
  <si>
    <t>TUTTO</t>
  </si>
  <si>
    <t>LAW GRANDISTA</t>
  </si>
  <si>
    <t>VANCE</t>
  </si>
  <si>
    <t>CABALLA VODKA</t>
  </si>
  <si>
    <t>LL VEST BLANCO PELO AMAR</t>
  </si>
  <si>
    <t>IKUNO DICTUS</t>
  </si>
  <si>
    <t>LOQUITA +18</t>
  </si>
  <si>
    <t>CABALLA RUBIA</t>
  </si>
  <si>
    <t>ALAS GRANDES BASESOTA</t>
  </si>
  <si>
    <t>ALBINA BARCO</t>
  </si>
  <si>
    <t>ROBOT BLANCO ARTICULABLE</t>
  </si>
  <si>
    <t xml:space="preserve">VANCE </t>
  </si>
  <si>
    <t xml:space="preserve">RUBIA CAPA </t>
  </si>
  <si>
    <t>VESTIDO BLANCO GRANDE</t>
  </si>
  <si>
    <t>CURREN CHAN</t>
  </si>
  <si>
    <t>VIVINET</t>
  </si>
  <si>
    <t>ITADORI LUMINASTA</t>
  </si>
  <si>
    <t>SHALOM AEREO</t>
  </si>
  <si>
    <t>DUO FRIEREN</t>
  </si>
  <si>
    <t>GACHA UTA</t>
  </si>
  <si>
    <t>REM SETHLOOK</t>
  </si>
  <si>
    <t>XDWGRF</t>
  </si>
  <si>
    <t>YOTSUBA</t>
  </si>
  <si>
    <t>XDWQRF</t>
  </si>
  <si>
    <t>NINO AGUA</t>
  </si>
  <si>
    <t>MIKU RACING</t>
  </si>
  <si>
    <t>SHALTEAR + ALBEDO</t>
  </si>
  <si>
    <t>YANETH AVENDAÑO</t>
  </si>
  <si>
    <t>BARBA NEGRA DUO</t>
  </si>
  <si>
    <t>DENDENMUSHI DOFFY</t>
  </si>
  <si>
    <t>HIJODELAGRANPUTA</t>
  </si>
  <si>
    <t>YOHAN.PE</t>
  </si>
  <si>
    <t>LUFFY BR SPEC</t>
  </si>
  <si>
    <t>ZZZ</t>
  </si>
  <si>
    <t>MITSURI SENTADA</t>
  </si>
  <si>
    <t>NEJIRE GLITTER</t>
  </si>
  <si>
    <t>ANYA BREAKTIME</t>
  </si>
  <si>
    <t>MIKU DISCOS</t>
  </si>
  <si>
    <t xml:space="preserve">AI OSHINO </t>
  </si>
  <si>
    <t>ANGELITO</t>
  </si>
  <si>
    <t>UZAKI CHAN BUNNIE</t>
  </si>
  <si>
    <t>ANTONELLA</t>
  </si>
  <si>
    <t>REM VESTIDO ALMOHADA</t>
  </si>
  <si>
    <t>ANTONIO</t>
  </si>
  <si>
    <t>RELAX TIME 100 NOVIAS</t>
  </si>
  <si>
    <t>HAKARI HANAZONO - The 100 Girlfriends</t>
  </si>
  <si>
    <t>RUBIA CAJA ROSADA</t>
  </si>
  <si>
    <t>MIKU AMARILLA</t>
  </si>
  <si>
    <t>MIKU CEREZO</t>
  </si>
  <si>
    <t>MIKU VERDE NOODLE</t>
  </si>
  <si>
    <t>HATSUNE MIKU OUTDOOR</t>
  </si>
  <si>
    <t>PELIROSA CUTE OREJITAS</t>
  </si>
  <si>
    <t>PELUCHE TOP GUN</t>
  </si>
  <si>
    <t>SATONO SEGA</t>
  </si>
  <si>
    <t xml:space="preserve">BRATHLY </t>
  </si>
  <si>
    <t>KEI KARUIZAWA - Classroom of the Elite.</t>
  </si>
  <si>
    <t>Yui Kotegawa - To LOVE-Ru Darkness</t>
  </si>
  <si>
    <t>DANIEL CH</t>
  </si>
  <si>
    <t>DRAGON ROJO YUGI</t>
  </si>
  <si>
    <t>DEMONIO PELIROSA</t>
  </si>
  <si>
    <t>MIKU X KUROMI</t>
  </si>
  <si>
    <t>REZE POPUP</t>
  </si>
  <si>
    <t>SHALTEAR GLITTER BLANCA</t>
  </si>
  <si>
    <t>RUBIA BIKINI ROJO</t>
  </si>
  <si>
    <t>AZUKA SCHOLAR</t>
  </si>
  <si>
    <t>OKARUN + MOMO</t>
  </si>
  <si>
    <t xml:space="preserve">JUMROCK </t>
  </si>
  <si>
    <t>MADE IN ABYSS DESKTOP</t>
  </si>
  <si>
    <t>KITSUNE</t>
  </si>
  <si>
    <t>KANA CREMITA</t>
  </si>
  <si>
    <t>ALYA GLITTER</t>
  </si>
  <si>
    <t>TRIO OSHINOKO</t>
  </si>
  <si>
    <t>LASSZEPHYRUM</t>
  </si>
  <si>
    <t xml:space="preserve">LOPEZ_10 </t>
  </si>
  <si>
    <t>TACHYON RELAX TIME</t>
  </si>
  <si>
    <t>TORU GLITTER</t>
  </si>
  <si>
    <t>OGURI BANPRESTO EVOVLE</t>
  </si>
  <si>
    <t xml:space="preserve">ALYA BUNNY BLANCA </t>
  </si>
  <si>
    <t>SEBAS_10</t>
  </si>
  <si>
    <t>DUO BAN EVOLVE</t>
  </si>
  <si>
    <t>FERN Y STARK MAXI</t>
  </si>
  <si>
    <t>TOPCATGOD</t>
  </si>
  <si>
    <t>FATE LANCER</t>
  </si>
  <si>
    <t>MARINERA</t>
  </si>
  <si>
    <t>NAMI VAQUERA DCF</t>
  </si>
  <si>
    <t>ROBIN LADY DXF</t>
  </si>
  <si>
    <t>SHIMAKAZE - Kantai Collection</t>
  </si>
  <si>
    <t>LOTE COMPLETO</t>
  </si>
  <si>
    <t>UTA NEW GENESIS</t>
  </si>
  <si>
    <t>NARUTO MASCARA</t>
  </si>
  <si>
    <t>MIKU ESPRESTO GOD</t>
  </si>
  <si>
    <t>MAOMAO</t>
  </si>
  <si>
    <t>FATE VESTIDO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</si>
</sst>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"/>
    <numFmt numFmtId="165" formatCode="d/M/yyyy"/>
    <numFmt numFmtId="166" formatCode="d/m"/>
    <numFmt numFmtId="167" formatCode="dd/mm"/>
    <numFmt numFmtId="168" formatCode="_-[$S/-280A]\ * #,##0_-;\-[$S/-280A]\ * #,##0_-;_-[$S/-280A]\ * &quot;-&quot;??_-;_-@"/>
    <numFmt numFmtId="169" formatCode="_-[$S/-280A]\ * #,##0.00_-;\-[$S/-280A]\ * #,##0.00_-;_-[$S/-280A]\ * &quot;-&quot;??_-;_-@"/>
    <numFmt numFmtId="170" formatCode="_-[$¥-411]* #,##0_-;\-[$¥-411]* #,##0_-;_-[$¥-411]* &quot;-&quot;??_-;_-@"/>
    <numFmt numFmtId="171" formatCode="_ [$¥-804]* #,##0_ ;_ [$¥-804]* \-#,##0_ ;_ [$¥-804]* &quot;-&quot;??_ ;_ @_ "/>
    <numFmt numFmtId="172" formatCode="_-&quot;S/&quot;* #,##0_-;\-&quot;S/&quot;* #,##0_-;_-&quot;S/&quot;* &quot;-&quot;??_-;_-@"/>
    <numFmt numFmtId="173" formatCode="&quot;S/&quot;#,##0.00"/>
    <numFmt numFmtId="174" formatCode="dd/mm\ hh:mm"/>
    <numFmt numFmtId="175" formatCode="_-&quot;S/&quot;* #,##0.00_-;\-&quot;S/&quot;* #,##0.00_-;_-&quot;S/&quot;* &quot;-&quot;??_-;_-@"/>
  </numFmts>
  <fonts count="26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sz val="9.0"/>
      <color rgb="FF000000"/>
      <name val="Myriad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72.0"/>
      <color theme="1"/>
      <name val="Baumans"/>
    </font>
    <font>
      <sz val="28.0"/>
      <color theme="1"/>
      <name val="Baumans"/>
    </font>
    <font>
      <b/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2.0"/>
      <color rgb="FF555555"/>
      <name val="&quot;Open Sans&quot;"/>
    </font>
    <font>
      <sz val="11.0"/>
      <color rgb="FF006100"/>
      <name val="Calibri"/>
    </font>
    <font>
      <sz val="11.0"/>
      <color rgb="FF1C4587"/>
      <name val="Calibri"/>
    </font>
    <font>
      <sz val="12.0"/>
      <color theme="1"/>
      <name val="Calibri"/>
    </font>
    <font>
      <sz val="36.0"/>
      <color theme="1"/>
      <name val="Calibri"/>
    </font>
    <font>
      <sz val="11.0"/>
      <color rgb="FF000000"/>
      <name val="Calibri"/>
    </font>
    <font>
      <color rgb="FF980000"/>
      <name val="Calibri"/>
      <scheme val="minor"/>
    </font>
    <font>
      <b/>
      <color theme="1"/>
      <name val="Calibri"/>
      <scheme val="minor"/>
    </font>
    <font>
      <u/>
      <color rgb="FF0000FF"/>
    </font>
  </fonts>
  <fills count="2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B6D7A8"/>
        <bgColor rgb="FFB6D7A8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bottom style="thick">
        <color rgb="FF0000FF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Font="1" applyNumberFormat="1"/>
    <xf borderId="0" fillId="0" fontId="1" numFmtId="3" xfId="0" applyAlignment="1" applyFont="1" applyNumberFormat="1">
      <alignment horizontal="center"/>
    </xf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2" xfId="0" applyFont="1" applyNumberFormat="1"/>
    <xf borderId="0" fillId="3" fontId="3" numFmtId="0" xfId="0" applyAlignment="1" applyFill="1" applyFont="1">
      <alignment readingOrder="0"/>
    </xf>
    <xf borderId="0" fillId="0" fontId="1" numFmtId="167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5" fontId="1" numFmtId="165" xfId="0" applyAlignment="1" applyFill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6" fontId="6" numFmtId="0" xfId="0" applyAlignment="1" applyFill="1" applyFont="1">
      <alignment readingOrder="0"/>
    </xf>
    <xf borderId="0" fillId="7" fontId="1" numFmtId="165" xfId="0" applyAlignment="1" applyFill="1" applyFont="1" applyNumberFormat="1">
      <alignment readingOrder="0"/>
    </xf>
    <xf borderId="0" fillId="8" fontId="7" numFmtId="0" xfId="0" applyAlignment="1" applyFill="1" applyFont="1">
      <alignment readingOrder="0"/>
    </xf>
    <xf borderId="0" fillId="8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9" fontId="1" numFmtId="165" xfId="0" applyAlignment="1" applyFill="1" applyFont="1" applyNumberFormat="1">
      <alignment readingOrder="0"/>
    </xf>
    <xf borderId="0" fillId="10" fontId="10" numFmtId="0" xfId="0" applyAlignment="1" applyFill="1" applyFont="1">
      <alignment readingOrder="0"/>
    </xf>
    <xf borderId="0" fillId="11" fontId="1" numFmtId="0" xfId="0" applyFill="1" applyFont="1"/>
    <xf borderId="0" fillId="11" fontId="1" numFmtId="165" xfId="0" applyAlignment="1" applyFont="1" applyNumberFormat="1">
      <alignment readingOrder="0"/>
    </xf>
    <xf borderId="0" fillId="12" fontId="1" numFmtId="165" xfId="0" applyFill="1" applyFont="1" applyNumberFormat="1"/>
    <xf borderId="0" fillId="0" fontId="1" numFmtId="0" xfId="0" applyAlignment="1" applyFont="1">
      <alignment horizontal="center"/>
    </xf>
    <xf borderId="1" fillId="13" fontId="11" numFmtId="0" xfId="0" applyAlignment="1" applyBorder="1" applyFill="1" applyFont="1">
      <alignment vertical="center"/>
    </xf>
    <xf borderId="2" fillId="13" fontId="11" numFmtId="0" xfId="0" applyAlignment="1" applyBorder="1" applyFont="1">
      <alignment vertical="center"/>
    </xf>
    <xf borderId="2" fillId="13" fontId="12" numFmtId="0" xfId="0" applyAlignment="1" applyBorder="1" applyFont="1">
      <alignment horizontal="center" vertical="center"/>
    </xf>
    <xf borderId="2" fillId="13" fontId="12" numFmtId="0" xfId="0" applyAlignment="1" applyBorder="1" applyFont="1">
      <alignment vertical="center"/>
    </xf>
    <xf borderId="2" fillId="13" fontId="12" numFmtId="168" xfId="0" applyAlignment="1" applyBorder="1" applyFont="1" applyNumberFormat="1">
      <alignment vertical="center"/>
    </xf>
    <xf borderId="2" fillId="13" fontId="12" numFmtId="169" xfId="0" applyAlignment="1" applyBorder="1" applyFont="1" applyNumberFormat="1">
      <alignment vertical="center"/>
    </xf>
    <xf borderId="3" fillId="13" fontId="12" numFmtId="3" xfId="0" applyAlignment="1" applyBorder="1" applyFont="1" applyNumberFormat="1">
      <alignment vertical="center"/>
    </xf>
    <xf borderId="4" fillId="0" fontId="13" numFmtId="0" xfId="0" applyAlignment="1" applyBorder="1" applyFont="1">
      <alignment horizontal="center" vertical="center"/>
    </xf>
    <xf borderId="5" fillId="0" fontId="14" numFmtId="0" xfId="0" applyBorder="1" applyFont="1"/>
    <xf borderId="6" fillId="0" fontId="14" numFmtId="0" xfId="0" applyBorder="1" applyFont="1"/>
    <xf borderId="7" fillId="0" fontId="15" numFmtId="0" xfId="0" applyBorder="1" applyFont="1"/>
    <xf borderId="8" fillId="0" fontId="15" numFmtId="0" xfId="0" applyBorder="1" applyFont="1"/>
    <xf borderId="1" fillId="13" fontId="15" numFmtId="0" xfId="0" applyAlignment="1" applyBorder="1" applyFont="1">
      <alignment readingOrder="0"/>
    </xf>
    <xf borderId="9" fillId="13" fontId="15" numFmtId="0" xfId="0" applyBorder="1" applyFont="1"/>
    <xf borderId="10" fillId="13" fontId="15" numFmtId="0" xfId="0" applyAlignment="1" applyBorder="1" applyFont="1">
      <alignment horizontal="center" vertical="center"/>
    </xf>
    <xf borderId="11" fillId="13" fontId="15" numFmtId="0" xfId="0" applyAlignment="1" applyBorder="1" applyFont="1">
      <alignment horizontal="center" vertical="center"/>
    </xf>
    <xf borderId="11" fillId="13" fontId="15" numFmtId="0" xfId="0" applyBorder="1" applyFont="1"/>
    <xf borderId="11" fillId="13" fontId="15" numFmtId="170" xfId="0" applyBorder="1" applyFont="1" applyNumberFormat="1"/>
    <xf borderId="11" fillId="13" fontId="15" numFmtId="168" xfId="0" applyBorder="1" applyFont="1" applyNumberFormat="1"/>
    <xf borderId="11" fillId="13" fontId="15" numFmtId="168" xfId="0" applyAlignment="1" applyBorder="1" applyFont="1" applyNumberFormat="1">
      <alignment readingOrder="0"/>
    </xf>
    <xf borderId="11" fillId="13" fontId="15" numFmtId="169" xfId="0" applyBorder="1" applyFont="1" applyNumberFormat="1"/>
    <xf borderId="12" fillId="13" fontId="15" numFmtId="0" xfId="0" applyBorder="1" applyFont="1"/>
    <xf borderId="13" fillId="13" fontId="15" numFmtId="0" xfId="0" applyBorder="1" applyFont="1"/>
    <xf borderId="11" fillId="13" fontId="16" numFmtId="3" xfId="0" applyAlignment="1" applyBorder="1" applyFont="1" applyNumberFormat="1">
      <alignment readingOrder="0"/>
    </xf>
    <xf borderId="14" fillId="0" fontId="15" numFmtId="0" xfId="0" applyBorder="1" applyFont="1"/>
    <xf borderId="15" fillId="0" fontId="15" numFmtId="0" xfId="0" applyBorder="1" applyFont="1"/>
    <xf borderId="0" fillId="14" fontId="17" numFmtId="3" xfId="0" applyAlignment="1" applyFill="1" applyFont="1" applyNumberFormat="1">
      <alignment readingOrder="0"/>
    </xf>
    <xf borderId="16" fillId="2" fontId="18" numFmtId="2" xfId="0" applyBorder="1" applyFont="1" applyNumberFormat="1"/>
    <xf borderId="16" fillId="15" fontId="1" numFmtId="2" xfId="0" applyBorder="1" applyFill="1" applyFont="1" applyNumberFormat="1"/>
    <xf borderId="14" fillId="0" fontId="15" numFmtId="1" xfId="0" applyAlignment="1" applyBorder="1" applyFont="1" applyNumberFormat="1">
      <alignment readingOrder="0"/>
    </xf>
    <xf borderId="8" fillId="0" fontId="15" numFmtId="1" xfId="0" applyAlignment="1" applyBorder="1" applyFont="1" applyNumberFormat="1">
      <alignment readingOrder="0"/>
    </xf>
    <xf borderId="1" fillId="16" fontId="15" numFmtId="0" xfId="0" applyAlignment="1" applyBorder="1" applyFill="1" applyFont="1">
      <alignment readingOrder="0"/>
    </xf>
    <xf borderId="17" fillId="16" fontId="15" numFmtId="0" xfId="0" applyBorder="1" applyFont="1"/>
    <xf borderId="1" fillId="16" fontId="19" numFmtId="0" xfId="0" applyAlignment="1" applyBorder="1" applyFont="1">
      <alignment horizontal="center" vertical="center"/>
    </xf>
    <xf borderId="18" fillId="16" fontId="15" numFmtId="0" xfId="0" applyAlignment="1" applyBorder="1" applyFont="1">
      <alignment horizontal="center" vertical="center"/>
    </xf>
    <xf borderId="19" fillId="16" fontId="15" numFmtId="0" xfId="0" applyBorder="1" applyFont="1"/>
    <xf borderId="19" fillId="16" fontId="15" numFmtId="170" xfId="0" applyBorder="1" applyFont="1" applyNumberFormat="1"/>
    <xf borderId="1" fillId="16" fontId="15" numFmtId="171" xfId="0" applyBorder="1" applyFont="1" applyNumberFormat="1"/>
    <xf borderId="20" fillId="16" fontId="15" numFmtId="168" xfId="0" applyBorder="1" applyFont="1" applyNumberFormat="1"/>
    <xf borderId="19" fillId="16" fontId="15" numFmtId="172" xfId="0" applyBorder="1" applyFont="1" applyNumberFormat="1"/>
    <xf borderId="19" fillId="16" fontId="15" numFmtId="168" xfId="0" applyBorder="1" applyFont="1" applyNumberFormat="1"/>
    <xf borderId="19" fillId="16" fontId="15" numFmtId="169" xfId="0" applyAlignment="1" applyBorder="1" applyFont="1" applyNumberFormat="1">
      <alignment readingOrder="0"/>
    </xf>
    <xf borderId="17" fillId="16" fontId="15" numFmtId="172" xfId="0" applyBorder="1" applyFont="1" applyNumberFormat="1"/>
    <xf borderId="19" fillId="16" fontId="15" numFmtId="3" xfId="0" applyAlignment="1" applyBorder="1" applyFont="1" applyNumberFormat="1">
      <alignment readingOrder="0"/>
    </xf>
    <xf borderId="0" fillId="0" fontId="15" numFmtId="0" xfId="0" applyAlignment="1" applyFont="1">
      <alignment readingOrder="0" vertical="center"/>
    </xf>
    <xf borderId="21" fillId="0" fontId="15" numFmtId="0" xfId="0" applyAlignment="1" applyBorder="1" applyFont="1">
      <alignment readingOrder="0" vertical="center"/>
    </xf>
    <xf borderId="22" fillId="0" fontId="15" numFmtId="0" xfId="0" applyAlignment="1" applyBorder="1" applyFont="1">
      <alignment vertical="center"/>
    </xf>
    <xf borderId="23" fillId="16" fontId="15" numFmtId="0" xfId="0" applyBorder="1" applyFont="1"/>
    <xf borderId="24" fillId="16" fontId="15" numFmtId="0" xfId="0" applyAlignment="1" applyBorder="1" applyFont="1">
      <alignment horizontal="center" vertical="center"/>
    </xf>
    <xf borderId="1" fillId="16" fontId="15" numFmtId="0" xfId="0" applyBorder="1" applyFont="1"/>
    <xf borderId="1" fillId="16" fontId="15" numFmtId="170" xfId="0" applyBorder="1" applyFont="1" applyNumberFormat="1"/>
    <xf borderId="20" fillId="16" fontId="15" numFmtId="170" xfId="0" applyBorder="1" applyFont="1" applyNumberFormat="1"/>
    <xf borderId="20" fillId="16" fontId="15" numFmtId="172" xfId="0" applyBorder="1" applyFont="1" applyNumberFormat="1"/>
    <xf borderId="1" fillId="16" fontId="15" numFmtId="169" xfId="0" applyAlignment="1" applyBorder="1" applyFont="1" applyNumberFormat="1">
      <alignment readingOrder="0"/>
    </xf>
    <xf borderId="23" fillId="16" fontId="15" numFmtId="172" xfId="0" applyBorder="1" applyFont="1" applyNumberFormat="1"/>
    <xf borderId="25" fillId="0" fontId="15" numFmtId="0" xfId="0" applyBorder="1" applyFont="1"/>
    <xf borderId="26" fillId="0" fontId="15" numFmtId="170" xfId="0" applyAlignment="1" applyBorder="1" applyFont="1" applyNumberFormat="1">
      <alignment horizontal="center" vertical="center"/>
    </xf>
    <xf borderId="27" fillId="0" fontId="15" numFmtId="173" xfId="0" applyAlignment="1" applyBorder="1" applyFont="1" applyNumberFormat="1">
      <alignment horizontal="right"/>
    </xf>
    <xf borderId="4" fillId="0" fontId="15" numFmtId="0" xfId="0" applyAlignment="1" applyBorder="1" applyFont="1">
      <alignment horizontal="center"/>
    </xf>
    <xf borderId="28" fillId="0" fontId="15" numFmtId="0" xfId="0" applyBorder="1" applyFont="1"/>
    <xf borderId="1" fillId="0" fontId="15" numFmtId="170" xfId="0" applyAlignment="1" applyBorder="1" applyFont="1" applyNumberFormat="1">
      <alignment horizontal="center" vertical="center"/>
    </xf>
    <xf borderId="29" fillId="0" fontId="15" numFmtId="173" xfId="0" applyAlignment="1" applyBorder="1" applyFont="1" applyNumberFormat="1">
      <alignment horizontal="right"/>
    </xf>
    <xf borderId="4" fillId="0" fontId="15" numFmtId="174" xfId="0" applyAlignment="1" applyBorder="1" applyFont="1" applyNumberFormat="1">
      <alignment horizontal="center"/>
    </xf>
    <xf borderId="0" fillId="0" fontId="15" numFmtId="0" xfId="0" applyFont="1"/>
    <xf borderId="19" fillId="17" fontId="15" numFmtId="3" xfId="0" applyAlignment="1" applyBorder="1" applyFill="1" applyFont="1" applyNumberFormat="1">
      <alignment readingOrder="0"/>
    </xf>
    <xf borderId="23" fillId="17" fontId="15" numFmtId="0" xfId="0" applyBorder="1" applyFont="1"/>
    <xf borderId="1" fillId="17" fontId="19" numFmtId="0" xfId="0" applyAlignment="1" applyBorder="1" applyFont="1">
      <alignment horizontal="center" vertical="center"/>
    </xf>
    <xf borderId="24" fillId="17" fontId="15" numFmtId="0" xfId="0" applyAlignment="1" applyBorder="1" applyFont="1">
      <alignment horizontal="center" vertical="center"/>
    </xf>
    <xf borderId="1" fillId="17" fontId="15" numFmtId="0" xfId="0" applyBorder="1" applyFont="1"/>
    <xf borderId="1" fillId="17" fontId="15" numFmtId="170" xfId="0" applyBorder="1" applyFont="1" applyNumberFormat="1"/>
    <xf borderId="20" fillId="17" fontId="15" numFmtId="170" xfId="0" applyBorder="1" applyFont="1" applyNumberFormat="1"/>
    <xf borderId="20" fillId="17" fontId="15" numFmtId="172" xfId="0" applyBorder="1" applyFont="1" applyNumberFormat="1"/>
    <xf borderId="1" fillId="17" fontId="15" numFmtId="169" xfId="0" applyAlignment="1" applyBorder="1" applyFont="1" applyNumberFormat="1">
      <alignment readingOrder="0"/>
    </xf>
    <xf borderId="30" fillId="0" fontId="15" numFmtId="0" xfId="0" applyBorder="1" applyFont="1"/>
    <xf borderId="31" fillId="0" fontId="15" numFmtId="170" xfId="0" applyAlignment="1" applyBorder="1" applyFont="1" applyNumberFormat="1">
      <alignment horizontal="center" vertical="center"/>
    </xf>
    <xf borderId="32" fillId="0" fontId="15" numFmtId="173" xfId="0" applyAlignment="1" applyBorder="1" applyFont="1" applyNumberFormat="1">
      <alignment horizontal="right"/>
    </xf>
    <xf borderId="16" fillId="0" fontId="15" numFmtId="173" xfId="0" applyBorder="1" applyFont="1" applyNumberFormat="1"/>
    <xf borderId="16" fillId="0" fontId="15" numFmtId="0" xfId="0" applyBorder="1" applyFont="1"/>
    <xf borderId="16" fillId="0" fontId="15" numFmtId="1" xfId="0" applyBorder="1" applyFont="1" applyNumberFormat="1"/>
    <xf borderId="27" fillId="0" fontId="15" numFmtId="175" xfId="0" applyBorder="1" applyFont="1" applyNumberFormat="1"/>
    <xf borderId="19" fillId="18" fontId="15" numFmtId="3" xfId="0" applyAlignment="1" applyBorder="1" applyFill="1" applyFont="1" applyNumberFormat="1">
      <alignment readingOrder="0"/>
    </xf>
    <xf borderId="32" fillId="0" fontId="15" numFmtId="175" xfId="0" applyBorder="1" applyFont="1" applyNumberFormat="1"/>
    <xf borderId="23" fillId="19" fontId="15" numFmtId="0" xfId="0" applyBorder="1" applyFill="1" applyFont="1"/>
    <xf borderId="1" fillId="19" fontId="19" numFmtId="0" xfId="0" applyAlignment="1" applyBorder="1" applyFont="1">
      <alignment horizontal="center" vertical="center"/>
    </xf>
    <xf borderId="24" fillId="19" fontId="15" numFmtId="0" xfId="0" applyAlignment="1" applyBorder="1" applyFont="1">
      <alignment horizontal="center" vertical="center"/>
    </xf>
    <xf borderId="1" fillId="19" fontId="15" numFmtId="0" xfId="0" applyBorder="1" applyFont="1"/>
    <xf borderId="1" fillId="19" fontId="15" numFmtId="170" xfId="0" applyBorder="1" applyFont="1" applyNumberFormat="1"/>
    <xf borderId="20" fillId="19" fontId="15" numFmtId="170" xfId="0" applyBorder="1" applyFont="1" applyNumberFormat="1"/>
    <xf borderId="20" fillId="19" fontId="15" numFmtId="172" xfId="0" applyBorder="1" applyFont="1" applyNumberFormat="1"/>
    <xf borderId="1" fillId="19" fontId="15" numFmtId="169" xfId="0" applyAlignment="1" applyBorder="1" applyFont="1" applyNumberFormat="1">
      <alignment readingOrder="0"/>
    </xf>
    <xf borderId="19" fillId="19" fontId="15" numFmtId="3" xfId="0" applyAlignment="1" applyBorder="1" applyFont="1" applyNumberFormat="1">
      <alignment readingOrder="0"/>
    </xf>
    <xf borderId="0" fillId="0" fontId="1" numFmtId="169" xfId="0" applyFont="1" applyNumberFormat="1"/>
    <xf borderId="19" fillId="20" fontId="15" numFmtId="3" xfId="0" applyAlignment="1" applyBorder="1" applyFill="1" applyFont="1" applyNumberFormat="1">
      <alignment readingOrder="0"/>
    </xf>
    <xf borderId="0" fillId="0" fontId="15" numFmtId="170" xfId="0" applyFont="1" applyNumberFormat="1"/>
    <xf borderId="23" fillId="18" fontId="15" numFmtId="0" xfId="0" applyBorder="1" applyFont="1"/>
    <xf borderId="1" fillId="18" fontId="19" numFmtId="0" xfId="0" applyAlignment="1" applyBorder="1" applyFont="1">
      <alignment horizontal="center" vertical="center"/>
    </xf>
    <xf borderId="24" fillId="18" fontId="15" numFmtId="0" xfId="0" applyAlignment="1" applyBorder="1" applyFont="1">
      <alignment horizontal="center" vertical="center"/>
    </xf>
    <xf borderId="1" fillId="18" fontId="15" numFmtId="0" xfId="0" applyBorder="1" applyFont="1"/>
    <xf borderId="1" fillId="18" fontId="15" numFmtId="170" xfId="0" applyBorder="1" applyFont="1" applyNumberFormat="1"/>
    <xf borderId="20" fillId="18" fontId="15" numFmtId="170" xfId="0" applyBorder="1" applyFont="1" applyNumberFormat="1"/>
    <xf borderId="20" fillId="18" fontId="15" numFmtId="172" xfId="0" applyBorder="1" applyFont="1" applyNumberFormat="1"/>
    <xf borderId="1" fillId="18" fontId="15" numFmtId="169" xfId="0" applyAlignment="1" applyBorder="1" applyFont="1" applyNumberFormat="1">
      <alignment readingOrder="0"/>
    </xf>
    <xf borderId="4" fillId="0" fontId="20" numFmtId="0" xfId="0" applyAlignment="1" applyBorder="1" applyFont="1">
      <alignment horizontal="center" vertical="center"/>
    </xf>
    <xf borderId="0" fillId="0" fontId="15" numFmtId="173" xfId="0" applyFont="1" applyNumberFormat="1"/>
    <xf borderId="33" fillId="0" fontId="15" numFmtId="0" xfId="0" applyAlignment="1" applyBorder="1" applyFont="1">
      <alignment readingOrder="0"/>
    </xf>
    <xf borderId="18" fillId="0" fontId="15" numFmtId="0" xfId="0" applyBorder="1" applyFont="1"/>
    <xf borderId="19" fillId="0" fontId="15" numFmtId="0" xfId="0" applyBorder="1" applyFont="1"/>
    <xf borderId="17" fillId="0" fontId="15" numFmtId="0" xfId="0" applyAlignment="1" applyBorder="1" applyFont="1">
      <alignment horizontal="center"/>
    </xf>
    <xf borderId="18" fillId="0" fontId="14" numFmtId="0" xfId="0" applyBorder="1" applyFont="1"/>
    <xf borderId="17" fillId="0" fontId="15" numFmtId="0" xfId="0" applyAlignment="1" applyBorder="1" applyFont="1">
      <alignment readingOrder="0"/>
    </xf>
    <xf borderId="34" fillId="0" fontId="15" numFmtId="0" xfId="0" applyBorder="1" applyFont="1"/>
    <xf borderId="35" fillId="0" fontId="15" numFmtId="0" xfId="0" applyBorder="1" applyFont="1"/>
    <xf borderId="1" fillId="0" fontId="15" numFmtId="0" xfId="0" applyBorder="1" applyFont="1"/>
    <xf borderId="36" fillId="0" fontId="15" numFmtId="1" xfId="0" applyBorder="1" applyFont="1" applyNumberFormat="1"/>
    <xf borderId="29" fillId="0" fontId="15" numFmtId="1" xfId="0" applyBorder="1" applyFont="1" applyNumberFormat="1"/>
    <xf borderId="28" fillId="21" fontId="15" numFmtId="0" xfId="0" applyAlignment="1" applyBorder="1" applyFill="1" applyFont="1">
      <alignment readingOrder="0"/>
    </xf>
    <xf borderId="35" fillId="0" fontId="15" numFmtId="3" xfId="0" applyBorder="1" applyFont="1" applyNumberFormat="1"/>
    <xf borderId="23" fillId="20" fontId="15" numFmtId="0" xfId="0" applyBorder="1" applyFont="1"/>
    <xf borderId="1" fillId="20" fontId="19" numFmtId="0" xfId="0" applyAlignment="1" applyBorder="1" applyFont="1">
      <alignment horizontal="center" vertical="center"/>
    </xf>
    <xf borderId="24" fillId="20" fontId="15" numFmtId="0" xfId="0" applyAlignment="1" applyBorder="1" applyFont="1">
      <alignment horizontal="center" vertical="center"/>
    </xf>
    <xf borderId="1" fillId="20" fontId="15" numFmtId="0" xfId="0" applyBorder="1" applyFont="1"/>
    <xf borderId="1" fillId="20" fontId="15" numFmtId="170" xfId="0" applyBorder="1" applyFont="1" applyNumberFormat="1"/>
    <xf borderId="20" fillId="20" fontId="15" numFmtId="170" xfId="0" applyBorder="1" applyFont="1" applyNumberFormat="1"/>
    <xf borderId="20" fillId="20" fontId="15" numFmtId="172" xfId="0" applyBorder="1" applyFont="1" applyNumberFormat="1"/>
    <xf borderId="1" fillId="20" fontId="15" numFmtId="169" xfId="0" applyAlignment="1" applyBorder="1" applyFont="1" applyNumberFormat="1">
      <alignment readingOrder="0"/>
    </xf>
    <xf borderId="1" fillId="0" fontId="15" numFmtId="0" xfId="0" applyBorder="1" applyFont="1"/>
    <xf borderId="20" fillId="20" fontId="19" numFmtId="0" xfId="0" applyAlignment="1" applyBorder="1" applyFont="1">
      <alignment horizontal="center" vertical="center"/>
    </xf>
    <xf borderId="1" fillId="20" fontId="15" numFmtId="0" xfId="0" applyAlignment="1" applyBorder="1" applyFont="1">
      <alignment horizontal="center" vertical="center"/>
    </xf>
    <xf borderId="19" fillId="0" fontId="15" numFmtId="3" xfId="0" applyAlignment="1" applyBorder="1" applyFont="1" applyNumberFormat="1">
      <alignment readingOrder="0"/>
    </xf>
    <xf borderId="1" fillId="0" fontId="19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5" numFmtId="170" xfId="0" applyBorder="1" applyFont="1" applyNumberFormat="1"/>
    <xf borderId="20" fillId="0" fontId="15" numFmtId="170" xfId="0" applyBorder="1" applyFont="1" applyNumberFormat="1"/>
    <xf borderId="20" fillId="0" fontId="15" numFmtId="172" xfId="0" applyBorder="1" applyFont="1" applyNumberFormat="1"/>
    <xf borderId="1" fillId="0" fontId="15" numFmtId="169" xfId="0" applyAlignment="1" applyBorder="1" applyFont="1" applyNumberFormat="1">
      <alignment readingOrder="0"/>
    </xf>
    <xf borderId="19" fillId="0" fontId="15" numFmtId="170" xfId="0" applyBorder="1" applyFont="1" applyNumberFormat="1"/>
    <xf borderId="19" fillId="0" fontId="15" numFmtId="172" xfId="0" applyBorder="1" applyFont="1" applyNumberFormat="1"/>
    <xf borderId="1" fillId="0" fontId="15" numFmtId="169" xfId="0" applyBorder="1" applyFont="1" applyNumberFormat="1"/>
    <xf borderId="35" fillId="0" fontId="15" numFmtId="0" xfId="0" applyAlignment="1" applyBorder="1" applyFont="1">
      <alignment readingOrder="0"/>
    </xf>
    <xf borderId="1" fillId="0" fontId="15" numFmtId="171" xfId="0" applyBorder="1" applyFont="1" applyNumberFormat="1"/>
    <xf borderId="30" fillId="21" fontId="15" numFmtId="0" xfId="0" applyAlignment="1" applyBorder="1" applyFont="1">
      <alignment readingOrder="0"/>
    </xf>
    <xf borderId="37" fillId="0" fontId="15" numFmtId="0" xfId="0" applyAlignment="1" applyBorder="1" applyFont="1">
      <alignment readingOrder="0"/>
    </xf>
    <xf borderId="31" fillId="0" fontId="15" numFmtId="0" xfId="0" applyBorder="1" applyFont="1"/>
    <xf borderId="38" fillId="0" fontId="15" numFmtId="1" xfId="0" applyBorder="1" applyFont="1" applyNumberFormat="1"/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/>
    </xf>
    <xf borderId="1" fillId="16" fontId="15" numFmtId="171" xfId="0" applyAlignment="1" applyBorder="1" applyFont="1" applyNumberFormat="1">
      <alignment readingOrder="0"/>
    </xf>
    <xf borderId="1" fillId="0" fontId="19" numFmtId="0" xfId="0" applyAlignment="1" applyBorder="1" applyFont="1">
      <alignment horizontal="center" readingOrder="0" vertical="center"/>
    </xf>
    <xf borderId="1" fillId="0" fontId="15" numFmtId="170" xfId="0" applyAlignment="1" applyBorder="1" applyFont="1" applyNumberFormat="1">
      <alignment readingOrder="0"/>
    </xf>
    <xf borderId="37" fillId="0" fontId="15" numFmtId="3" xfId="0" applyBorder="1" applyFont="1" applyNumberFormat="1"/>
    <xf borderId="31" fillId="0" fontId="15" numFmtId="0" xfId="0" applyBorder="1" applyFont="1"/>
    <xf borderId="31" fillId="0" fontId="15" numFmtId="0" xfId="0" applyAlignment="1" applyBorder="1" applyFont="1">
      <alignment readingOrder="0"/>
    </xf>
    <xf borderId="30" fillId="22" fontId="15" numFmtId="0" xfId="0" applyAlignment="1" applyBorder="1" applyFill="1" applyFont="1">
      <alignment readingOrder="0"/>
    </xf>
    <xf borderId="28" fillId="22" fontId="15" numFmtId="0" xfId="0" applyAlignment="1" applyBorder="1" applyFont="1">
      <alignment readingOrder="0"/>
    </xf>
    <xf borderId="35" fillId="23" fontId="15" numFmtId="0" xfId="0" applyAlignment="1" applyBorder="1" applyFill="1" applyFont="1">
      <alignment readingOrder="0"/>
    </xf>
    <xf borderId="39" fillId="0" fontId="15" numFmtId="0" xfId="0" applyAlignment="1" applyBorder="1" applyFont="1">
      <alignment readingOrder="0"/>
    </xf>
    <xf borderId="39" fillId="0" fontId="15" numFmtId="0" xfId="0" applyAlignment="1" applyBorder="1" applyFont="1">
      <alignment horizontal="center" readingOrder="0" vertical="center"/>
    </xf>
    <xf borderId="39" fillId="0" fontId="15" numFmtId="170" xfId="0" applyAlignment="1" applyBorder="1" applyFont="1" applyNumberFormat="1">
      <alignment readingOrder="0"/>
    </xf>
    <xf borderId="40" fillId="0" fontId="15" numFmtId="170" xfId="0" applyBorder="1" applyFont="1" applyNumberFormat="1"/>
    <xf borderId="41" fillId="16" fontId="15" numFmtId="168" xfId="0" applyBorder="1" applyFont="1" applyNumberFormat="1"/>
    <xf borderId="40" fillId="0" fontId="15" numFmtId="172" xfId="0" applyBorder="1" applyFont="1" applyNumberFormat="1"/>
    <xf borderId="39" fillId="0" fontId="15" numFmtId="169" xfId="0" applyAlignment="1" applyBorder="1" applyFont="1" applyNumberFormat="1">
      <alignment readingOrder="0"/>
    </xf>
    <xf borderId="42" fillId="16" fontId="15" numFmtId="172" xfId="0" applyBorder="1" applyFont="1" applyNumberFormat="1"/>
    <xf borderId="40" fillId="0" fontId="15" numFmtId="3" xfId="0" applyAlignment="1" applyBorder="1" applyFont="1" applyNumberFormat="1">
      <alignment readingOrder="0"/>
    </xf>
    <xf borderId="43" fillId="0" fontId="15" numFmtId="0" xfId="0" applyAlignment="1" applyBorder="1" applyFont="1">
      <alignment readingOrder="0"/>
    </xf>
    <xf borderId="43" fillId="0" fontId="15" numFmtId="0" xfId="0" applyAlignment="1" applyBorder="1" applyFont="1">
      <alignment horizontal="center" readingOrder="0" vertical="center"/>
    </xf>
    <xf borderId="43" fillId="0" fontId="15" numFmtId="170" xfId="0" applyAlignment="1" applyBorder="1" applyFont="1" applyNumberFormat="1">
      <alignment readingOrder="0"/>
    </xf>
    <xf borderId="43" fillId="0" fontId="15" numFmtId="170" xfId="0" applyBorder="1" applyFont="1" applyNumberFormat="1"/>
    <xf borderId="43" fillId="16" fontId="15" numFmtId="168" xfId="0" applyBorder="1" applyFont="1" applyNumberFormat="1"/>
    <xf borderId="43" fillId="0" fontId="15" numFmtId="172" xfId="0" applyBorder="1" applyFont="1" applyNumberFormat="1"/>
    <xf borderId="43" fillId="0" fontId="15" numFmtId="169" xfId="0" applyAlignment="1" applyBorder="1" applyFont="1" applyNumberFormat="1">
      <alignment readingOrder="0"/>
    </xf>
    <xf borderId="44" fillId="16" fontId="15" numFmtId="172" xfId="0" applyBorder="1" applyFont="1" applyNumberFormat="1"/>
    <xf borderId="43" fillId="0" fontId="15" numFmtId="3" xfId="0" applyAlignment="1" applyBorder="1" applyFont="1" applyNumberFormat="1">
      <alignment readingOrder="0"/>
    </xf>
    <xf borderId="28" fillId="22" fontId="15" numFmtId="0" xfId="0" applyBorder="1" applyFont="1"/>
    <xf borderId="30" fillId="22" fontId="15" numFmtId="0" xfId="0" applyBorder="1" applyFont="1"/>
    <xf borderId="37" fillId="0" fontId="15" numFmtId="0" xfId="0" applyBorder="1" applyFont="1"/>
    <xf borderId="1" fillId="0" fontId="15" numFmtId="3" xfId="0" applyAlignment="1" applyBorder="1" applyFont="1" applyNumberFormat="1">
      <alignment readingOrder="0"/>
    </xf>
    <xf borderId="1" fillId="16" fontId="15" numFmtId="168" xfId="0" applyBorder="1" applyFont="1" applyNumberFormat="1"/>
    <xf borderId="1" fillId="0" fontId="15" numFmtId="172" xfId="0" applyBorder="1" applyFont="1" applyNumberFormat="1"/>
    <xf borderId="39" fillId="0" fontId="15" numFmtId="170" xfId="0" applyBorder="1" applyFont="1" applyNumberFormat="1"/>
    <xf borderId="39" fillId="16" fontId="15" numFmtId="168" xfId="0" applyBorder="1" applyFont="1" applyNumberFormat="1"/>
    <xf borderId="39" fillId="0" fontId="15" numFmtId="172" xfId="0" applyBorder="1" applyFont="1" applyNumberFormat="1"/>
    <xf borderId="39" fillId="0" fontId="15" numFmtId="3" xfId="0" applyAlignment="1" applyBorder="1" applyFont="1" applyNumberFormat="1">
      <alignment readingOrder="0"/>
    </xf>
    <xf borderId="1" fillId="0" fontId="15" numFmtId="3" xfId="0" applyBorder="1" applyFont="1" applyNumberFormat="1"/>
    <xf borderId="45" fillId="0" fontId="15" numFmtId="0" xfId="0" applyAlignment="1" applyBorder="1" applyFont="1">
      <alignment readingOrder="0"/>
    </xf>
    <xf borderId="45" fillId="0" fontId="15" numFmtId="0" xfId="0" applyAlignment="1" applyBorder="1" applyFont="1">
      <alignment horizontal="center" readingOrder="0" vertical="center"/>
    </xf>
    <xf borderId="45" fillId="0" fontId="15" numFmtId="170" xfId="0" applyAlignment="1" applyBorder="1" applyFont="1" applyNumberFormat="1">
      <alignment readingOrder="0"/>
    </xf>
    <xf borderId="45" fillId="0" fontId="15" numFmtId="170" xfId="0" applyBorder="1" applyFont="1" applyNumberFormat="1"/>
    <xf borderId="45" fillId="16" fontId="15" numFmtId="168" xfId="0" applyBorder="1" applyFont="1" applyNumberFormat="1"/>
    <xf borderId="45" fillId="0" fontId="15" numFmtId="172" xfId="0" applyBorder="1" applyFont="1" applyNumberFormat="1"/>
    <xf borderId="46" fillId="16" fontId="15" numFmtId="168" xfId="0" applyBorder="1" applyFont="1" applyNumberFormat="1"/>
    <xf borderId="45" fillId="0" fontId="15" numFmtId="169" xfId="0" applyAlignment="1" applyBorder="1" applyFont="1" applyNumberFormat="1">
      <alignment readingOrder="0"/>
    </xf>
    <xf borderId="47" fillId="16" fontId="15" numFmtId="172" xfId="0" applyBorder="1" applyFont="1" applyNumberFormat="1"/>
    <xf borderId="45" fillId="0" fontId="15" numFmtId="3" xfId="0" applyBorder="1" applyFont="1" applyNumberFormat="1"/>
    <xf borderId="45" fillId="0" fontId="15" numFmtId="3" xfId="0" applyAlignment="1" applyBorder="1" applyFont="1" applyNumberFormat="1">
      <alignment readingOrder="0"/>
    </xf>
    <xf borderId="19" fillId="0" fontId="15" numFmtId="0" xfId="0" applyAlignment="1" applyBorder="1" applyFont="1">
      <alignment readingOrder="0"/>
    </xf>
    <xf borderId="19" fillId="0" fontId="15" numFmtId="0" xfId="0" applyAlignment="1" applyBorder="1" applyFont="1">
      <alignment horizontal="center" readingOrder="0" vertical="center"/>
    </xf>
    <xf borderId="19" fillId="0" fontId="15" numFmtId="170" xfId="0" applyAlignment="1" applyBorder="1" applyFont="1" applyNumberFormat="1">
      <alignment readingOrder="0"/>
    </xf>
    <xf borderId="19" fillId="0" fontId="15" numFmtId="169" xfId="0" applyAlignment="1" applyBorder="1" applyFont="1" applyNumberFormat="1">
      <alignment readingOrder="0"/>
    </xf>
    <xf borderId="48" fillId="16" fontId="15" numFmtId="172" xfId="0" applyBorder="1" applyFont="1" applyNumberForma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16" fontId="15" numFmtId="172" xfId="0" applyBorder="1" applyFont="1" applyNumberFormat="1"/>
    <xf borderId="49" fillId="0" fontId="15" numFmtId="0" xfId="0" applyAlignment="1" applyBorder="1" applyFont="1">
      <alignment readingOrder="0"/>
    </xf>
    <xf borderId="49" fillId="0" fontId="15" numFmtId="0" xfId="0" applyAlignment="1" applyBorder="1" applyFont="1">
      <alignment horizontal="center" readingOrder="0" vertical="center"/>
    </xf>
    <xf borderId="49" fillId="0" fontId="15" numFmtId="170" xfId="0" applyAlignment="1" applyBorder="1" applyFont="1" applyNumberFormat="1">
      <alignment readingOrder="0"/>
    </xf>
    <xf borderId="49" fillId="0" fontId="15" numFmtId="170" xfId="0" applyBorder="1" applyFont="1" applyNumberFormat="1"/>
    <xf borderId="49" fillId="16" fontId="15" numFmtId="168" xfId="0" applyBorder="1" applyFont="1" applyNumberFormat="1"/>
    <xf borderId="49" fillId="0" fontId="15" numFmtId="172" xfId="0" applyBorder="1" applyFont="1" applyNumberFormat="1"/>
    <xf borderId="49" fillId="0" fontId="15" numFmtId="169" xfId="0" applyAlignment="1" applyBorder="1" applyFont="1" applyNumberFormat="1">
      <alignment readingOrder="0"/>
    </xf>
    <xf borderId="49" fillId="16" fontId="15" numFmtId="172" xfId="0" applyBorder="1" applyFont="1" applyNumberFormat="1"/>
    <xf borderId="49" fillId="0" fontId="15" numFmtId="3" xfId="0" applyAlignment="1" applyBorder="1" applyFont="1" applyNumberFormat="1">
      <alignment readingOrder="0"/>
    </xf>
    <xf borderId="50" fillId="0" fontId="1" numFmtId="0" xfId="0" applyBorder="1" applyFont="1"/>
    <xf borderId="36" fillId="0" fontId="15" numFmtId="0" xfId="0" applyAlignment="1" applyBorder="1" applyFont="1">
      <alignment readingOrder="0"/>
    </xf>
    <xf borderId="23" fillId="0" fontId="15" numFmtId="172" xfId="0" applyBorder="1" applyFont="1" applyNumberFormat="1"/>
    <xf borderId="1" fillId="0" fontId="15" numFmtId="168" xfId="0" applyBorder="1" applyFont="1" applyNumberFormat="1"/>
    <xf borderId="36" fillId="0" fontId="15" numFmtId="0" xfId="0" applyBorder="1" applyFont="1"/>
    <xf borderId="1" fillId="0" fontId="1" numFmtId="0" xfId="0" applyBorder="1" applyFont="1"/>
    <xf borderId="0" fillId="0" fontId="1" numFmtId="168" xfId="0" applyFont="1" applyNumberFormat="1"/>
    <xf borderId="0" fillId="0" fontId="1" numFmtId="3" xfId="0" applyFont="1" applyNumberFormat="1"/>
    <xf borderId="0" fillId="0" fontId="1" numFmtId="4" xfId="0" applyAlignment="1" applyFont="1" applyNumberFormat="1">
      <alignment readingOrder="0"/>
    </xf>
    <xf borderId="0" fillId="0" fontId="21" numFmtId="165" xfId="0" applyFont="1" applyNumberFormat="1"/>
    <xf borderId="0" fillId="0" fontId="21" numFmtId="0" xfId="0" applyFont="1"/>
    <xf borderId="0" fillId="4" fontId="1" numFmtId="0" xfId="0" applyFont="1"/>
    <xf borderId="0" fillId="0" fontId="22" numFmtId="165" xfId="0" applyAlignment="1" applyFont="1" applyNumberFormat="1">
      <alignment horizontal="right"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14" fontId="24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DB9CA"/>
          <bgColor rgb="FFADB9CA"/>
        </patternFill>
      </fill>
      <border/>
    </dxf>
    <dxf>
      <font>
        <color theme="1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kings.post.japanpost.jp/services/srv/search/direct?searchKind=S004&amp;locale=en&amp;reqCodeNo1=CN125489106JP" TargetMode="External"/><Relationship Id="rId42" Type="http://schemas.openxmlformats.org/officeDocument/2006/relationships/hyperlink" Target="https://trackings.post.japanpost.jp/services/srv/search/direct?searchKind=S004&amp;locale=en&amp;reqCodeNo1=CN125435765JP" TargetMode="External"/><Relationship Id="rId41" Type="http://schemas.openxmlformats.org/officeDocument/2006/relationships/hyperlink" Target="https://trackings.post.japanpost.jp/services/srv/search/direct?searchKind=S004&amp;locale=en&amp;reqCodeNo1=CN125540914JP" TargetMode="External"/><Relationship Id="rId44" Type="http://schemas.openxmlformats.org/officeDocument/2006/relationships/hyperlink" Target="https://trackings.post.japanpost.jp/services/srv/search/direct?searchKind=S004&amp;locale=en&amp;reqCodeNo1=CN126179587JP" TargetMode="External"/><Relationship Id="rId43" Type="http://schemas.openxmlformats.org/officeDocument/2006/relationships/hyperlink" Target="https://trackings.post.japanpost.jp/services/srv/search/direct?searchKind=S004&amp;locale=en&amp;reqCodeNo1=CN125810801JP" TargetMode="External"/><Relationship Id="rId46" Type="http://schemas.openxmlformats.org/officeDocument/2006/relationships/hyperlink" Target="https://trackings.post.japanpost.jp/services/srv/search/direct?searchKind=S004&amp;locale=en&amp;reqCodeNo1=CN126057331JP" TargetMode="External"/><Relationship Id="rId45" Type="http://schemas.openxmlformats.org/officeDocument/2006/relationships/hyperlink" Target="https://trackings.post.japanpost.jp/services/srv/search/direct?searchKind=S004&amp;locale=en&amp;reqCodeNo1=CN125595728JP" TargetMode="External"/><Relationship Id="rId1" Type="http://schemas.openxmlformats.org/officeDocument/2006/relationships/hyperlink" Target="https://trackings.post.japanpost.jp/services/srv/search/direct?searchKind=S004&amp;locale=en&amp;reqCodeNo1=CN110167833JP" TargetMode="External"/><Relationship Id="rId2" Type="http://schemas.openxmlformats.org/officeDocument/2006/relationships/hyperlink" Target="https://trackings.post.japanpost.jp/services/srv/search/direct?searchKind=S004&amp;locale=en&amp;reqCodeNo1=CN110110051JP" TargetMode="External"/><Relationship Id="rId3" Type="http://schemas.openxmlformats.org/officeDocument/2006/relationships/hyperlink" Target="https://trackings.post.japanpost.jp/services/srv/search/direct?searchKind=S004&amp;locale=en&amp;reqCodeNo1=CN110593867JP" TargetMode="External"/><Relationship Id="rId4" Type="http://schemas.openxmlformats.org/officeDocument/2006/relationships/hyperlink" Target="https://trackings.post.japanpost.jp/services/srv/search/direct?searchKind=S004&amp;locale=en&amp;reqCodeNo1=CN110868218JP" TargetMode="External"/><Relationship Id="rId9" Type="http://schemas.openxmlformats.org/officeDocument/2006/relationships/hyperlink" Target="https://trackings.post.japanpost.jp/services/srv/search/direct?searchKind=S004&amp;locale=en&amp;reqCodeNo1=CN112866696JP" TargetMode="External"/><Relationship Id="rId48" Type="http://schemas.openxmlformats.org/officeDocument/2006/relationships/hyperlink" Target="https://trackings.post.japanpost.jp/services/srv/search/direct?searchKind=S004&amp;locale=en&amp;reqCodeNo1=CN126114983JP" TargetMode="External"/><Relationship Id="rId47" Type="http://schemas.openxmlformats.org/officeDocument/2006/relationships/hyperlink" Target="https://trackings.post.japanpost.jp/services/srv/search/direct?searchKind=S004&amp;locale=en&amp;reqCodeNo1=CN126169457JP" TargetMode="External"/><Relationship Id="rId49" Type="http://schemas.openxmlformats.org/officeDocument/2006/relationships/hyperlink" Target="https://trackings.post.japanpost.jp/services/srv/search/direct?searchKind=S004&amp;locale=en&amp;reqCodeNo1=CN125819156JP" TargetMode="External"/><Relationship Id="rId5" Type="http://schemas.openxmlformats.org/officeDocument/2006/relationships/hyperlink" Target="https://trackings.post.japanpost.jp/services/srv/search/direct?searchKind=S004&amp;locale=en&amp;reqCodeNo1=CN111297287JP" TargetMode="External"/><Relationship Id="rId6" Type="http://schemas.openxmlformats.org/officeDocument/2006/relationships/hyperlink" Target="https://trackings.post.japanpost.jp/services/srv/search/direct?searchKind=S004&amp;locale=en&amp;reqCodeNo1=CN111293682JP" TargetMode="External"/><Relationship Id="rId7" Type="http://schemas.openxmlformats.org/officeDocument/2006/relationships/hyperlink" Target="https://trackings.post.japanpost.jp/services/srv/search/direct?searchKind=S004&amp;locale=en&amp;reqCodeNo1=RN096695531JP" TargetMode="External"/><Relationship Id="rId8" Type="http://schemas.openxmlformats.org/officeDocument/2006/relationships/hyperlink" Target="https://trackings.post.japanpost.jp/services/srv/search/direct?searchKind=S004&amp;locale=en&amp;reqCodeNo1=CN111980519JP" TargetMode="External"/><Relationship Id="rId31" Type="http://schemas.openxmlformats.org/officeDocument/2006/relationships/hyperlink" Target="https://trackings.post.japanpost.jp/services/srv/search/direct?searchKind=S004&amp;locale=en&amp;reqCodeNo1=CN119974797JP" TargetMode="External"/><Relationship Id="rId30" Type="http://schemas.openxmlformats.org/officeDocument/2006/relationships/hyperlink" Target="https://trackings.post.japanpost.jp/services/srv/search/direct?searchKind=S004&amp;locale=en&amp;reqCodeNo1=CN120084696JP" TargetMode="External"/><Relationship Id="rId33" Type="http://schemas.openxmlformats.org/officeDocument/2006/relationships/hyperlink" Target="https://trackings.post.japanpost.jp/services/srv/search/direct?searchKind=S004&amp;locale=en&amp;reqCodeNo1=CN119981135JP" TargetMode="External"/><Relationship Id="rId32" Type="http://schemas.openxmlformats.org/officeDocument/2006/relationships/hyperlink" Target="https://trackings.post.japanpost.jp/services/srv/search/direct?searchKind=S004&amp;locale=en&amp;reqCodeNo1=CN119698666JP" TargetMode="External"/><Relationship Id="rId35" Type="http://schemas.openxmlformats.org/officeDocument/2006/relationships/hyperlink" Target="https://trackings.post.japanpost.jp/services/srv/search/direct?searchKind=S004&amp;locale=en&amp;reqCodeNo1=CN119869895JP" TargetMode="External"/><Relationship Id="rId34" Type="http://schemas.openxmlformats.org/officeDocument/2006/relationships/hyperlink" Target="https://trackings.post.japanpost.jp/services/srv/search/direct?searchKind=S004&amp;locale=en&amp;reqCodeNo1=CN119922429JP" TargetMode="External"/><Relationship Id="rId37" Type="http://schemas.openxmlformats.org/officeDocument/2006/relationships/hyperlink" Target="https://trackings.post.japanpost.jp/services/srv/search/direct?searchKind=S004&amp;locale=en&amp;reqCodeNo1=CN120489311JP" TargetMode="External"/><Relationship Id="rId36" Type="http://schemas.openxmlformats.org/officeDocument/2006/relationships/hyperlink" Target="https://trackings.post.japanpost.jp/services/srv/search/direct?searchKind=S004&amp;locale=en&amp;reqCodeNo1=CN120269559JP" TargetMode="External"/><Relationship Id="rId39" Type="http://schemas.openxmlformats.org/officeDocument/2006/relationships/hyperlink" Target="https://trackings.post.japanpost.jp/services/srv/search/direct?searchKind=S004&amp;locale=en&amp;reqCodeNo1=CN126224895JP" TargetMode="External"/><Relationship Id="rId38" Type="http://schemas.openxmlformats.org/officeDocument/2006/relationships/hyperlink" Target="https://trackings.post.japanpost.jp/services/srv/search/direct?searchKind=S004&amp;locale=en&amp;reqCodeNo1=CN120179354JP" TargetMode="External"/><Relationship Id="rId20" Type="http://schemas.openxmlformats.org/officeDocument/2006/relationships/hyperlink" Target="https://trackings.post.japanpost.jp/services/srv/search/direct?searchKind=S004&amp;locale=en&amp;reqCodeNo1=CN115756315JP" TargetMode="External"/><Relationship Id="rId22" Type="http://schemas.openxmlformats.org/officeDocument/2006/relationships/hyperlink" Target="https://trackings.post.japanpost.jp/services/srv/search/direct?searchKind=S004&amp;locale=en&amp;reqCodeNo1=CN116096826JP" TargetMode="External"/><Relationship Id="rId21" Type="http://schemas.openxmlformats.org/officeDocument/2006/relationships/hyperlink" Target="https://trackings.post.japanpost.jp/services/srv/search/direct?searchKind=S004&amp;locale=en&amp;reqCodeNo1=CN116091585JP" TargetMode="External"/><Relationship Id="rId24" Type="http://schemas.openxmlformats.org/officeDocument/2006/relationships/hyperlink" Target="https://trackings.post.japanpost.jp/services/srv/search/direct?searchKind=S004&amp;locale=en&amp;reqCodeNo1=CN116170521JP" TargetMode="External"/><Relationship Id="rId23" Type="http://schemas.openxmlformats.org/officeDocument/2006/relationships/hyperlink" Target="https://trackings.post.japanpost.jp/services/srv/search/direct?searchKind=S004&amp;locale=en&amp;reqCodeNo1=CN116147531JP" TargetMode="External"/><Relationship Id="rId26" Type="http://schemas.openxmlformats.org/officeDocument/2006/relationships/hyperlink" Target="https://trackings.post.japanpost.jp/services/srv/search/direct?searchKind=S004&amp;locale=en&amp;reqCodeNo1=CN116006975JP" TargetMode="External"/><Relationship Id="rId25" Type="http://schemas.openxmlformats.org/officeDocument/2006/relationships/hyperlink" Target="https://trackings.post.japanpost.jp/services/srv/search/direct?searchKind=S004&amp;locale=en&amp;reqCodeNo1=CN116172995JP" TargetMode="External"/><Relationship Id="rId28" Type="http://schemas.openxmlformats.org/officeDocument/2006/relationships/hyperlink" Target="https://trackings.post.japanpost.jp/services/srv/search/direct?searchKind=S004&amp;locale=en&amp;reqCodeNo1=CN118380633JP" TargetMode="External"/><Relationship Id="rId27" Type="http://schemas.openxmlformats.org/officeDocument/2006/relationships/hyperlink" Target="https://trackings.post.japanpost.jp/services/srv/search/direct?searchKind=S004&amp;locale=en&amp;reqCodeNo1=CN118380783JP" TargetMode="External"/><Relationship Id="rId29" Type="http://schemas.openxmlformats.org/officeDocument/2006/relationships/hyperlink" Target="https://trackings.post.japanpost.jp/services/srv/search/direct?searchKind=S004&amp;locale=en&amp;reqCodeNo1=CN119371712JP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trackings.post.japanpost.jp/services/srv/search/direct?searchKind=S004&amp;locale=en&amp;reqCodeNo1=CN127582656JP" TargetMode="External"/><Relationship Id="rId11" Type="http://schemas.openxmlformats.org/officeDocument/2006/relationships/hyperlink" Target="https://trackings.post.japanpost.jp/services/srv/search/direct?searchKind=S004&amp;locale=en&amp;reqCodeNo1=CN112966915JP" TargetMode="External"/><Relationship Id="rId10" Type="http://schemas.openxmlformats.org/officeDocument/2006/relationships/hyperlink" Target="https://trackings.post.japanpost.jp/services/srv/search/direct?searchKind=S004&amp;locale=en&amp;reqCodeNo1=CN112692350JP" TargetMode="External"/><Relationship Id="rId13" Type="http://schemas.openxmlformats.org/officeDocument/2006/relationships/hyperlink" Target="https://trackings.post.japanpost.jp/services/srv/search/direct?searchKind=S004&amp;locale=en&amp;reqCodeNo1=CN112745313JP" TargetMode="External"/><Relationship Id="rId12" Type="http://schemas.openxmlformats.org/officeDocument/2006/relationships/hyperlink" Target="https://trackings.post.japanpost.jp/services/srv/search/direct?searchKind=S004&amp;locale=en&amp;reqCodeNo1=CN113022594JP" TargetMode="External"/><Relationship Id="rId15" Type="http://schemas.openxmlformats.org/officeDocument/2006/relationships/hyperlink" Target="https://trackings.post.japanpost.jp/services/srv/search/direct?searchKind=S004&amp;locale=en&amp;reqCodeNo1=CN113076028JP" TargetMode="External"/><Relationship Id="rId14" Type="http://schemas.openxmlformats.org/officeDocument/2006/relationships/hyperlink" Target="https://trackings.post.japanpost.jp/services/srv/search/direct?searchKind=S004&amp;locale=en&amp;reqCodeNo1=CN113018056JP" TargetMode="External"/><Relationship Id="rId17" Type="http://schemas.openxmlformats.org/officeDocument/2006/relationships/hyperlink" Target="https://trackings.post.japanpost.jp/services/srv/search/direct?searchKind=S004&amp;locale=en&amp;reqCodeNo1=CN115461531JP" TargetMode="External"/><Relationship Id="rId16" Type="http://schemas.openxmlformats.org/officeDocument/2006/relationships/hyperlink" Target="https://trackings.post.japanpost.jp/services/srv/search/direct?searchKind=S004&amp;locale=en&amp;reqCodeNo1=CN112880698JP" TargetMode="External"/><Relationship Id="rId19" Type="http://schemas.openxmlformats.org/officeDocument/2006/relationships/hyperlink" Target="https://trackings.post.japanpost.jp/services/srv/search/direct?searchKind=S004&amp;locale=en&amp;reqCodeNo1=CN115427708JP" TargetMode="External"/><Relationship Id="rId18" Type="http://schemas.openxmlformats.org/officeDocument/2006/relationships/hyperlink" Target="https://trackings.post.japanpost.jp/services/srv/search/direct?searchKind=S004&amp;locale=en&amp;reqCodeNo1=CN115298685J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julio.e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9.57"/>
    <col customWidth="1" min="7" max="7" width="24.71"/>
    <col customWidth="1" min="9" max="9" width="15.71"/>
    <col customWidth="1" min="12" max="12" width="21.2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>
        <f>TODAY()</f>
        <v>46203</v>
      </c>
      <c r="L1" s="2" t="s">
        <v>10</v>
      </c>
      <c r="M1" s="2" t="s">
        <v>11</v>
      </c>
    </row>
    <row r="2">
      <c r="A2" s="1">
        <v>1.0</v>
      </c>
      <c r="B2" s="6">
        <f>LOOKUP(A2,ADQUISICIONES!O:O,ADQUISICIONES!P:P)</f>
        <v>1</v>
      </c>
      <c r="C2" s="7">
        <f>LOOKUP(A2,ADQUISICIONES!$R$17:$R$63,ADQUISICIONES!$Y$17:$Y$63)</f>
        <v>1437.855694</v>
      </c>
      <c r="D2" s="8">
        <f>LOOKUP(A2,ADQUISICIONES!$R$17:$R$63,ADQUISICIONES!$T$17:$T$63)</f>
        <v>20148</v>
      </c>
      <c r="E2" s="2" t="b">
        <v>1</v>
      </c>
      <c r="F2" s="9">
        <f t="shared" ref="F2:F24" si="1">(C2*18%)</f>
        <v>258.8140249</v>
      </c>
      <c r="G2" s="10" t="s">
        <v>12</v>
      </c>
      <c r="H2" s="2" t="b">
        <v>1</v>
      </c>
      <c r="I2" s="4">
        <v>45894.0</v>
      </c>
      <c r="J2" s="11">
        <v>45955.0</v>
      </c>
      <c r="K2" s="8">
        <f t="shared" ref="K2:K39" si="2">J2-I2</f>
        <v>61</v>
      </c>
      <c r="L2" s="12">
        <f t="shared" ref="L2:L51" si="3">I2+65</f>
        <v>45959</v>
      </c>
      <c r="M2" s="13">
        <f>SUMIF(E:E,TRUE,F:F)</f>
        <v>2698.571472</v>
      </c>
    </row>
    <row r="3">
      <c r="A3" s="1">
        <v>2.0</v>
      </c>
      <c r="B3" s="6">
        <f>LOOKUP(A3,ADQUISICIONES!O:O,ADQUISICIONES!P:P)</f>
        <v>2</v>
      </c>
      <c r="C3" s="7">
        <f>LOOKUP(A3,ADQUISICIONES!$R$17:$R$63,ADQUISICIONES!$Y$17:$Y$63)</f>
        <v>1248.327578</v>
      </c>
      <c r="D3" s="8">
        <f>LOOKUP(A3,ADQUISICIONES!$R$17:$R$63,ADQUISICIONES!$T$17:$T$63)</f>
        <v>17994</v>
      </c>
      <c r="E3" s="2" t="b">
        <v>1</v>
      </c>
      <c r="F3" s="9">
        <f t="shared" si="1"/>
        <v>224.698964</v>
      </c>
      <c r="G3" s="10" t="s">
        <v>13</v>
      </c>
      <c r="H3" s="2" t="b">
        <v>1</v>
      </c>
      <c r="I3" s="4">
        <v>45894.0</v>
      </c>
      <c r="J3" s="11">
        <v>45955.0</v>
      </c>
      <c r="K3" s="8">
        <f t="shared" si="2"/>
        <v>61</v>
      </c>
      <c r="L3" s="12">
        <f t="shared" si="3"/>
        <v>45959</v>
      </c>
    </row>
    <row r="4">
      <c r="A4" s="1">
        <v>3.0</v>
      </c>
      <c r="B4" s="6">
        <f>LOOKUP(A4,ADQUISICIONES!O:O,ADQUISICIONES!P:P)</f>
        <v>2</v>
      </c>
      <c r="C4" s="7">
        <f>LOOKUP(A4,ADQUISICIONES!$R$17:$R$63,ADQUISICIONES!$Y$17:$Y$63)</f>
        <v>1181.46435</v>
      </c>
      <c r="D4" s="8">
        <f>LOOKUP(A4,ADQUISICIONES!$R$17:$R$63,ADQUISICIONES!$T$17:$T$63)</f>
        <v>15562</v>
      </c>
      <c r="E4" s="2" t="b">
        <v>0</v>
      </c>
      <c r="F4" s="9">
        <f t="shared" si="1"/>
        <v>212.663583</v>
      </c>
      <c r="G4" s="10" t="s">
        <v>14</v>
      </c>
      <c r="H4" s="2" t="b">
        <v>1</v>
      </c>
      <c r="I4" s="4">
        <v>45899.0</v>
      </c>
      <c r="J4" s="11">
        <v>45965.0</v>
      </c>
      <c r="K4" s="8">
        <f t="shared" si="2"/>
        <v>66</v>
      </c>
      <c r="L4" s="12">
        <f t="shared" si="3"/>
        <v>45964</v>
      </c>
    </row>
    <row r="5">
      <c r="A5" s="1">
        <v>4.0</v>
      </c>
      <c r="B5" s="6">
        <f>LOOKUP(A5,ADQUISICIONES!O:O,ADQUISICIONES!P:P)</f>
        <v>5</v>
      </c>
      <c r="C5" s="7">
        <f>LOOKUP(A5,ADQUISICIONES!$R$17:$R$63,ADQUISICIONES!$Y$17:$Y$63)</f>
        <v>1126.65033</v>
      </c>
      <c r="D5" s="8">
        <f>LOOKUP(A5,ADQUISICIONES!$R$17:$R$63,ADQUISICIONES!$T$17:$T$63)</f>
        <v>19090</v>
      </c>
      <c r="E5" s="2" t="b">
        <v>0</v>
      </c>
      <c r="F5" s="9">
        <f t="shared" si="1"/>
        <v>202.7970594</v>
      </c>
      <c r="G5" s="10" t="s">
        <v>15</v>
      </c>
      <c r="H5" s="2" t="b">
        <v>1</v>
      </c>
      <c r="I5" s="4">
        <v>45899.0</v>
      </c>
      <c r="J5" s="11">
        <v>45965.0</v>
      </c>
      <c r="K5" s="8">
        <f t="shared" si="2"/>
        <v>66</v>
      </c>
      <c r="L5" s="12">
        <f t="shared" si="3"/>
        <v>45964</v>
      </c>
    </row>
    <row r="6">
      <c r="A6" s="1">
        <v>5.0</v>
      </c>
      <c r="B6" s="6">
        <f>LOOKUP(A6,ADQUISICIONES!O:O,ADQUISICIONES!P:P)</f>
        <v>6</v>
      </c>
      <c r="C6" s="7">
        <f>LOOKUP(A6,ADQUISICIONES!$R$17:$R$63,ADQUISICIONES!$Y$17:$Y$63)</f>
        <v>1051.09587</v>
      </c>
      <c r="D6" s="8">
        <f>LOOKUP(A6,ADQUISICIONES!$R$17:$R$63,ADQUISICIONES!$T$17:$T$63)</f>
        <v>14018</v>
      </c>
      <c r="E6" s="2" t="b">
        <v>0</v>
      </c>
      <c r="F6" s="9">
        <f t="shared" si="1"/>
        <v>189.1972566</v>
      </c>
      <c r="G6" s="10" t="s">
        <v>16</v>
      </c>
      <c r="H6" s="2" t="b">
        <v>1</v>
      </c>
      <c r="I6" s="4">
        <v>45915.0</v>
      </c>
      <c r="J6" s="11">
        <v>45981.0</v>
      </c>
      <c r="K6" s="8">
        <f t="shared" si="2"/>
        <v>66</v>
      </c>
      <c r="L6" s="12">
        <f t="shared" si="3"/>
        <v>45980</v>
      </c>
    </row>
    <row r="7">
      <c r="A7" s="1">
        <v>6.0</v>
      </c>
      <c r="B7" s="6">
        <f>LOOKUP(A7,ADQUISICIONES!O:O,ADQUISICIONES!P:P)</f>
        <v>7</v>
      </c>
      <c r="C7" s="7">
        <f>LOOKUP(A7,ADQUISICIONES!$R$17:$R$63,ADQUISICIONES!$Y$17:$Y$63)</f>
        <v>1321.639945</v>
      </c>
      <c r="D7" s="8">
        <f>LOOKUP(A7,ADQUISICIONES!$R$17:$R$63,ADQUISICIONES!$T$17:$T$63)</f>
        <v>22836</v>
      </c>
      <c r="E7" s="2" t="b">
        <v>0</v>
      </c>
      <c r="F7" s="9">
        <f t="shared" si="1"/>
        <v>237.89519</v>
      </c>
      <c r="G7" s="10" t="s">
        <v>17</v>
      </c>
      <c r="H7" s="2" t="b">
        <v>1</v>
      </c>
      <c r="I7" s="4">
        <v>45915.0</v>
      </c>
      <c r="J7" s="11">
        <v>45982.0</v>
      </c>
      <c r="K7" s="8">
        <f t="shared" si="2"/>
        <v>67</v>
      </c>
      <c r="L7" s="12">
        <f t="shared" si="3"/>
        <v>45980</v>
      </c>
    </row>
    <row r="8">
      <c r="A8" s="1">
        <v>7.0</v>
      </c>
      <c r="B8" s="6">
        <f>LOOKUP(A8,ADQUISICIONES!O:O,ADQUISICIONES!P:P)</f>
        <v>8</v>
      </c>
      <c r="C8" s="7">
        <f>LOOKUP(A8,ADQUISICIONES!$R$17:$R$63,ADQUISICIONES!$Y$17:$Y$63)</f>
        <v>348.1431</v>
      </c>
      <c r="D8" s="8">
        <f>LOOKUP(A8,ADQUISICIONES!$R$17:$R$63,ADQUISICIONES!$T$17:$T$63)</f>
        <v>1002</v>
      </c>
      <c r="E8" s="2" t="b">
        <v>0</v>
      </c>
      <c r="F8" s="9">
        <f t="shared" si="1"/>
        <v>62.665758</v>
      </c>
      <c r="G8" s="14" t="s">
        <v>18</v>
      </c>
      <c r="H8" s="2" t="b">
        <v>1</v>
      </c>
      <c r="I8" s="4">
        <v>45916.0</v>
      </c>
      <c r="J8" s="15">
        <v>45924.0</v>
      </c>
      <c r="K8" s="8">
        <f t="shared" si="2"/>
        <v>8</v>
      </c>
      <c r="L8" s="12">
        <f t="shared" si="3"/>
        <v>45981</v>
      </c>
    </row>
    <row r="9">
      <c r="A9" s="1">
        <v>8.0</v>
      </c>
      <c r="B9" s="6">
        <f>LOOKUP(A9,ADQUISICIONES!O:O,ADQUISICIONES!P:P)</f>
        <v>10</v>
      </c>
      <c r="C9" s="7">
        <f>LOOKUP(A9,ADQUISICIONES!$R$17:$R$63,ADQUISICIONES!$Y$17:$Y$63)</f>
        <v>1438.102604</v>
      </c>
      <c r="D9" s="8">
        <f>LOOKUP(A9,ADQUISICIONES!$R$17:$R$63,ADQUISICIONES!$T$17:$T$63)</f>
        <v>25918</v>
      </c>
      <c r="E9" s="8" t="b">
        <v>0</v>
      </c>
      <c r="F9" s="9">
        <f t="shared" si="1"/>
        <v>258.8584687</v>
      </c>
      <c r="G9" s="14" t="s">
        <v>19</v>
      </c>
      <c r="H9" s="2" t="b">
        <v>1</v>
      </c>
      <c r="I9" s="4">
        <v>45925.0</v>
      </c>
      <c r="J9" s="15">
        <v>45993.0</v>
      </c>
      <c r="K9" s="8">
        <f t="shared" si="2"/>
        <v>68</v>
      </c>
      <c r="L9" s="12">
        <f t="shared" si="3"/>
        <v>45990</v>
      </c>
    </row>
    <row r="10">
      <c r="A10" s="1">
        <v>9.0</v>
      </c>
      <c r="B10" s="1">
        <v>14.0</v>
      </c>
      <c r="C10" s="7">
        <f>LOOKUP(A10,ADQUISICIONES!$R$17:$R$63,ADQUISICIONES!$Y$17:$Y$63)</f>
        <v>1175.019999</v>
      </c>
      <c r="D10" s="8">
        <f>LOOKUP(A10,ADQUISICIONES!$R$17:$R$63,ADQUISICIONES!$T$17:$T$63)</f>
        <v>16178</v>
      </c>
      <c r="E10" s="2" t="b">
        <v>1</v>
      </c>
      <c r="F10" s="9">
        <f t="shared" si="1"/>
        <v>211.5035998</v>
      </c>
      <c r="G10" s="16" t="s">
        <v>20</v>
      </c>
      <c r="H10" s="2" t="b">
        <v>1</v>
      </c>
      <c r="I10" s="17">
        <v>45943.0</v>
      </c>
      <c r="J10" s="11">
        <v>46006.0</v>
      </c>
      <c r="K10" s="8">
        <f t="shared" si="2"/>
        <v>63</v>
      </c>
      <c r="L10" s="12">
        <f t="shared" si="3"/>
        <v>46008</v>
      </c>
    </row>
    <row r="11">
      <c r="A11" s="1">
        <v>10.0</v>
      </c>
      <c r="B11" s="1">
        <v>11.0</v>
      </c>
      <c r="C11" s="7">
        <f>LOOKUP(A11,ADQUISICIONES!$R$17:$R$63,ADQUISICIONES!$Y$17:$Y$63)</f>
        <v>1053.342751</v>
      </c>
      <c r="D11" s="8">
        <f>LOOKUP(A11,ADQUISICIONES!$R$17:$R$63,ADQUISICIONES!$T$17:$T$63)</f>
        <v>10632</v>
      </c>
      <c r="E11" s="2" t="b">
        <v>1</v>
      </c>
      <c r="F11" s="9">
        <f t="shared" si="1"/>
        <v>189.6016952</v>
      </c>
      <c r="G11" s="14" t="s">
        <v>21</v>
      </c>
      <c r="H11" s="2" t="b">
        <v>1</v>
      </c>
      <c r="I11" s="17">
        <v>45941.0</v>
      </c>
      <c r="J11" s="11">
        <v>46006.0</v>
      </c>
      <c r="K11" s="8">
        <f t="shared" si="2"/>
        <v>65</v>
      </c>
      <c r="L11" s="12">
        <f t="shared" si="3"/>
        <v>46006</v>
      </c>
    </row>
    <row r="12">
      <c r="A12" s="1">
        <v>11.0</v>
      </c>
      <c r="B12" s="1">
        <v>16.0</v>
      </c>
      <c r="C12" s="7">
        <f>LOOKUP(A12,ADQUISICIONES!$R$17:$R$63,ADQUISICIONES!$Y$17:$Y$63)</f>
        <v>986.528905</v>
      </c>
      <c r="D12" s="8">
        <f>LOOKUP(A12,ADQUISICIONES!$R$17:$R$63,ADQUISICIONES!$T$17:$T$63)</f>
        <v>10442</v>
      </c>
      <c r="E12" s="2" t="b">
        <v>1</v>
      </c>
      <c r="F12" s="9">
        <f t="shared" si="1"/>
        <v>177.5752029</v>
      </c>
      <c r="G12" s="16" t="s">
        <v>22</v>
      </c>
      <c r="H12" s="2" t="b">
        <v>1</v>
      </c>
      <c r="I12" s="17">
        <v>45941.0</v>
      </c>
      <c r="J12" s="11">
        <v>46006.0</v>
      </c>
      <c r="K12" s="8">
        <f t="shared" si="2"/>
        <v>65</v>
      </c>
      <c r="L12" s="12">
        <f t="shared" si="3"/>
        <v>46006</v>
      </c>
    </row>
    <row r="13">
      <c r="A13" s="1">
        <v>12.0</v>
      </c>
      <c r="B13" s="1">
        <v>13.0</v>
      </c>
      <c r="C13" s="7">
        <f>LOOKUP(A13,ADQUISICIONES!$R$17:$R$63,ADQUISICIONES!$Y$17:$Y$63)</f>
        <v>1080.058413</v>
      </c>
      <c r="D13" s="8">
        <f>LOOKUP(A13,ADQUISICIONES!$R$17:$R$63,ADQUISICIONES!$T$17:$T$63)</f>
        <v>15170</v>
      </c>
      <c r="E13" s="2" t="b">
        <v>1</v>
      </c>
      <c r="F13" s="9">
        <f t="shared" si="1"/>
        <v>194.4105143</v>
      </c>
      <c r="G13" s="16" t="s">
        <v>23</v>
      </c>
      <c r="H13" s="2" t="b">
        <v>1</v>
      </c>
      <c r="I13" s="17">
        <v>45941.0</v>
      </c>
      <c r="J13" s="11">
        <v>46006.0</v>
      </c>
      <c r="K13" s="8">
        <f t="shared" si="2"/>
        <v>65</v>
      </c>
      <c r="L13" s="12">
        <f t="shared" si="3"/>
        <v>46006</v>
      </c>
    </row>
    <row r="14">
      <c r="A14" s="1">
        <v>13.0</v>
      </c>
      <c r="B14" s="1">
        <v>17.0</v>
      </c>
      <c r="C14" s="7">
        <f>LOOKUP(A14,ADQUISICIONES!$R$17:$R$63,ADQUISICIONES!$Y$17:$Y$63)</f>
        <v>1063.614207</v>
      </c>
      <c r="D14" s="8">
        <f>LOOKUP(A14,ADQUISICIONES!$R$17:$R$63,ADQUISICIONES!$T$17:$T$63)</f>
        <v>14560</v>
      </c>
      <c r="E14" s="2" t="b">
        <v>1</v>
      </c>
      <c r="F14" s="9">
        <f t="shared" si="1"/>
        <v>191.4505573</v>
      </c>
      <c r="G14" s="16" t="s">
        <v>24</v>
      </c>
      <c r="H14" s="2" t="b">
        <v>1</v>
      </c>
      <c r="I14" s="17">
        <v>45941.0</v>
      </c>
      <c r="J14" s="11">
        <v>46006.0</v>
      </c>
      <c r="K14" s="8">
        <f t="shared" si="2"/>
        <v>65</v>
      </c>
      <c r="L14" s="12">
        <f t="shared" si="3"/>
        <v>46006</v>
      </c>
    </row>
    <row r="15">
      <c r="A15" s="1">
        <v>14.0</v>
      </c>
      <c r="B15" s="1">
        <v>15.0</v>
      </c>
      <c r="C15" s="7">
        <f>LOOKUP(A15,ADQUISICIONES!$R$17:$R$63,ADQUISICIONES!$Y$17:$Y$63)</f>
        <v>1041.9602</v>
      </c>
      <c r="D15" s="8">
        <f>LOOKUP(A15,ADQUISICIONES!$R$17:$R$63,ADQUISICIONES!$T$17:$T$63)</f>
        <v>11042</v>
      </c>
      <c r="E15" s="2" t="b">
        <v>1</v>
      </c>
      <c r="F15" s="9">
        <f t="shared" si="1"/>
        <v>187.552836</v>
      </c>
      <c r="G15" s="16" t="s">
        <v>25</v>
      </c>
      <c r="H15" s="2" t="b">
        <v>1</v>
      </c>
      <c r="I15" s="17">
        <v>45941.0</v>
      </c>
      <c r="J15" s="11">
        <v>46006.0</v>
      </c>
      <c r="K15" s="8">
        <f t="shared" si="2"/>
        <v>65</v>
      </c>
      <c r="L15" s="12">
        <f t="shared" si="3"/>
        <v>46006</v>
      </c>
    </row>
    <row r="16">
      <c r="A16" s="1">
        <v>15.0</v>
      </c>
      <c r="B16" s="1">
        <v>12.0</v>
      </c>
      <c r="C16" s="7">
        <f>LOOKUP(A16,ADQUISICIONES!$R$17:$R$63,ADQUISICIONES!$Y$17:$Y$63)</f>
        <v>1048.355169</v>
      </c>
      <c r="D16" s="8">
        <f>LOOKUP(A16,ADQUISICIONES!$R$17:$R$63,ADQUISICIONES!$T$17:$T$63)</f>
        <v>9450</v>
      </c>
      <c r="E16" s="2" t="b">
        <v>1</v>
      </c>
      <c r="F16" s="9">
        <f t="shared" si="1"/>
        <v>188.7039304</v>
      </c>
      <c r="G16" s="14" t="s">
        <v>26</v>
      </c>
      <c r="H16" s="2" t="b">
        <v>1</v>
      </c>
      <c r="I16" s="17">
        <v>45941.0</v>
      </c>
      <c r="J16" s="11">
        <v>46006.0</v>
      </c>
      <c r="K16" s="8">
        <f t="shared" si="2"/>
        <v>65</v>
      </c>
      <c r="L16" s="12">
        <f t="shared" si="3"/>
        <v>46006</v>
      </c>
      <c r="N16" s="18" t="s">
        <v>27</v>
      </c>
    </row>
    <row r="17">
      <c r="A17" s="1">
        <v>16.0</v>
      </c>
      <c r="B17" s="1">
        <v>18.0</v>
      </c>
      <c r="C17" s="7">
        <f>LOOKUP(A17,ADQUISICIONES!$R$17:$R$63,ADQUISICIONES!$Y$17:$Y$63)</f>
        <v>1225.809386</v>
      </c>
      <c r="D17" s="8">
        <f>LOOKUP(A17,ADQUISICIONES!$R$17:$R$63,ADQUISICIONES!$T$17:$T$63)</f>
        <v>16574</v>
      </c>
      <c r="E17" s="8" t="b">
        <v>0</v>
      </c>
      <c r="F17" s="9">
        <f t="shared" si="1"/>
        <v>220.6456895</v>
      </c>
      <c r="G17" s="16" t="s">
        <v>28</v>
      </c>
      <c r="H17" s="2" t="b">
        <v>1</v>
      </c>
      <c r="I17" s="4">
        <v>45946.0</v>
      </c>
      <c r="J17" s="11">
        <v>46009.0</v>
      </c>
      <c r="K17" s="8">
        <f t="shared" si="2"/>
        <v>63</v>
      </c>
      <c r="L17" s="12">
        <f t="shared" si="3"/>
        <v>46011</v>
      </c>
    </row>
    <row r="18">
      <c r="A18" s="1">
        <v>17.0</v>
      </c>
      <c r="B18" s="6">
        <f>LOOKUP(A18,ADQUISICIONES!O:O,ADQUISICIONES!P:P)</f>
        <v>19</v>
      </c>
      <c r="C18" s="7">
        <f>LOOKUP(A18,ADQUISICIONES!$R$17:$R$63,ADQUISICIONES!$Y$17:$Y$63)</f>
        <v>1294.030619</v>
      </c>
      <c r="D18" s="8">
        <f>LOOKUP(A18,ADQUISICIONES!$R$17:$R$63,ADQUISICIONES!$T$17:$T$63)</f>
        <v>15602</v>
      </c>
      <c r="E18" s="8" t="b">
        <v>0</v>
      </c>
      <c r="F18" s="9">
        <f t="shared" si="1"/>
        <v>232.9255114</v>
      </c>
      <c r="G18" s="19" t="s">
        <v>29</v>
      </c>
      <c r="H18" s="2" t="b">
        <v>1</v>
      </c>
      <c r="I18" s="20">
        <v>45990.0</v>
      </c>
      <c r="J18" s="15">
        <v>46047.0</v>
      </c>
      <c r="K18" s="8">
        <f t="shared" si="2"/>
        <v>57</v>
      </c>
      <c r="L18" s="12">
        <f t="shared" si="3"/>
        <v>46055</v>
      </c>
      <c r="M18" s="2" t="s">
        <v>30</v>
      </c>
    </row>
    <row r="19">
      <c r="A19" s="1">
        <v>18.0</v>
      </c>
      <c r="B19" s="1">
        <v>20.0</v>
      </c>
      <c r="C19" s="7">
        <f>LOOKUP(A19,ADQUISICIONES!$R$17:$R$63,ADQUISICIONES!$Y$17:$Y$63)</f>
        <v>1393.007413</v>
      </c>
      <c r="D19" s="8">
        <f>LOOKUP(A19,ADQUISICIONES!$R$17:$R$63,ADQUISICIONES!$T$17:$T$63)</f>
        <v>22719</v>
      </c>
      <c r="E19" s="8" t="b">
        <v>0</v>
      </c>
      <c r="F19" s="9">
        <f t="shared" si="1"/>
        <v>250.7413344</v>
      </c>
      <c r="G19" s="19" t="s">
        <v>31</v>
      </c>
      <c r="H19" s="2" t="b">
        <v>1</v>
      </c>
      <c r="I19" s="20">
        <v>45990.0</v>
      </c>
      <c r="J19" s="15">
        <v>46048.0</v>
      </c>
      <c r="K19" s="8">
        <f t="shared" si="2"/>
        <v>58</v>
      </c>
      <c r="L19" s="12">
        <f t="shared" si="3"/>
        <v>46055</v>
      </c>
      <c r="M19" s="2" t="s">
        <v>32</v>
      </c>
    </row>
    <row r="20">
      <c r="A20" s="1">
        <v>19.0</v>
      </c>
      <c r="B20" s="6">
        <f>LOOKUP(A20,ADQUISICIONES!O:O,ADQUISICIONES!P:P)</f>
        <v>20</v>
      </c>
      <c r="C20" s="7">
        <f>LOOKUP(A20,ADQUISICIONES!$R$17:$R$63,ADQUISICIONES!$Y$17:$Y$63)</f>
        <v>1159.21156</v>
      </c>
      <c r="D20" s="8">
        <f>LOOKUP(A20,ADQUISICIONES!$R$17:$R$63,ADQUISICIONES!$T$17:$T$63)</f>
        <v>17138</v>
      </c>
      <c r="E20" s="2" t="b">
        <v>1</v>
      </c>
      <c r="F20" s="9">
        <f t="shared" si="1"/>
        <v>208.6580808</v>
      </c>
      <c r="G20" s="14" t="s">
        <v>33</v>
      </c>
      <c r="H20" s="2" t="b">
        <v>1</v>
      </c>
      <c r="I20" s="20">
        <v>45993.0</v>
      </c>
      <c r="J20" s="15">
        <v>46049.0</v>
      </c>
      <c r="K20" s="8">
        <f t="shared" si="2"/>
        <v>56</v>
      </c>
      <c r="L20" s="12">
        <f t="shared" si="3"/>
        <v>46058</v>
      </c>
      <c r="M20" s="2" t="s">
        <v>30</v>
      </c>
    </row>
    <row r="21">
      <c r="A21" s="1">
        <v>20.0</v>
      </c>
      <c r="B21" s="6">
        <f>LOOKUP(A21,ADQUISICIONES!O:O,ADQUISICIONES!P:P)</f>
        <v>22</v>
      </c>
      <c r="C21" s="7">
        <f>LOOKUP(A21,ADQUISICIONES!$R$17:$R$63,ADQUISICIONES!$Y$17:$Y$63)</f>
        <v>1491.858504</v>
      </c>
      <c r="D21" s="8">
        <f>LOOKUP(A21,ADQUISICIONES!$R$17:$R$63,ADQUISICIONES!$T$17:$T$63)</f>
        <v>11890</v>
      </c>
      <c r="E21" s="8" t="b">
        <v>0</v>
      </c>
      <c r="F21" s="9">
        <f t="shared" si="1"/>
        <v>268.5345306</v>
      </c>
      <c r="G21" s="19" t="s">
        <v>34</v>
      </c>
      <c r="H21" s="2" t="b">
        <v>1</v>
      </c>
      <c r="I21" s="20">
        <v>45993.0</v>
      </c>
      <c r="J21" s="15">
        <v>46050.0</v>
      </c>
      <c r="K21" s="8">
        <f t="shared" si="2"/>
        <v>57</v>
      </c>
      <c r="L21" s="12">
        <f t="shared" si="3"/>
        <v>46058</v>
      </c>
      <c r="M21" s="2" t="s">
        <v>32</v>
      </c>
    </row>
    <row r="22">
      <c r="A22" s="1">
        <v>21.0</v>
      </c>
      <c r="B22" s="6">
        <f>LOOKUP(A22,ADQUISICIONES!O:O,ADQUISICIONES!P:P)</f>
        <v>23</v>
      </c>
      <c r="C22" s="7">
        <f>LOOKUP(A22,ADQUISICIONES!$R$17:$R$63,ADQUISICIONES!$Y$17:$Y$63)</f>
        <v>1231.86405</v>
      </c>
      <c r="D22" s="8">
        <f>LOOKUP(A22,ADQUISICIONES!$R$17:$R$63,ADQUISICIONES!$T$17:$T$63)</f>
        <v>17597</v>
      </c>
      <c r="E22" s="2" t="b">
        <v>1</v>
      </c>
      <c r="F22" s="9">
        <f t="shared" si="1"/>
        <v>221.735529</v>
      </c>
      <c r="G22" s="14" t="s">
        <v>35</v>
      </c>
      <c r="H22" s="2" t="b">
        <v>1</v>
      </c>
      <c r="I22" s="20">
        <v>45994.0</v>
      </c>
      <c r="J22" s="15">
        <v>46051.0</v>
      </c>
      <c r="K22" s="8">
        <f t="shared" si="2"/>
        <v>57</v>
      </c>
      <c r="L22" s="12">
        <f t="shared" si="3"/>
        <v>46059</v>
      </c>
      <c r="M22" s="2" t="s">
        <v>30</v>
      </c>
    </row>
    <row r="23">
      <c r="A23" s="1">
        <v>22.0</v>
      </c>
      <c r="B23" s="6">
        <f>LOOKUP(A23,ADQUISICIONES!O:O,ADQUISICIONES!P:P)</f>
        <v>24</v>
      </c>
      <c r="C23" s="7">
        <f>LOOKUP(A23,ADQUISICIONES!$R$17:$R$63,ADQUISICIONES!$Y$17:$Y$63)</f>
        <v>1146.104432</v>
      </c>
      <c r="D23" s="8">
        <f>LOOKUP(A23,ADQUISICIONES!$R$17:$R$63,ADQUISICIONES!$T$17:$T$63)</f>
        <v>14436</v>
      </c>
      <c r="E23" s="8" t="b">
        <v>0</v>
      </c>
      <c r="F23" s="9">
        <f t="shared" si="1"/>
        <v>206.2987978</v>
      </c>
      <c r="G23" s="21" t="s">
        <v>36</v>
      </c>
      <c r="H23" s="2" t="b">
        <v>1</v>
      </c>
      <c r="I23" s="20">
        <v>45994.0</v>
      </c>
      <c r="J23" s="15">
        <v>46052.0</v>
      </c>
      <c r="K23" s="8">
        <f t="shared" si="2"/>
        <v>58</v>
      </c>
      <c r="L23" s="12">
        <f t="shared" si="3"/>
        <v>46059</v>
      </c>
      <c r="M23" s="2" t="s">
        <v>32</v>
      </c>
    </row>
    <row r="24">
      <c r="A24" s="1">
        <v>23.0</v>
      </c>
      <c r="B24" s="1">
        <v>25.0</v>
      </c>
      <c r="C24" s="7">
        <f>LOOKUP(A24,ADQUISICIONES!$R$17:$R$63,ADQUISICIONES!$Y$17:$Y$63)</f>
        <v>2390.431146</v>
      </c>
      <c r="D24" s="8">
        <f>LOOKUP(A24,ADQUISICIONES!$R$17:$R$63,ADQUISICIONES!$T$17:$T$63)</f>
        <v>25978</v>
      </c>
      <c r="E24" s="8" t="b">
        <v>0</v>
      </c>
      <c r="F24" s="9">
        <f t="shared" si="1"/>
        <v>430.2776064</v>
      </c>
      <c r="G24" s="22" t="s">
        <v>37</v>
      </c>
      <c r="H24" s="2" t="b">
        <v>1</v>
      </c>
      <c r="I24" s="20">
        <v>45994.0</v>
      </c>
      <c r="J24" s="15">
        <v>46053.0</v>
      </c>
      <c r="K24" s="8">
        <f t="shared" si="2"/>
        <v>59</v>
      </c>
      <c r="L24" s="12">
        <f t="shared" si="3"/>
        <v>46059</v>
      </c>
      <c r="M24" s="2" t="s">
        <v>38</v>
      </c>
    </row>
    <row r="25">
      <c r="A25" s="1"/>
      <c r="B25" s="1">
        <v>26.0</v>
      </c>
      <c r="E25" s="2" t="b">
        <v>1</v>
      </c>
      <c r="F25" s="9"/>
      <c r="G25" s="23" t="s">
        <v>39</v>
      </c>
      <c r="H25" s="2" t="b">
        <v>1</v>
      </c>
      <c r="I25" s="4">
        <v>45996.0</v>
      </c>
      <c r="J25" s="15">
        <v>46054.0</v>
      </c>
      <c r="K25" s="8">
        <f t="shared" si="2"/>
        <v>58</v>
      </c>
      <c r="L25" s="12">
        <f t="shared" si="3"/>
        <v>46061</v>
      </c>
    </row>
    <row r="26">
      <c r="A26" s="1">
        <v>24.0</v>
      </c>
      <c r="B26" s="6">
        <f>LOOKUP(A26,ADQUISICIONES!O:O,ADQUISICIONES!P:P)</f>
        <v>27</v>
      </c>
      <c r="C26" s="7">
        <f>LOOKUP(A26,ADQUISICIONES!$R$17:$R$63,ADQUISICIONES!$Y$17:$Y$63)</f>
        <v>1329.892361</v>
      </c>
      <c r="D26" s="8">
        <f>LOOKUP(A26,ADQUISICIONES!$R$17:$R$63,ADQUISICIONES!$T$17:$T$63)</f>
        <v>17922</v>
      </c>
      <c r="E26" s="8" t="b">
        <v>0</v>
      </c>
      <c r="F26" s="9">
        <f t="shared" ref="F26:F60" si="4">(C26*18%)</f>
        <v>239.3806249</v>
      </c>
      <c r="G26" s="19" t="s">
        <v>40</v>
      </c>
      <c r="H26" s="2" t="b">
        <v>1</v>
      </c>
      <c r="I26" s="20">
        <v>45996.0</v>
      </c>
      <c r="J26" s="15">
        <v>46055.0</v>
      </c>
      <c r="K26" s="8">
        <f t="shared" si="2"/>
        <v>59</v>
      </c>
      <c r="L26" s="12">
        <f t="shared" si="3"/>
        <v>46061</v>
      </c>
      <c r="M26" s="2" t="s">
        <v>38</v>
      </c>
    </row>
    <row r="27">
      <c r="A27" s="1">
        <v>25.0</v>
      </c>
      <c r="B27" s="6">
        <f>LOOKUP(A27,ADQUISICIONES!O:O,ADQUISICIONES!P:P)</f>
        <v>28</v>
      </c>
      <c r="C27" s="7">
        <f>LOOKUP(A27,ADQUISICIONES!$R$17:$R$63,ADQUISICIONES!$Y$17:$Y$63)</f>
        <v>1344.336479</v>
      </c>
      <c r="D27" s="8">
        <f>LOOKUP(A27,ADQUISICIONES!$R$17:$R$63,ADQUISICIONES!$T$17:$T$63)</f>
        <v>20506</v>
      </c>
      <c r="E27" s="8" t="b">
        <v>0</v>
      </c>
      <c r="F27" s="9">
        <f t="shared" si="4"/>
        <v>241.9805661</v>
      </c>
      <c r="G27" s="19" t="s">
        <v>41</v>
      </c>
      <c r="H27" s="2" t="b">
        <v>1</v>
      </c>
      <c r="I27" s="20">
        <v>45996.0</v>
      </c>
      <c r="J27" s="15">
        <v>46056.0</v>
      </c>
      <c r="K27" s="8">
        <f t="shared" si="2"/>
        <v>60</v>
      </c>
      <c r="L27" s="12">
        <f t="shared" si="3"/>
        <v>46061</v>
      </c>
      <c r="M27" s="2" t="s">
        <v>32</v>
      </c>
    </row>
    <row r="28">
      <c r="A28" s="1">
        <v>26.0</v>
      </c>
      <c r="B28" s="6">
        <f>LOOKUP(A28,ADQUISICIONES!O:O,ADQUISICIONES!P:P)</f>
        <v>29</v>
      </c>
      <c r="C28" s="7">
        <f>LOOKUP(A28,ADQUISICIONES!$R$17:$R$63,ADQUISICIONES!$Y$17:$Y$63)</f>
        <v>1251.12595</v>
      </c>
      <c r="D28" s="8">
        <f>LOOKUP(A28,ADQUISICIONES!$R$17:$R$63,ADQUISICIONES!$T$17:$T$63)</f>
        <v>17366</v>
      </c>
      <c r="E28" s="8" t="b">
        <v>0</v>
      </c>
      <c r="F28" s="9">
        <f t="shared" si="4"/>
        <v>225.202671</v>
      </c>
      <c r="G28" s="23" t="s">
        <v>42</v>
      </c>
      <c r="H28" s="2" t="b">
        <v>1</v>
      </c>
      <c r="I28" s="4">
        <v>46041.0</v>
      </c>
      <c r="J28" s="15">
        <v>46111.0</v>
      </c>
      <c r="K28" s="8">
        <f t="shared" si="2"/>
        <v>70</v>
      </c>
      <c r="L28" s="12">
        <f t="shared" si="3"/>
        <v>46106</v>
      </c>
    </row>
    <row r="29">
      <c r="A29" s="1">
        <v>27.0</v>
      </c>
      <c r="B29" s="1">
        <v>30.0</v>
      </c>
      <c r="C29" s="7">
        <f>LOOKUP(A29,ADQUISICIONES!R43:R89,ADQUISICIONES!Y43:Y89)</f>
        <v>1304.220101</v>
      </c>
      <c r="D29" s="8">
        <f>LOOKUP(A29,ADQUISICIONES!$R$17:$R$63,ADQUISICIONES!$T$17:$T$63)</f>
        <v>9802</v>
      </c>
      <c r="E29" s="8" t="b">
        <v>0</v>
      </c>
      <c r="F29" s="9">
        <f t="shared" si="4"/>
        <v>234.7596182</v>
      </c>
      <c r="G29" s="23" t="s">
        <v>43</v>
      </c>
      <c r="H29" s="2" t="b">
        <v>1</v>
      </c>
      <c r="I29" s="4">
        <v>46041.0</v>
      </c>
      <c r="J29" s="15">
        <v>46111.0</v>
      </c>
      <c r="K29" s="8">
        <f t="shared" si="2"/>
        <v>70</v>
      </c>
      <c r="L29" s="12">
        <f t="shared" si="3"/>
        <v>46106</v>
      </c>
    </row>
    <row r="30">
      <c r="A30" s="1">
        <v>28.0</v>
      </c>
      <c r="B30" s="1">
        <v>31.0</v>
      </c>
      <c r="C30" s="7">
        <f>LOOKUP(A30,ADQUISICIONES!R44:R90,ADQUISICIONES!Y44:Y90)</f>
        <v>1017.024759</v>
      </c>
      <c r="D30" s="8">
        <f>LOOKUP(A30,ADQUISICIONES!$R$17:$R$63,ADQUISICIONES!$T$17:$T$63)</f>
        <v>12444</v>
      </c>
      <c r="E30" s="8" t="b">
        <v>0</v>
      </c>
      <c r="F30" s="9">
        <f t="shared" si="4"/>
        <v>183.0644565</v>
      </c>
      <c r="G30" s="23" t="s">
        <v>44</v>
      </c>
      <c r="H30" s="2" t="b">
        <v>1</v>
      </c>
      <c r="I30" s="24">
        <v>46055.0</v>
      </c>
      <c r="J30" s="11">
        <v>46120.0</v>
      </c>
      <c r="K30" s="8">
        <f t="shared" si="2"/>
        <v>65</v>
      </c>
      <c r="L30" s="12">
        <f t="shared" si="3"/>
        <v>46120</v>
      </c>
      <c r="M30" s="2" t="s">
        <v>38</v>
      </c>
    </row>
    <row r="31">
      <c r="A31" s="1">
        <v>29.0</v>
      </c>
      <c r="B31" s="6">
        <f>LOOKUP(A31,ADQUISICIONES!O:O,ADQUISICIONES!P:P)</f>
        <v>31</v>
      </c>
      <c r="C31" s="7">
        <f>LOOKUP(A31,ADQUISICIONES!R45:R91,ADQUISICIONES!Y45:Y91)</f>
        <v>0</v>
      </c>
      <c r="D31" s="8">
        <f>LOOKUP(A31,ADQUISICIONES!$R$17:$R$63,ADQUISICIONES!$T$17:$T$63)</f>
        <v>0</v>
      </c>
      <c r="E31" s="8" t="b">
        <v>0</v>
      </c>
      <c r="F31" s="9">
        <f t="shared" si="4"/>
        <v>0</v>
      </c>
      <c r="G31" s="23" t="s">
        <v>45</v>
      </c>
      <c r="H31" s="2" t="b">
        <v>1</v>
      </c>
      <c r="I31" s="24">
        <v>46059.0</v>
      </c>
      <c r="J31" s="15">
        <v>46123.0</v>
      </c>
      <c r="K31" s="8">
        <f t="shared" si="2"/>
        <v>64</v>
      </c>
      <c r="L31" s="12">
        <f t="shared" si="3"/>
        <v>46124</v>
      </c>
    </row>
    <row r="32">
      <c r="A32" s="1">
        <v>30.0</v>
      </c>
      <c r="B32" s="6">
        <f>LOOKUP(A32,ADQUISICIONES!O:O,ADQUISICIONES!P:P)</f>
        <v>31</v>
      </c>
      <c r="C32" s="7">
        <f>LOOKUP(A32,ADQUISICIONES!R46:R92,ADQUISICIONES!Y46:Y92)</f>
        <v>0</v>
      </c>
      <c r="D32" s="8">
        <f>LOOKUP(A32,ADQUISICIONES!$R$17:$R$63,ADQUISICIONES!$T$17:$T$63)</f>
        <v>0</v>
      </c>
      <c r="E32" s="8" t="b">
        <v>0</v>
      </c>
      <c r="F32" s="9">
        <f t="shared" si="4"/>
        <v>0</v>
      </c>
      <c r="G32" s="23" t="s">
        <v>46</v>
      </c>
      <c r="H32" s="2" t="b">
        <v>1</v>
      </c>
      <c r="I32" s="24">
        <v>46059.0</v>
      </c>
      <c r="J32" s="15">
        <v>46123.0</v>
      </c>
      <c r="K32" s="8">
        <f t="shared" si="2"/>
        <v>64</v>
      </c>
      <c r="L32" s="12">
        <f t="shared" si="3"/>
        <v>46124</v>
      </c>
    </row>
    <row r="33">
      <c r="A33" s="1">
        <v>31.0</v>
      </c>
      <c r="B33" s="1">
        <v>34.0</v>
      </c>
      <c r="C33" s="7">
        <f>LOOKUP(A33,ADQUISICIONES!R47:R93,ADQUISICIONES!Y47:Y93)</f>
        <v>855.8015208</v>
      </c>
      <c r="D33" s="8">
        <f>LOOKUP(A33,ADQUISICIONES!$R$17:$R$63,ADQUISICIONES!$T$17:$T$63)</f>
        <v>10616</v>
      </c>
      <c r="E33" s="8" t="b">
        <v>0</v>
      </c>
      <c r="F33" s="9">
        <f t="shared" si="4"/>
        <v>154.0442737</v>
      </c>
      <c r="G33" s="23" t="s">
        <v>47</v>
      </c>
      <c r="H33" s="2" t="b">
        <v>1</v>
      </c>
      <c r="I33" s="24">
        <v>46059.0</v>
      </c>
      <c r="J33" s="15">
        <v>46123.0</v>
      </c>
      <c r="K33" s="8">
        <f t="shared" si="2"/>
        <v>64</v>
      </c>
      <c r="L33" s="12">
        <f t="shared" si="3"/>
        <v>46124</v>
      </c>
    </row>
    <row r="34">
      <c r="A34" s="1">
        <v>32.0</v>
      </c>
      <c r="B34" s="1">
        <v>35.0</v>
      </c>
      <c r="C34" s="7">
        <f>LOOKUP(A34,ADQUISICIONES!R48:R94,ADQUISICIONES!Y47:Y94)</f>
        <v>855.8015208</v>
      </c>
      <c r="D34" s="8">
        <f>LOOKUP(A34,ADQUISICIONES!$R$17:$R$63,ADQUISICIONES!$T$17:$T$63)</f>
        <v>15454</v>
      </c>
      <c r="E34" s="8" t="b">
        <v>0</v>
      </c>
      <c r="F34" s="9">
        <f t="shared" si="4"/>
        <v>154.0442737</v>
      </c>
      <c r="G34" s="23" t="s">
        <v>48</v>
      </c>
      <c r="H34" s="2" t="b">
        <v>1</v>
      </c>
      <c r="I34" s="4">
        <v>46062.0</v>
      </c>
      <c r="J34" s="15">
        <v>46147.0</v>
      </c>
      <c r="K34" s="8">
        <f t="shared" si="2"/>
        <v>85</v>
      </c>
      <c r="L34" s="12">
        <f t="shared" si="3"/>
        <v>46127</v>
      </c>
    </row>
    <row r="35">
      <c r="A35" s="1">
        <v>33.0</v>
      </c>
      <c r="B35" s="1">
        <v>36.0</v>
      </c>
      <c r="C35" s="7">
        <f>LOOKUP(A35,ADQUISICIONES!R49:R95,ADQUISICIONES!Y48:Y95)</f>
        <v>1173.481873</v>
      </c>
      <c r="D35" s="8">
        <f>LOOKUP(A35,ADQUISICIONES!$R$17:$R$63,ADQUISICIONES!$T$17:$T$63)</f>
        <v>1294</v>
      </c>
      <c r="E35" s="2" t="b">
        <v>1</v>
      </c>
      <c r="F35" s="9">
        <f t="shared" si="4"/>
        <v>211.2267371</v>
      </c>
      <c r="G35" s="25" t="s">
        <v>49</v>
      </c>
      <c r="H35" s="2" t="b">
        <v>1</v>
      </c>
      <c r="I35" s="4">
        <v>46062.0</v>
      </c>
      <c r="J35" s="15">
        <v>46148.0</v>
      </c>
      <c r="K35" s="8">
        <f t="shared" si="2"/>
        <v>86</v>
      </c>
      <c r="L35" s="12">
        <f t="shared" si="3"/>
        <v>46127</v>
      </c>
    </row>
    <row r="36">
      <c r="A36" s="1">
        <v>34.0</v>
      </c>
      <c r="B36" s="1">
        <v>37.0</v>
      </c>
      <c r="C36" s="7">
        <f>LOOKUP(A36,ADQUISICIONES!R50:R96,ADQUISICIONES!Y49:Y96)</f>
        <v>814.9144281</v>
      </c>
      <c r="D36" s="8">
        <f>LOOKUP(A36,ADQUISICIONES!$R$17:$R$63,ADQUISICIONES!$T$17:$T$63)</f>
        <v>16204</v>
      </c>
      <c r="E36" s="8" t="b">
        <v>0</v>
      </c>
      <c r="F36" s="9">
        <f t="shared" si="4"/>
        <v>146.6845971</v>
      </c>
      <c r="G36" s="23" t="s">
        <v>50</v>
      </c>
      <c r="H36" s="2" t="b">
        <v>1</v>
      </c>
      <c r="I36" s="4">
        <v>46062.0</v>
      </c>
      <c r="J36" s="15">
        <v>46147.0</v>
      </c>
      <c r="K36" s="8">
        <f t="shared" si="2"/>
        <v>85</v>
      </c>
      <c r="L36" s="12">
        <f t="shared" si="3"/>
        <v>46127</v>
      </c>
      <c r="N36" s="26"/>
    </row>
    <row r="37">
      <c r="A37" s="1">
        <v>35.0</v>
      </c>
      <c r="B37" s="1">
        <v>38.0</v>
      </c>
      <c r="C37" s="7">
        <f>LOOKUP(A37,ADQUISICIONES!R51:R97,ADQUISICIONES!Y50:Y97)</f>
        <v>944.4485985</v>
      </c>
      <c r="D37" s="8">
        <f>LOOKUP(A37,ADQUISICIONES!$R$17:$R$63,ADQUISICIONES!$T$17:$T$63)</f>
        <v>14420</v>
      </c>
      <c r="E37" s="8" t="b">
        <v>0</v>
      </c>
      <c r="F37" s="9">
        <f t="shared" si="4"/>
        <v>170.0007477</v>
      </c>
      <c r="G37" s="23" t="s">
        <v>51</v>
      </c>
      <c r="H37" s="2" t="b">
        <v>1</v>
      </c>
      <c r="I37" s="4">
        <v>46063.0</v>
      </c>
      <c r="J37" s="15">
        <v>46147.0</v>
      </c>
      <c r="K37" s="8">
        <f t="shared" si="2"/>
        <v>84</v>
      </c>
      <c r="L37" s="12">
        <f t="shared" si="3"/>
        <v>46128</v>
      </c>
    </row>
    <row r="38">
      <c r="A38" s="1">
        <v>36.0</v>
      </c>
      <c r="B38" s="1">
        <v>39.0</v>
      </c>
      <c r="C38" s="7">
        <f>LOOKUP(A38,ADQUISICIONES!R52:R98,ADQUISICIONES!Y51:Y98)</f>
        <v>1292.443334</v>
      </c>
      <c r="D38" s="8">
        <f>LOOKUP(A38,ADQUISICIONES!$R$17:$R$63,ADQUISICIONES!$T$17:$T$63)</f>
        <v>17690</v>
      </c>
      <c r="E38" s="2" t="b">
        <v>1</v>
      </c>
      <c r="F38" s="9">
        <f t="shared" si="4"/>
        <v>232.6398001</v>
      </c>
      <c r="G38" s="23" t="s">
        <v>52</v>
      </c>
      <c r="H38" s="2" t="b">
        <v>1</v>
      </c>
      <c r="I38" s="4">
        <v>46063.0</v>
      </c>
      <c r="J38" s="15">
        <v>46147.0</v>
      </c>
      <c r="K38" s="8">
        <f t="shared" si="2"/>
        <v>84</v>
      </c>
      <c r="L38" s="12">
        <f t="shared" si="3"/>
        <v>46128</v>
      </c>
    </row>
    <row r="39">
      <c r="A39" s="1">
        <v>37.0</v>
      </c>
      <c r="B39" s="1">
        <v>40.0</v>
      </c>
      <c r="C39" s="7">
        <f>LOOKUP(A39,ADQUISICIONES!R53:R99,ADQUISICIONES!Y52:Y99)</f>
        <v>1177.171169</v>
      </c>
      <c r="D39" s="2"/>
      <c r="E39" s="8" t="b">
        <v>0</v>
      </c>
      <c r="F39" s="9">
        <f t="shared" si="4"/>
        <v>211.8908105</v>
      </c>
      <c r="G39" s="23" t="s">
        <v>53</v>
      </c>
      <c r="H39" s="2" t="b">
        <v>1</v>
      </c>
      <c r="I39" s="4">
        <v>46066.0</v>
      </c>
      <c r="J39" s="15">
        <v>46147.0</v>
      </c>
      <c r="K39" s="8">
        <f t="shared" si="2"/>
        <v>81</v>
      </c>
      <c r="L39" s="12">
        <f t="shared" si="3"/>
        <v>46131</v>
      </c>
      <c r="N39" s="11">
        <v>46220.0</v>
      </c>
    </row>
    <row r="40">
      <c r="A40" s="1">
        <v>38.0</v>
      </c>
      <c r="B40" s="1">
        <v>41.0</v>
      </c>
      <c r="C40" s="7">
        <f>LOOKUP(A40,ADQUISICIONES!R54:R100,ADQUISICIONES!Y53:Y100)</f>
        <v>1065.123236</v>
      </c>
      <c r="D40" s="2"/>
      <c r="E40" s="8" t="b">
        <v>0</v>
      </c>
      <c r="F40" s="9">
        <f t="shared" si="4"/>
        <v>191.7221824</v>
      </c>
      <c r="G40" s="23" t="s">
        <v>54</v>
      </c>
      <c r="H40" s="8" t="b">
        <v>0</v>
      </c>
      <c r="I40" s="27">
        <v>46154.0</v>
      </c>
      <c r="K40" s="8">
        <f t="shared" ref="K40:K60" si="5">$K$1-I40</f>
        <v>49</v>
      </c>
      <c r="L40" s="28">
        <f t="shared" si="3"/>
        <v>46219</v>
      </c>
      <c r="M40" s="2" t="s">
        <v>55</v>
      </c>
      <c r="N40" s="8">
        <f t="shared" ref="N40:N51" si="6">$N$39-L40</f>
        <v>1</v>
      </c>
    </row>
    <row r="41">
      <c r="A41" s="1">
        <v>39.0</v>
      </c>
      <c r="B41" s="1">
        <v>42.0</v>
      </c>
      <c r="C41" s="7">
        <f>LOOKUP(A41,ADQUISICIONES!R55:R101,ADQUISICIONES!Y54:Y101)</f>
        <v>806.5923915</v>
      </c>
      <c r="D41" s="2"/>
      <c r="E41" s="8" t="b">
        <v>0</v>
      </c>
      <c r="F41" s="9">
        <f t="shared" si="4"/>
        <v>145.1866305</v>
      </c>
      <c r="G41" s="23" t="s">
        <v>56</v>
      </c>
      <c r="H41" s="8" t="b">
        <v>0</v>
      </c>
      <c r="I41" s="27">
        <v>46143.0</v>
      </c>
      <c r="K41" s="8">
        <f t="shared" si="5"/>
        <v>60</v>
      </c>
      <c r="L41" s="28">
        <f t="shared" si="3"/>
        <v>46208</v>
      </c>
      <c r="M41" s="2" t="s">
        <v>57</v>
      </c>
      <c r="N41" s="8">
        <f t="shared" si="6"/>
        <v>12</v>
      </c>
    </row>
    <row r="42">
      <c r="A42" s="1">
        <v>40.0</v>
      </c>
      <c r="B42" s="1">
        <v>44.0</v>
      </c>
      <c r="C42" s="7">
        <f>LOOKUP(A42,ADQUISICIONES!R56:R102,ADQUISICIONES!Y55:Y102)</f>
        <v>619.3727254</v>
      </c>
      <c r="D42" s="2"/>
      <c r="E42" s="8" t="b">
        <v>0</v>
      </c>
      <c r="F42" s="9">
        <f t="shared" si="4"/>
        <v>111.4870906</v>
      </c>
      <c r="G42" s="23" t="s">
        <v>58</v>
      </c>
      <c r="H42" s="8" t="b">
        <v>0</v>
      </c>
      <c r="I42" s="27">
        <v>46151.0</v>
      </c>
      <c r="K42" s="8">
        <f t="shared" si="5"/>
        <v>52</v>
      </c>
      <c r="L42" s="28">
        <f t="shared" si="3"/>
        <v>46216</v>
      </c>
      <c r="M42" s="2" t="s">
        <v>38</v>
      </c>
      <c r="N42" s="8">
        <f t="shared" si="6"/>
        <v>4</v>
      </c>
    </row>
    <row r="43">
      <c r="A43" s="1">
        <v>41.0</v>
      </c>
      <c r="B43" s="1">
        <v>45.0</v>
      </c>
      <c r="C43" s="7">
        <f>LOOKUP(A43,ADQUISICIONES!R57:R103,ADQUISICIONES!Y56:Y103)</f>
        <v>761.4833357</v>
      </c>
      <c r="D43" s="2"/>
      <c r="E43" s="8" t="b">
        <v>0</v>
      </c>
      <c r="F43" s="9">
        <f t="shared" si="4"/>
        <v>137.0670004</v>
      </c>
      <c r="G43" s="23" t="s">
        <v>59</v>
      </c>
      <c r="H43" s="8" t="b">
        <v>0</v>
      </c>
      <c r="I43" s="27">
        <v>46143.0</v>
      </c>
      <c r="K43" s="8">
        <f t="shared" si="5"/>
        <v>60</v>
      </c>
      <c r="L43" s="28">
        <f t="shared" si="3"/>
        <v>46208</v>
      </c>
      <c r="M43" s="2" t="s">
        <v>60</v>
      </c>
      <c r="N43" s="8">
        <f t="shared" si="6"/>
        <v>12</v>
      </c>
    </row>
    <row r="44">
      <c r="A44" s="1">
        <v>42.0</v>
      </c>
      <c r="B44" s="1">
        <v>46.0</v>
      </c>
      <c r="C44" s="7">
        <f>LOOKUP(A44,ADQUISICIONES!R58:R104,ADQUISICIONES!Y57:Y104)</f>
        <v>816.8621786</v>
      </c>
      <c r="D44" s="2"/>
      <c r="E44" s="8" t="b">
        <v>0</v>
      </c>
      <c r="F44" s="9">
        <f t="shared" si="4"/>
        <v>147.0351921</v>
      </c>
      <c r="G44" s="23" t="s">
        <v>61</v>
      </c>
      <c r="H44" s="8" t="b">
        <v>0</v>
      </c>
      <c r="I44" s="27">
        <v>46151.0</v>
      </c>
      <c r="K44" s="8">
        <f t="shared" si="5"/>
        <v>52</v>
      </c>
      <c r="L44" s="28">
        <f t="shared" si="3"/>
        <v>46216</v>
      </c>
      <c r="M44" s="2" t="s">
        <v>55</v>
      </c>
      <c r="N44" s="8">
        <f t="shared" si="6"/>
        <v>4</v>
      </c>
    </row>
    <row r="45">
      <c r="A45" s="1">
        <v>43.0</v>
      </c>
      <c r="B45" s="1">
        <v>47.0</v>
      </c>
      <c r="C45" s="7">
        <f>LOOKUP(A45,ADQUISICIONES!R59:R105,ADQUISICIONES!Y59:Y105)</f>
        <v>657.0297214</v>
      </c>
      <c r="D45" s="2"/>
      <c r="E45" s="8" t="b">
        <v>0</v>
      </c>
      <c r="F45" s="9">
        <f t="shared" si="4"/>
        <v>118.2653499</v>
      </c>
      <c r="G45" s="23" t="s">
        <v>62</v>
      </c>
      <c r="H45" s="8" t="b">
        <v>0</v>
      </c>
      <c r="I45" s="27">
        <v>46156.0</v>
      </c>
      <c r="K45" s="8">
        <f t="shared" si="5"/>
        <v>47</v>
      </c>
      <c r="L45" s="28">
        <f t="shared" si="3"/>
        <v>46221</v>
      </c>
      <c r="M45" s="2" t="s">
        <v>55</v>
      </c>
      <c r="N45" s="8">
        <f t="shared" si="6"/>
        <v>-1</v>
      </c>
    </row>
    <row r="46">
      <c r="A46" s="1">
        <v>44.0</v>
      </c>
      <c r="B46" s="1">
        <v>48.0</v>
      </c>
      <c r="C46" s="7">
        <f>LOOKUP(A46,ADQUISICIONES!R60:R106,ADQUISICIONES!Y60:Y106)</f>
        <v>988.81785</v>
      </c>
      <c r="D46" s="2"/>
      <c r="E46" s="8" t="b">
        <v>0</v>
      </c>
      <c r="F46" s="9">
        <f t="shared" si="4"/>
        <v>177.987213</v>
      </c>
      <c r="G46" s="23" t="s">
        <v>63</v>
      </c>
      <c r="H46" s="8" t="b">
        <v>0</v>
      </c>
      <c r="I46" s="27">
        <v>46151.0</v>
      </c>
      <c r="K46" s="8">
        <f t="shared" si="5"/>
        <v>52</v>
      </c>
      <c r="L46" s="28">
        <f t="shared" si="3"/>
        <v>46216</v>
      </c>
      <c r="M46" s="2" t="s">
        <v>64</v>
      </c>
      <c r="N46" s="8">
        <f t="shared" si="6"/>
        <v>4</v>
      </c>
    </row>
    <row r="47">
      <c r="A47" s="1">
        <v>45.0</v>
      </c>
      <c r="B47" s="1">
        <v>49.0</v>
      </c>
      <c r="C47" s="7">
        <f>LOOKUP(A47,ADQUISICIONES!R61:R107,ADQUISICIONES!Y61:Y107)</f>
        <v>1747.100657</v>
      </c>
      <c r="D47" s="2"/>
      <c r="E47" s="8" t="b">
        <v>0</v>
      </c>
      <c r="F47" s="9">
        <f t="shared" si="4"/>
        <v>314.4781183</v>
      </c>
      <c r="G47" s="23" t="s">
        <v>65</v>
      </c>
      <c r="H47" s="8" t="b">
        <v>0</v>
      </c>
      <c r="I47" s="27">
        <v>46154.0</v>
      </c>
      <c r="K47" s="8">
        <f t="shared" si="5"/>
        <v>49</v>
      </c>
      <c r="L47" s="28">
        <f t="shared" si="3"/>
        <v>46219</v>
      </c>
      <c r="M47" s="2" t="s">
        <v>38</v>
      </c>
      <c r="N47" s="8">
        <f t="shared" si="6"/>
        <v>1</v>
      </c>
    </row>
    <row r="48">
      <c r="A48" s="1">
        <v>46.0</v>
      </c>
      <c r="B48" s="1">
        <v>50.0</v>
      </c>
      <c r="C48" s="7">
        <f>LOOKUP(A48,ADQUISICIONES!R62:R108,ADQUISICIONES!Y62:Y108)</f>
        <v>617.0473607</v>
      </c>
      <c r="D48" s="2"/>
      <c r="E48" s="8" t="b">
        <v>0</v>
      </c>
      <c r="F48" s="9">
        <f t="shared" si="4"/>
        <v>111.0685249</v>
      </c>
      <c r="G48" s="23" t="s">
        <v>66</v>
      </c>
      <c r="H48" s="8" t="b">
        <v>0</v>
      </c>
      <c r="I48" s="27">
        <v>46154.0</v>
      </c>
      <c r="K48" s="8">
        <f t="shared" si="5"/>
        <v>49</v>
      </c>
      <c r="L48" s="28">
        <f t="shared" si="3"/>
        <v>46219</v>
      </c>
      <c r="M48" s="2" t="s">
        <v>60</v>
      </c>
      <c r="N48" s="8">
        <f t="shared" si="6"/>
        <v>1</v>
      </c>
    </row>
    <row r="49">
      <c r="A49" s="1">
        <v>47.0</v>
      </c>
      <c r="B49" s="1">
        <v>51.0</v>
      </c>
      <c r="C49" s="7">
        <f>LOOKUP(A49,ADQUISICIONES!R63:R109,ADQUISICIONES!Y63:Y109)</f>
        <v>758.2100679</v>
      </c>
      <c r="D49" s="2"/>
      <c r="E49" s="8" t="b">
        <v>0</v>
      </c>
      <c r="F49" s="9">
        <f t="shared" si="4"/>
        <v>136.4778122</v>
      </c>
      <c r="G49" s="23" t="s">
        <v>67</v>
      </c>
      <c r="H49" s="8" t="b">
        <v>0</v>
      </c>
      <c r="I49" s="27">
        <v>46154.0</v>
      </c>
      <c r="K49" s="8">
        <f t="shared" si="5"/>
        <v>49</v>
      </c>
      <c r="L49" s="28">
        <f t="shared" si="3"/>
        <v>46219</v>
      </c>
      <c r="M49" s="2" t="s">
        <v>57</v>
      </c>
      <c r="N49" s="8">
        <f t="shared" si="6"/>
        <v>1</v>
      </c>
    </row>
    <row r="50">
      <c r="A50" s="1">
        <v>48.0</v>
      </c>
      <c r="B50" s="1">
        <v>52.0</v>
      </c>
      <c r="C50" s="7">
        <f>LOOKUP(A50,ADQUISICIONES!R64:R110,ADQUISICIONES!Y64:Y110)</f>
        <v>1573.924853</v>
      </c>
      <c r="D50" s="2"/>
      <c r="E50" s="8" t="b">
        <v>0</v>
      </c>
      <c r="F50" s="9">
        <f t="shared" si="4"/>
        <v>283.3064735</v>
      </c>
      <c r="G50" s="23" t="s">
        <v>68</v>
      </c>
      <c r="H50" s="8" t="b">
        <v>0</v>
      </c>
      <c r="I50" s="27">
        <v>46151.0</v>
      </c>
      <c r="K50" s="8">
        <f t="shared" si="5"/>
        <v>52</v>
      </c>
      <c r="L50" s="28">
        <f t="shared" si="3"/>
        <v>46216</v>
      </c>
      <c r="M50" s="2" t="s">
        <v>69</v>
      </c>
      <c r="N50" s="8">
        <f t="shared" si="6"/>
        <v>4</v>
      </c>
    </row>
    <row r="51">
      <c r="A51" s="1">
        <v>49.0</v>
      </c>
      <c r="B51" s="1">
        <v>53.0</v>
      </c>
      <c r="C51" s="7">
        <f>LOOKUP(A51,ADQUISICIONES!R65:R111,ADQUISICIONES!Y65:Y111)</f>
        <v>1480.002</v>
      </c>
      <c r="D51" s="2"/>
      <c r="E51" s="8" t="b">
        <v>0</v>
      </c>
      <c r="F51" s="9">
        <f t="shared" si="4"/>
        <v>266.40036</v>
      </c>
      <c r="G51" s="23" t="s">
        <v>70</v>
      </c>
      <c r="H51" s="8" t="b">
        <v>0</v>
      </c>
      <c r="I51" s="27">
        <v>46174.0</v>
      </c>
      <c r="K51" s="8">
        <f t="shared" si="5"/>
        <v>29</v>
      </c>
      <c r="L51" s="28">
        <f t="shared" si="3"/>
        <v>46239</v>
      </c>
      <c r="M51" s="2" t="s">
        <v>55</v>
      </c>
      <c r="N51" s="8">
        <f t="shared" si="6"/>
        <v>-19</v>
      </c>
    </row>
    <row r="52">
      <c r="A52" s="1">
        <v>50.0</v>
      </c>
      <c r="B52" s="1">
        <v>54.0</v>
      </c>
      <c r="C52" s="7">
        <f>LOOKUP(A52,ADQUISICIONES!R66:R112,ADQUISICIONES!Y66:Y112)</f>
        <v>648.8344286</v>
      </c>
      <c r="D52" s="2"/>
      <c r="E52" s="8" t="b">
        <v>0</v>
      </c>
      <c r="F52" s="9">
        <f t="shared" si="4"/>
        <v>116.7901971</v>
      </c>
      <c r="H52" s="8" t="b">
        <v>0</v>
      </c>
      <c r="I52" s="4"/>
      <c r="K52" s="8">
        <f t="shared" si="5"/>
        <v>46203</v>
      </c>
    </row>
    <row r="53">
      <c r="A53" s="1">
        <v>51.0</v>
      </c>
      <c r="B53" s="1">
        <v>55.0</v>
      </c>
      <c r="C53" s="7">
        <f>LOOKUP(A53,ADQUISICIONES!R67:R113,ADQUISICIONES!Y67:Y113)</f>
        <v>403.3845372</v>
      </c>
      <c r="D53" s="2"/>
      <c r="E53" s="8" t="b">
        <v>0</v>
      </c>
      <c r="F53" s="9">
        <f t="shared" si="4"/>
        <v>72.6092167</v>
      </c>
      <c r="H53" s="8" t="b">
        <v>0</v>
      </c>
      <c r="I53" s="4"/>
      <c r="K53" s="8">
        <f t="shared" si="5"/>
        <v>46203</v>
      </c>
    </row>
    <row r="54">
      <c r="A54" s="1">
        <v>52.0</v>
      </c>
      <c r="B54" s="1">
        <v>56.0</v>
      </c>
      <c r="C54" s="7">
        <f>LOOKUP(A54,ADQUISICIONES!R68:R114,ADQUISICIONES!Y68:Y114)</f>
        <v>679.7001321</v>
      </c>
      <c r="D54" s="2"/>
      <c r="E54" s="8" t="b">
        <v>0</v>
      </c>
      <c r="F54" s="9">
        <f t="shared" si="4"/>
        <v>122.3460238</v>
      </c>
      <c r="H54" s="8" t="b">
        <v>0</v>
      </c>
      <c r="I54" s="4"/>
      <c r="K54" s="8">
        <f t="shared" si="5"/>
        <v>46203</v>
      </c>
    </row>
    <row r="55">
      <c r="A55" s="1">
        <v>53.0</v>
      </c>
      <c r="B55" s="1">
        <v>57.0</v>
      </c>
      <c r="C55" s="7">
        <f>LOOKUP(A55,ADQUISICIONES!R69:R115,ADQUISICIONES!Y69:Y115)</f>
        <v>763.7625</v>
      </c>
      <c r="D55" s="2"/>
      <c r="E55" s="8" t="b">
        <v>0</v>
      </c>
      <c r="F55" s="9">
        <f t="shared" si="4"/>
        <v>137.47725</v>
      </c>
      <c r="H55" s="8" t="b">
        <v>0</v>
      </c>
      <c r="I55" s="4"/>
      <c r="K55" s="8">
        <f t="shared" si="5"/>
        <v>46203</v>
      </c>
    </row>
    <row r="56">
      <c r="A56" s="1">
        <v>54.0</v>
      </c>
      <c r="B56" s="1">
        <v>58.0</v>
      </c>
      <c r="C56" s="7">
        <f>LOOKUP(A56,ADQUISICIONES!R70:R116,ADQUISICIONES!Y70:Y116)</f>
        <v>887.9042143</v>
      </c>
      <c r="D56" s="2"/>
      <c r="E56" s="8" t="b">
        <v>0</v>
      </c>
      <c r="F56" s="9">
        <f t="shared" si="4"/>
        <v>159.8227586</v>
      </c>
      <c r="H56" s="8" t="b">
        <v>0</v>
      </c>
      <c r="I56" s="4"/>
      <c r="K56" s="8">
        <f t="shared" si="5"/>
        <v>46203</v>
      </c>
    </row>
    <row r="57">
      <c r="A57" s="1">
        <v>55.0</v>
      </c>
      <c r="B57" s="1">
        <v>59.0</v>
      </c>
      <c r="C57" s="7">
        <f>LOOKUP(A57,ADQUISICIONES!R71:R117,ADQUISICIONES!Y71:Y117)</f>
        <v>738.0612857</v>
      </c>
      <c r="D57" s="2"/>
      <c r="E57" s="8" t="b">
        <v>0</v>
      </c>
      <c r="F57" s="9">
        <f t="shared" si="4"/>
        <v>132.8510314</v>
      </c>
      <c r="H57" s="8" t="b">
        <v>0</v>
      </c>
      <c r="I57" s="4"/>
      <c r="K57" s="8">
        <f t="shared" si="5"/>
        <v>46203</v>
      </c>
    </row>
    <row r="58">
      <c r="A58" s="1">
        <v>56.0</v>
      </c>
      <c r="B58" s="1">
        <v>60.0</v>
      </c>
      <c r="C58" s="7">
        <f>LOOKUP(A58,ADQUISICIONES!R72:R118,ADQUISICIONES!Y72:Y118)</f>
        <v>846.9762429</v>
      </c>
      <c r="D58" s="2"/>
      <c r="E58" s="8" t="b">
        <v>0</v>
      </c>
      <c r="F58" s="9">
        <f t="shared" si="4"/>
        <v>152.4557237</v>
      </c>
      <c r="H58" s="8" t="b">
        <v>0</v>
      </c>
      <c r="I58" s="4"/>
      <c r="K58" s="8">
        <f t="shared" si="5"/>
        <v>46203</v>
      </c>
    </row>
    <row r="59">
      <c r="A59" s="1">
        <v>57.0</v>
      </c>
      <c r="B59" s="1">
        <v>61.0</v>
      </c>
      <c r="C59" s="7">
        <f>LOOKUP(A59,ADQUISICIONES!R73:R119,ADQUISICIONES!Y73:Y119)</f>
        <v>654.629325</v>
      </c>
      <c r="D59" s="2"/>
      <c r="E59" s="8" t="b">
        <v>0</v>
      </c>
      <c r="F59" s="9">
        <f t="shared" si="4"/>
        <v>117.8332785</v>
      </c>
      <c r="H59" s="8" t="b">
        <v>0</v>
      </c>
      <c r="I59" s="4"/>
      <c r="K59" s="8">
        <f t="shared" si="5"/>
        <v>46203</v>
      </c>
    </row>
    <row r="60">
      <c r="A60" s="1">
        <v>58.0</v>
      </c>
      <c r="B60" s="1">
        <v>62.0</v>
      </c>
      <c r="C60" s="7">
        <f>LOOKUP(A60,ADQUISICIONES!R74:R120,ADQUISICIONES!Y74:Y120)</f>
        <v>1263.214682</v>
      </c>
      <c r="D60" s="2"/>
      <c r="E60" s="8" t="b">
        <v>0</v>
      </c>
      <c r="F60" s="9">
        <f t="shared" si="4"/>
        <v>227.3786428</v>
      </c>
      <c r="H60" s="8" t="b">
        <v>0</v>
      </c>
      <c r="I60" s="4"/>
      <c r="K60" s="8">
        <f t="shared" si="5"/>
        <v>46203</v>
      </c>
    </row>
    <row r="61">
      <c r="A61" s="29"/>
      <c r="B61" s="1"/>
      <c r="F61" s="9"/>
      <c r="I61" s="12"/>
    </row>
    <row r="62">
      <c r="A62" s="29"/>
      <c r="B62" s="29"/>
      <c r="F62" s="9"/>
      <c r="I62" s="12"/>
    </row>
    <row r="63">
      <c r="A63" s="29"/>
      <c r="B63" s="29"/>
      <c r="F63" s="9"/>
      <c r="I63" s="12"/>
    </row>
    <row r="64">
      <c r="A64" s="29"/>
      <c r="B64" s="29"/>
      <c r="F64" s="9"/>
      <c r="I64" s="12"/>
    </row>
    <row r="65">
      <c r="A65" s="29"/>
      <c r="B65" s="29"/>
      <c r="F65" s="9"/>
      <c r="I65" s="12"/>
    </row>
    <row r="66">
      <c r="A66" s="29"/>
      <c r="B66" s="29"/>
      <c r="F66" s="9"/>
      <c r="I66" s="12"/>
    </row>
    <row r="67">
      <c r="A67" s="29"/>
      <c r="B67" s="29"/>
      <c r="F67" s="9"/>
      <c r="I67" s="12"/>
    </row>
    <row r="68">
      <c r="A68" s="29"/>
      <c r="B68" s="29"/>
      <c r="F68" s="9"/>
      <c r="I68" s="12"/>
    </row>
    <row r="69">
      <c r="A69" s="29"/>
      <c r="B69" s="29"/>
      <c r="F69" s="9"/>
      <c r="I69" s="12"/>
    </row>
    <row r="70">
      <c r="A70" s="29"/>
      <c r="B70" s="29"/>
      <c r="F70" s="9"/>
      <c r="I70" s="12"/>
    </row>
    <row r="71">
      <c r="A71" s="29"/>
      <c r="B71" s="29"/>
      <c r="F71" s="9"/>
      <c r="I71" s="12"/>
    </row>
    <row r="72">
      <c r="A72" s="29"/>
      <c r="B72" s="29"/>
      <c r="F72" s="9"/>
      <c r="I72" s="12"/>
    </row>
    <row r="73">
      <c r="A73" s="29"/>
      <c r="B73" s="29"/>
      <c r="F73" s="9"/>
      <c r="I73" s="12"/>
    </row>
    <row r="74">
      <c r="A74" s="29"/>
      <c r="B74" s="29"/>
      <c r="F74" s="9"/>
      <c r="I74" s="12"/>
    </row>
    <row r="75">
      <c r="A75" s="29"/>
      <c r="B75" s="29"/>
      <c r="F75" s="9"/>
      <c r="I75" s="12"/>
    </row>
    <row r="76">
      <c r="A76" s="29"/>
      <c r="B76" s="29"/>
      <c r="F76" s="9"/>
      <c r="I76" s="12"/>
    </row>
    <row r="77">
      <c r="A77" s="29"/>
      <c r="B77" s="29"/>
      <c r="F77" s="9"/>
      <c r="I77" s="12"/>
    </row>
    <row r="78">
      <c r="A78" s="29"/>
      <c r="B78" s="29"/>
      <c r="F78" s="9"/>
      <c r="I78" s="12"/>
    </row>
    <row r="79">
      <c r="A79" s="29"/>
      <c r="B79" s="29"/>
      <c r="F79" s="9"/>
      <c r="I79" s="12"/>
    </row>
    <row r="80">
      <c r="A80" s="29"/>
      <c r="B80" s="29"/>
      <c r="F80" s="9"/>
      <c r="I80" s="12"/>
    </row>
    <row r="81">
      <c r="A81" s="29"/>
      <c r="B81" s="29"/>
      <c r="F81" s="9"/>
      <c r="I81" s="12"/>
    </row>
    <row r="82">
      <c r="A82" s="29"/>
      <c r="B82" s="29"/>
      <c r="F82" s="9"/>
      <c r="I82" s="12"/>
    </row>
    <row r="83">
      <c r="A83" s="29"/>
      <c r="B83" s="29"/>
      <c r="F83" s="9"/>
      <c r="I83" s="12"/>
    </row>
    <row r="84">
      <c r="A84" s="29"/>
      <c r="B84" s="29"/>
      <c r="F84" s="9"/>
      <c r="I84" s="12"/>
    </row>
    <row r="85">
      <c r="A85" s="29"/>
      <c r="B85" s="29"/>
      <c r="F85" s="9"/>
      <c r="I85" s="12"/>
    </row>
    <row r="86">
      <c r="A86" s="29"/>
      <c r="B86" s="29"/>
      <c r="F86" s="9"/>
      <c r="I86" s="12"/>
    </row>
    <row r="87">
      <c r="A87" s="29"/>
      <c r="B87" s="29"/>
      <c r="F87" s="9"/>
      <c r="I87" s="12"/>
    </row>
    <row r="88">
      <c r="A88" s="29"/>
      <c r="B88" s="29"/>
      <c r="F88" s="9"/>
      <c r="I88" s="12"/>
    </row>
    <row r="89">
      <c r="A89" s="29"/>
      <c r="B89" s="29"/>
      <c r="F89" s="9"/>
      <c r="I89" s="12"/>
    </row>
    <row r="90">
      <c r="A90" s="29"/>
      <c r="B90" s="29"/>
      <c r="F90" s="9"/>
      <c r="I90" s="12"/>
    </row>
    <row r="91">
      <c r="A91" s="29"/>
      <c r="B91" s="29"/>
      <c r="F91" s="9"/>
      <c r="I91" s="12"/>
    </row>
    <row r="92">
      <c r="A92" s="29"/>
      <c r="B92" s="29"/>
      <c r="F92" s="9"/>
      <c r="I92" s="12"/>
    </row>
    <row r="93">
      <c r="A93" s="29"/>
      <c r="B93" s="29"/>
      <c r="F93" s="9"/>
      <c r="I93" s="12"/>
    </row>
    <row r="94">
      <c r="A94" s="29"/>
      <c r="B94" s="29"/>
      <c r="F94" s="9"/>
      <c r="I94" s="12"/>
    </row>
    <row r="95">
      <c r="A95" s="29"/>
      <c r="B95" s="29"/>
      <c r="F95" s="9"/>
      <c r="I95" s="12"/>
    </row>
    <row r="96">
      <c r="A96" s="29"/>
      <c r="B96" s="29"/>
      <c r="F96" s="9"/>
      <c r="I96" s="12"/>
    </row>
    <row r="97">
      <c r="A97" s="29"/>
      <c r="B97" s="29"/>
      <c r="F97" s="9"/>
      <c r="I97" s="12"/>
    </row>
    <row r="98">
      <c r="A98" s="29"/>
      <c r="B98" s="29"/>
      <c r="F98" s="9"/>
      <c r="I98" s="12"/>
    </row>
    <row r="99">
      <c r="A99" s="29"/>
      <c r="B99" s="29"/>
      <c r="F99" s="9"/>
      <c r="I99" s="12"/>
    </row>
    <row r="100">
      <c r="A100" s="29"/>
      <c r="B100" s="29"/>
      <c r="F100" s="9"/>
      <c r="I100" s="12"/>
    </row>
    <row r="101">
      <c r="A101" s="29"/>
      <c r="B101" s="29"/>
      <c r="F101" s="9"/>
      <c r="I101" s="12"/>
    </row>
    <row r="102">
      <c r="A102" s="29"/>
      <c r="B102" s="29"/>
      <c r="F102" s="9"/>
      <c r="I102" s="12"/>
    </row>
    <row r="103">
      <c r="A103" s="29"/>
      <c r="B103" s="29"/>
      <c r="F103" s="9"/>
      <c r="I103" s="12"/>
    </row>
    <row r="104">
      <c r="A104" s="29"/>
      <c r="B104" s="29"/>
      <c r="F104" s="9"/>
      <c r="I104" s="12"/>
    </row>
    <row r="105">
      <c r="A105" s="29"/>
      <c r="B105" s="29"/>
      <c r="F105" s="9"/>
      <c r="I105" s="12"/>
    </row>
    <row r="106">
      <c r="A106" s="29"/>
      <c r="B106" s="29"/>
      <c r="F106" s="9"/>
      <c r="I106" s="12"/>
    </row>
    <row r="107">
      <c r="A107" s="29"/>
      <c r="B107" s="29"/>
      <c r="F107" s="9"/>
      <c r="I107" s="12"/>
    </row>
    <row r="108">
      <c r="A108" s="29"/>
      <c r="B108" s="29"/>
      <c r="F108" s="9"/>
      <c r="I108" s="12"/>
    </row>
    <row r="109">
      <c r="A109" s="29"/>
      <c r="B109" s="29"/>
      <c r="F109" s="9"/>
      <c r="I109" s="12"/>
    </row>
    <row r="110">
      <c r="A110" s="29"/>
      <c r="B110" s="29"/>
      <c r="F110" s="9"/>
      <c r="I110" s="12"/>
    </row>
    <row r="111">
      <c r="A111" s="29"/>
      <c r="B111" s="29"/>
      <c r="F111" s="9"/>
      <c r="I111" s="12"/>
    </row>
    <row r="112">
      <c r="A112" s="29"/>
      <c r="B112" s="29"/>
      <c r="F112" s="9"/>
      <c r="I112" s="12"/>
    </row>
    <row r="113">
      <c r="A113" s="29"/>
      <c r="B113" s="29"/>
      <c r="F113" s="9"/>
      <c r="I113" s="12"/>
    </row>
    <row r="114">
      <c r="A114" s="29"/>
      <c r="B114" s="29"/>
      <c r="F114" s="9"/>
      <c r="I114" s="12"/>
    </row>
    <row r="115">
      <c r="A115" s="29"/>
      <c r="B115" s="29"/>
      <c r="F115" s="9"/>
      <c r="I115" s="12"/>
    </row>
    <row r="116">
      <c r="A116" s="29"/>
      <c r="B116" s="29"/>
      <c r="F116" s="9"/>
      <c r="I116" s="12"/>
    </row>
    <row r="117">
      <c r="A117" s="29"/>
      <c r="B117" s="29"/>
      <c r="F117" s="9"/>
      <c r="I117" s="12"/>
    </row>
    <row r="118">
      <c r="A118" s="29"/>
      <c r="B118" s="29"/>
      <c r="F118" s="9"/>
      <c r="I118" s="12"/>
    </row>
    <row r="119">
      <c r="A119" s="29"/>
      <c r="B119" s="29"/>
      <c r="F119" s="9"/>
      <c r="I119" s="12"/>
    </row>
    <row r="120">
      <c r="A120" s="29"/>
      <c r="B120" s="29"/>
      <c r="F120" s="9"/>
      <c r="I120" s="12"/>
    </row>
    <row r="121">
      <c r="A121" s="29"/>
      <c r="B121" s="29"/>
      <c r="F121" s="9"/>
      <c r="I121" s="12"/>
    </row>
    <row r="122">
      <c r="A122" s="29"/>
      <c r="B122" s="29"/>
      <c r="F122" s="9"/>
      <c r="I122" s="12"/>
    </row>
    <row r="123">
      <c r="A123" s="29"/>
      <c r="B123" s="29"/>
      <c r="F123" s="9"/>
      <c r="I123" s="12"/>
    </row>
    <row r="124">
      <c r="A124" s="29"/>
      <c r="B124" s="29"/>
      <c r="F124" s="9"/>
      <c r="I124" s="12"/>
    </row>
    <row r="125">
      <c r="A125" s="29"/>
      <c r="B125" s="29"/>
      <c r="F125" s="9"/>
      <c r="I125" s="12"/>
    </row>
    <row r="126">
      <c r="A126" s="29"/>
      <c r="B126" s="29"/>
      <c r="F126" s="9"/>
      <c r="I126" s="12"/>
    </row>
    <row r="127">
      <c r="A127" s="29"/>
      <c r="B127" s="29"/>
      <c r="F127" s="9"/>
      <c r="I127" s="12"/>
    </row>
    <row r="128">
      <c r="A128" s="29"/>
      <c r="B128" s="29"/>
      <c r="F128" s="9"/>
      <c r="I128" s="12"/>
    </row>
    <row r="129">
      <c r="A129" s="29"/>
      <c r="B129" s="29"/>
      <c r="F129" s="9"/>
      <c r="I129" s="12"/>
    </row>
    <row r="130">
      <c r="A130" s="29"/>
      <c r="B130" s="29"/>
      <c r="F130" s="9"/>
      <c r="I130" s="12"/>
    </row>
    <row r="131">
      <c r="A131" s="29"/>
      <c r="B131" s="29"/>
      <c r="F131" s="9"/>
      <c r="I131" s="12"/>
    </row>
    <row r="132">
      <c r="A132" s="29"/>
      <c r="B132" s="29"/>
      <c r="F132" s="9"/>
      <c r="I132" s="12"/>
    </row>
    <row r="133">
      <c r="A133" s="29"/>
      <c r="B133" s="29"/>
      <c r="F133" s="9"/>
      <c r="I133" s="12"/>
    </row>
    <row r="134">
      <c r="A134" s="29"/>
      <c r="B134" s="29"/>
      <c r="F134" s="9"/>
      <c r="I134" s="12"/>
    </row>
    <row r="135">
      <c r="A135" s="29"/>
      <c r="B135" s="29"/>
      <c r="F135" s="9"/>
      <c r="I135" s="12"/>
    </row>
    <row r="136">
      <c r="A136" s="29"/>
      <c r="B136" s="29"/>
      <c r="F136" s="9"/>
      <c r="I136" s="12"/>
    </row>
    <row r="137">
      <c r="A137" s="29"/>
      <c r="B137" s="29"/>
      <c r="F137" s="9"/>
      <c r="I137" s="12"/>
    </row>
    <row r="138">
      <c r="A138" s="29"/>
      <c r="B138" s="29"/>
      <c r="F138" s="9"/>
      <c r="I138" s="12"/>
    </row>
    <row r="139">
      <c r="A139" s="29"/>
      <c r="B139" s="29"/>
      <c r="F139" s="9"/>
      <c r="I139" s="12"/>
    </row>
    <row r="140">
      <c r="A140" s="29"/>
      <c r="B140" s="29"/>
      <c r="F140" s="9"/>
      <c r="I140" s="12"/>
    </row>
    <row r="141">
      <c r="A141" s="29"/>
      <c r="B141" s="29"/>
      <c r="F141" s="9"/>
      <c r="I141" s="12"/>
    </row>
    <row r="142">
      <c r="A142" s="29"/>
      <c r="B142" s="29"/>
      <c r="F142" s="9"/>
      <c r="I142" s="12"/>
    </row>
    <row r="143">
      <c r="A143" s="29"/>
      <c r="B143" s="29"/>
      <c r="F143" s="9"/>
      <c r="I143" s="12"/>
    </row>
    <row r="144">
      <c r="A144" s="29"/>
      <c r="B144" s="29"/>
      <c r="F144" s="9"/>
      <c r="I144" s="12"/>
    </row>
    <row r="145">
      <c r="A145" s="29"/>
      <c r="B145" s="29"/>
      <c r="F145" s="9"/>
      <c r="I145" s="12"/>
    </row>
    <row r="146">
      <c r="A146" s="29"/>
      <c r="B146" s="29"/>
      <c r="F146" s="9"/>
      <c r="I146" s="12"/>
    </row>
    <row r="147">
      <c r="A147" s="29"/>
      <c r="B147" s="29"/>
      <c r="F147" s="9"/>
      <c r="I147" s="12"/>
    </row>
    <row r="148">
      <c r="A148" s="29"/>
      <c r="B148" s="29"/>
      <c r="F148" s="9"/>
      <c r="I148" s="12"/>
    </row>
    <row r="149">
      <c r="A149" s="29"/>
      <c r="B149" s="29"/>
      <c r="F149" s="9"/>
      <c r="I149" s="12"/>
    </row>
    <row r="150">
      <c r="A150" s="29"/>
      <c r="B150" s="29"/>
      <c r="F150" s="9"/>
      <c r="I150" s="12"/>
    </row>
    <row r="151">
      <c r="A151" s="29"/>
      <c r="B151" s="29"/>
      <c r="F151" s="9"/>
      <c r="I151" s="12"/>
    </row>
    <row r="152">
      <c r="A152" s="29"/>
      <c r="B152" s="29"/>
      <c r="F152" s="9"/>
      <c r="I152" s="12"/>
    </row>
    <row r="153">
      <c r="A153" s="29"/>
      <c r="B153" s="29"/>
      <c r="F153" s="9"/>
      <c r="I153" s="12"/>
    </row>
    <row r="154">
      <c r="A154" s="29"/>
      <c r="B154" s="29"/>
      <c r="F154" s="9"/>
      <c r="I154" s="12"/>
    </row>
    <row r="155">
      <c r="A155" s="29"/>
      <c r="B155" s="29"/>
      <c r="F155" s="9"/>
      <c r="I155" s="12"/>
    </row>
    <row r="156">
      <c r="A156" s="29"/>
      <c r="B156" s="29"/>
      <c r="F156" s="9"/>
      <c r="I156" s="12"/>
    </row>
    <row r="157">
      <c r="A157" s="29"/>
      <c r="B157" s="29"/>
      <c r="F157" s="9"/>
      <c r="I157" s="12"/>
    </row>
    <row r="158">
      <c r="A158" s="29"/>
      <c r="B158" s="29"/>
      <c r="F158" s="9"/>
      <c r="I158" s="12"/>
    </row>
    <row r="159">
      <c r="A159" s="29"/>
      <c r="B159" s="29"/>
      <c r="F159" s="9"/>
      <c r="I159" s="12"/>
    </row>
    <row r="160">
      <c r="A160" s="29"/>
      <c r="B160" s="29"/>
      <c r="F160" s="9"/>
      <c r="I160" s="12"/>
    </row>
    <row r="161">
      <c r="A161" s="29"/>
      <c r="B161" s="29"/>
      <c r="F161" s="9"/>
      <c r="I161" s="12"/>
    </row>
    <row r="162">
      <c r="A162" s="29"/>
      <c r="B162" s="29"/>
      <c r="F162" s="9"/>
      <c r="I162" s="12"/>
    </row>
    <row r="163">
      <c r="A163" s="29"/>
      <c r="B163" s="29"/>
      <c r="F163" s="9"/>
      <c r="I163" s="12"/>
    </row>
    <row r="164">
      <c r="A164" s="29"/>
      <c r="B164" s="29"/>
      <c r="F164" s="9"/>
      <c r="I164" s="12"/>
    </row>
    <row r="165">
      <c r="A165" s="29"/>
      <c r="B165" s="29"/>
      <c r="F165" s="9"/>
      <c r="I165" s="12"/>
    </row>
    <row r="166">
      <c r="A166" s="29"/>
      <c r="B166" s="29"/>
      <c r="F166" s="9"/>
      <c r="I166" s="12"/>
    </row>
    <row r="167">
      <c r="A167" s="29"/>
      <c r="B167" s="29"/>
      <c r="F167" s="9"/>
      <c r="I167" s="12"/>
    </row>
    <row r="168">
      <c r="A168" s="29"/>
      <c r="B168" s="29"/>
      <c r="F168" s="9"/>
      <c r="I168" s="12"/>
    </row>
    <row r="169">
      <c r="A169" s="29"/>
      <c r="B169" s="29"/>
      <c r="F169" s="9"/>
      <c r="I169" s="12"/>
    </row>
    <row r="170">
      <c r="A170" s="29"/>
      <c r="B170" s="29"/>
      <c r="F170" s="9"/>
      <c r="I170" s="12"/>
    </row>
    <row r="171">
      <c r="A171" s="29"/>
      <c r="B171" s="29"/>
      <c r="F171" s="9"/>
      <c r="I171" s="12"/>
    </row>
    <row r="172">
      <c r="A172" s="29"/>
      <c r="B172" s="29"/>
      <c r="F172" s="9"/>
      <c r="I172" s="12"/>
    </row>
    <row r="173">
      <c r="A173" s="29"/>
      <c r="B173" s="29"/>
      <c r="F173" s="9"/>
      <c r="I173" s="12"/>
    </row>
    <row r="174">
      <c r="A174" s="29"/>
      <c r="B174" s="29"/>
      <c r="F174" s="9"/>
      <c r="I174" s="12"/>
    </row>
    <row r="175">
      <c r="A175" s="29"/>
      <c r="B175" s="29"/>
      <c r="F175" s="9"/>
      <c r="I175" s="12"/>
    </row>
    <row r="176">
      <c r="A176" s="29"/>
      <c r="B176" s="29"/>
      <c r="F176" s="9"/>
      <c r="I176" s="12"/>
    </row>
    <row r="177">
      <c r="A177" s="29"/>
      <c r="B177" s="29"/>
      <c r="F177" s="9"/>
      <c r="I177" s="12"/>
    </row>
    <row r="178">
      <c r="A178" s="29"/>
      <c r="B178" s="29"/>
      <c r="F178" s="9"/>
      <c r="I178" s="12"/>
    </row>
    <row r="179">
      <c r="A179" s="29"/>
      <c r="B179" s="29"/>
      <c r="F179" s="9"/>
      <c r="I179" s="12"/>
    </row>
    <row r="180">
      <c r="A180" s="29"/>
      <c r="B180" s="29"/>
      <c r="F180" s="9"/>
      <c r="I180" s="12"/>
    </row>
    <row r="181">
      <c r="A181" s="29"/>
      <c r="B181" s="29"/>
      <c r="F181" s="9"/>
      <c r="I181" s="12"/>
    </row>
    <row r="182">
      <c r="A182" s="29"/>
      <c r="B182" s="29"/>
      <c r="F182" s="9"/>
      <c r="I182" s="12"/>
    </row>
    <row r="183">
      <c r="A183" s="29"/>
      <c r="B183" s="29"/>
      <c r="F183" s="9"/>
      <c r="I183" s="12"/>
    </row>
    <row r="184">
      <c r="A184" s="29"/>
      <c r="B184" s="29"/>
      <c r="F184" s="9"/>
      <c r="I184" s="12"/>
    </row>
    <row r="185">
      <c r="A185" s="29"/>
      <c r="B185" s="29"/>
      <c r="F185" s="9"/>
      <c r="I185" s="12"/>
    </row>
    <row r="186">
      <c r="A186" s="29"/>
      <c r="B186" s="29"/>
      <c r="F186" s="9"/>
      <c r="I186" s="12"/>
    </row>
    <row r="187">
      <c r="A187" s="29"/>
      <c r="B187" s="29"/>
      <c r="F187" s="9"/>
      <c r="I187" s="12"/>
    </row>
    <row r="188">
      <c r="A188" s="29"/>
      <c r="B188" s="29"/>
      <c r="F188" s="9"/>
      <c r="I188" s="12"/>
    </row>
    <row r="189">
      <c r="A189" s="29"/>
      <c r="B189" s="29"/>
      <c r="F189" s="9"/>
      <c r="I189" s="12"/>
    </row>
    <row r="190">
      <c r="A190" s="29"/>
      <c r="B190" s="29"/>
      <c r="F190" s="9"/>
      <c r="I190" s="12"/>
    </row>
    <row r="191">
      <c r="A191" s="29"/>
      <c r="B191" s="29"/>
      <c r="F191" s="9"/>
      <c r="I191" s="12"/>
    </row>
    <row r="192">
      <c r="A192" s="29"/>
      <c r="B192" s="29"/>
      <c r="F192" s="9"/>
      <c r="I192" s="12"/>
    </row>
    <row r="193">
      <c r="A193" s="29"/>
      <c r="B193" s="29"/>
      <c r="F193" s="9"/>
      <c r="I193" s="12"/>
    </row>
    <row r="194">
      <c r="A194" s="29"/>
      <c r="B194" s="29"/>
      <c r="F194" s="9"/>
      <c r="I194" s="12"/>
    </row>
    <row r="195">
      <c r="A195" s="29"/>
      <c r="B195" s="29"/>
      <c r="F195" s="9"/>
      <c r="I195" s="12"/>
    </row>
    <row r="196">
      <c r="A196" s="29"/>
      <c r="B196" s="29"/>
      <c r="F196" s="9"/>
      <c r="I196" s="12"/>
    </row>
    <row r="197">
      <c r="A197" s="29"/>
      <c r="B197" s="29"/>
      <c r="F197" s="9"/>
      <c r="I197" s="12"/>
    </row>
    <row r="198">
      <c r="A198" s="29"/>
      <c r="B198" s="29"/>
      <c r="F198" s="9"/>
      <c r="I198" s="12"/>
    </row>
    <row r="199">
      <c r="A199" s="29"/>
      <c r="B199" s="29"/>
      <c r="F199" s="9"/>
      <c r="I199" s="12"/>
    </row>
    <row r="200">
      <c r="A200" s="29"/>
      <c r="B200" s="29"/>
      <c r="F200" s="9"/>
      <c r="I200" s="12"/>
    </row>
    <row r="201">
      <c r="A201" s="29"/>
      <c r="B201" s="29"/>
      <c r="F201" s="9"/>
      <c r="I201" s="12"/>
    </row>
    <row r="202">
      <c r="A202" s="29"/>
      <c r="B202" s="29"/>
      <c r="F202" s="9"/>
      <c r="I202" s="12"/>
    </row>
    <row r="203">
      <c r="A203" s="29"/>
      <c r="B203" s="29"/>
      <c r="F203" s="9"/>
      <c r="I203" s="12"/>
    </row>
    <row r="204">
      <c r="A204" s="29"/>
      <c r="B204" s="29"/>
      <c r="F204" s="9"/>
      <c r="I204" s="12"/>
    </row>
    <row r="205">
      <c r="A205" s="29"/>
      <c r="B205" s="29"/>
      <c r="F205" s="9"/>
      <c r="I205" s="12"/>
    </row>
    <row r="206">
      <c r="A206" s="29"/>
      <c r="B206" s="29"/>
      <c r="F206" s="9"/>
      <c r="I206" s="12"/>
    </row>
    <row r="207">
      <c r="A207" s="29"/>
      <c r="B207" s="29"/>
      <c r="F207" s="9"/>
      <c r="I207" s="12"/>
    </row>
    <row r="208">
      <c r="A208" s="29"/>
      <c r="B208" s="29"/>
      <c r="F208" s="9"/>
      <c r="I208" s="12"/>
    </row>
    <row r="209">
      <c r="A209" s="29"/>
      <c r="B209" s="29"/>
      <c r="F209" s="9"/>
      <c r="I209" s="12"/>
    </row>
    <row r="210">
      <c r="A210" s="29"/>
      <c r="B210" s="29"/>
      <c r="F210" s="9"/>
      <c r="I210" s="12"/>
    </row>
    <row r="211">
      <c r="A211" s="29"/>
      <c r="B211" s="29"/>
      <c r="F211" s="9"/>
      <c r="I211" s="12"/>
    </row>
    <row r="212">
      <c r="A212" s="29"/>
      <c r="B212" s="29"/>
      <c r="F212" s="9"/>
      <c r="I212" s="12"/>
    </row>
    <row r="213">
      <c r="A213" s="29"/>
      <c r="B213" s="29"/>
      <c r="F213" s="9"/>
      <c r="I213" s="12"/>
    </row>
    <row r="214">
      <c r="A214" s="29"/>
      <c r="B214" s="29"/>
      <c r="F214" s="9"/>
      <c r="I214" s="12"/>
    </row>
    <row r="215">
      <c r="A215" s="29"/>
      <c r="B215" s="29"/>
      <c r="F215" s="9"/>
      <c r="I215" s="12"/>
    </row>
    <row r="216">
      <c r="A216" s="29"/>
      <c r="B216" s="29"/>
      <c r="F216" s="9"/>
      <c r="I216" s="12"/>
    </row>
    <row r="217">
      <c r="A217" s="29"/>
      <c r="B217" s="29"/>
      <c r="F217" s="9"/>
      <c r="I217" s="12"/>
    </row>
    <row r="218">
      <c r="A218" s="29"/>
      <c r="B218" s="29"/>
      <c r="F218" s="9"/>
      <c r="I218" s="12"/>
    </row>
    <row r="219">
      <c r="A219" s="29"/>
      <c r="B219" s="29"/>
      <c r="F219" s="9"/>
      <c r="I219" s="12"/>
    </row>
    <row r="220">
      <c r="A220" s="29"/>
      <c r="B220" s="29"/>
      <c r="F220" s="9"/>
      <c r="I220" s="12"/>
    </row>
    <row r="221">
      <c r="A221" s="29"/>
      <c r="B221" s="29"/>
      <c r="F221" s="9"/>
      <c r="I221" s="12"/>
    </row>
    <row r="222">
      <c r="A222" s="29"/>
      <c r="B222" s="29"/>
      <c r="F222" s="9"/>
      <c r="I222" s="12"/>
    </row>
    <row r="223">
      <c r="A223" s="29"/>
      <c r="B223" s="29"/>
      <c r="F223" s="9"/>
      <c r="I223" s="12"/>
    </row>
    <row r="224">
      <c r="A224" s="29"/>
      <c r="B224" s="29"/>
      <c r="F224" s="9"/>
      <c r="I224" s="12"/>
    </row>
    <row r="225">
      <c r="A225" s="29"/>
      <c r="B225" s="29"/>
      <c r="F225" s="9"/>
      <c r="I225" s="12"/>
    </row>
    <row r="226">
      <c r="A226" s="29"/>
      <c r="B226" s="29"/>
      <c r="F226" s="9"/>
      <c r="I226" s="12"/>
    </row>
    <row r="227">
      <c r="A227" s="29"/>
      <c r="B227" s="29"/>
      <c r="F227" s="9"/>
      <c r="I227" s="12"/>
    </row>
    <row r="228">
      <c r="A228" s="29"/>
      <c r="B228" s="29"/>
      <c r="F228" s="9"/>
      <c r="I228" s="12"/>
    </row>
    <row r="229">
      <c r="A229" s="29"/>
      <c r="B229" s="29"/>
      <c r="F229" s="9"/>
      <c r="I229" s="12"/>
    </row>
    <row r="230">
      <c r="A230" s="29"/>
      <c r="B230" s="29"/>
      <c r="F230" s="9"/>
      <c r="I230" s="12"/>
    </row>
    <row r="231">
      <c r="A231" s="29"/>
      <c r="B231" s="29"/>
      <c r="F231" s="9"/>
      <c r="I231" s="12"/>
    </row>
    <row r="232">
      <c r="A232" s="29"/>
      <c r="B232" s="29"/>
      <c r="F232" s="9"/>
      <c r="I232" s="12"/>
    </row>
    <row r="233">
      <c r="A233" s="29"/>
      <c r="B233" s="29"/>
      <c r="F233" s="9"/>
      <c r="I233" s="12"/>
    </row>
    <row r="234">
      <c r="A234" s="29"/>
      <c r="B234" s="29"/>
      <c r="F234" s="9"/>
      <c r="I234" s="12"/>
    </row>
    <row r="235">
      <c r="A235" s="29"/>
      <c r="B235" s="29"/>
      <c r="F235" s="9"/>
      <c r="I235" s="12"/>
    </row>
    <row r="236">
      <c r="A236" s="29"/>
      <c r="B236" s="29"/>
      <c r="F236" s="9"/>
      <c r="I236" s="12"/>
    </row>
    <row r="237">
      <c r="A237" s="29"/>
      <c r="B237" s="29"/>
      <c r="F237" s="9"/>
      <c r="I237" s="12"/>
    </row>
    <row r="238">
      <c r="A238" s="29"/>
      <c r="B238" s="29"/>
      <c r="F238" s="9"/>
      <c r="I238" s="12"/>
    </row>
    <row r="239">
      <c r="A239" s="29"/>
      <c r="B239" s="29"/>
      <c r="F239" s="9"/>
      <c r="I239" s="12"/>
    </row>
    <row r="240">
      <c r="A240" s="29"/>
      <c r="B240" s="29"/>
      <c r="F240" s="9"/>
      <c r="I240" s="12"/>
    </row>
    <row r="241">
      <c r="A241" s="29"/>
      <c r="B241" s="29"/>
      <c r="F241" s="9"/>
      <c r="I241" s="12"/>
    </row>
    <row r="242">
      <c r="A242" s="29"/>
      <c r="B242" s="29"/>
      <c r="F242" s="9"/>
      <c r="I242" s="12"/>
    </row>
    <row r="243">
      <c r="A243" s="29"/>
      <c r="B243" s="29"/>
      <c r="F243" s="9"/>
      <c r="I243" s="12"/>
    </row>
    <row r="244">
      <c r="A244" s="29"/>
      <c r="B244" s="29"/>
      <c r="F244" s="9"/>
      <c r="I244" s="12"/>
    </row>
    <row r="245">
      <c r="A245" s="29"/>
      <c r="B245" s="29"/>
      <c r="F245" s="9"/>
      <c r="I245" s="12"/>
    </row>
    <row r="246">
      <c r="A246" s="29"/>
      <c r="B246" s="29"/>
      <c r="F246" s="9"/>
      <c r="I246" s="12"/>
    </row>
    <row r="247">
      <c r="A247" s="29"/>
      <c r="B247" s="29"/>
      <c r="F247" s="9"/>
      <c r="I247" s="12"/>
    </row>
    <row r="248">
      <c r="A248" s="29"/>
      <c r="B248" s="29"/>
      <c r="F248" s="9"/>
      <c r="I248" s="12"/>
    </row>
    <row r="249">
      <c r="A249" s="29"/>
      <c r="B249" s="29"/>
      <c r="F249" s="9"/>
      <c r="I249" s="12"/>
    </row>
    <row r="250">
      <c r="A250" s="29"/>
      <c r="B250" s="29"/>
      <c r="F250" s="9"/>
      <c r="I250" s="12"/>
    </row>
    <row r="251">
      <c r="A251" s="29"/>
      <c r="B251" s="29"/>
      <c r="F251" s="9"/>
      <c r="I251" s="12"/>
    </row>
    <row r="252">
      <c r="A252" s="29"/>
      <c r="B252" s="29"/>
      <c r="F252" s="9"/>
      <c r="I252" s="12"/>
    </row>
    <row r="253">
      <c r="A253" s="29"/>
      <c r="B253" s="29"/>
      <c r="F253" s="9"/>
      <c r="I253" s="12"/>
    </row>
    <row r="254">
      <c r="A254" s="29"/>
      <c r="B254" s="29"/>
      <c r="F254" s="9"/>
      <c r="I254" s="12"/>
    </row>
    <row r="255">
      <c r="A255" s="29"/>
      <c r="B255" s="29"/>
      <c r="F255" s="9"/>
      <c r="I255" s="12"/>
    </row>
    <row r="256">
      <c r="A256" s="29"/>
      <c r="B256" s="29"/>
      <c r="F256" s="9"/>
      <c r="I256" s="12"/>
    </row>
    <row r="257">
      <c r="A257" s="29"/>
      <c r="B257" s="29"/>
      <c r="F257" s="9"/>
      <c r="I257" s="12"/>
    </row>
    <row r="258">
      <c r="A258" s="29"/>
      <c r="B258" s="29"/>
      <c r="F258" s="9"/>
      <c r="I258" s="12"/>
    </row>
    <row r="259">
      <c r="A259" s="29"/>
      <c r="B259" s="29"/>
      <c r="F259" s="9"/>
      <c r="I259" s="12"/>
    </row>
    <row r="260">
      <c r="A260" s="29"/>
      <c r="B260" s="29"/>
      <c r="F260" s="9"/>
      <c r="I260" s="12"/>
    </row>
    <row r="261">
      <c r="A261" s="29"/>
      <c r="B261" s="29"/>
      <c r="F261" s="9"/>
      <c r="I261" s="12"/>
    </row>
    <row r="262">
      <c r="A262" s="29"/>
      <c r="B262" s="29"/>
      <c r="F262" s="9"/>
      <c r="I262" s="12"/>
    </row>
    <row r="263">
      <c r="A263" s="29"/>
      <c r="B263" s="29"/>
      <c r="F263" s="9"/>
      <c r="I263" s="12"/>
    </row>
    <row r="264">
      <c r="A264" s="29"/>
      <c r="B264" s="29"/>
      <c r="F264" s="9"/>
      <c r="I264" s="12"/>
    </row>
    <row r="265">
      <c r="A265" s="29"/>
      <c r="B265" s="29"/>
      <c r="F265" s="9"/>
      <c r="I265" s="12"/>
    </row>
    <row r="266">
      <c r="A266" s="29"/>
      <c r="B266" s="29"/>
      <c r="F266" s="9"/>
      <c r="I266" s="12"/>
    </row>
    <row r="267">
      <c r="A267" s="29"/>
      <c r="B267" s="29"/>
      <c r="F267" s="9"/>
      <c r="I267" s="12"/>
    </row>
    <row r="268">
      <c r="A268" s="29"/>
      <c r="B268" s="29"/>
      <c r="F268" s="9"/>
      <c r="I268" s="12"/>
    </row>
    <row r="269">
      <c r="A269" s="29"/>
      <c r="B269" s="29"/>
      <c r="F269" s="9"/>
      <c r="I269" s="12"/>
    </row>
    <row r="270">
      <c r="A270" s="29"/>
      <c r="B270" s="29"/>
      <c r="F270" s="9"/>
      <c r="I270" s="12"/>
    </row>
    <row r="271">
      <c r="A271" s="29"/>
      <c r="B271" s="29"/>
      <c r="F271" s="9"/>
      <c r="I271" s="12"/>
    </row>
    <row r="272">
      <c r="A272" s="29"/>
      <c r="B272" s="29"/>
      <c r="F272" s="9"/>
      <c r="I272" s="12"/>
    </row>
    <row r="273">
      <c r="A273" s="29"/>
      <c r="B273" s="29"/>
      <c r="F273" s="9"/>
      <c r="I273" s="12"/>
    </row>
    <row r="274">
      <c r="A274" s="29"/>
      <c r="B274" s="29"/>
      <c r="F274" s="9"/>
      <c r="I274" s="12"/>
    </row>
    <row r="275">
      <c r="A275" s="29"/>
      <c r="B275" s="29"/>
      <c r="F275" s="9"/>
      <c r="I275" s="12"/>
    </row>
    <row r="276">
      <c r="A276" s="29"/>
      <c r="B276" s="29"/>
      <c r="F276" s="9"/>
      <c r="I276" s="12"/>
    </row>
    <row r="277">
      <c r="A277" s="29"/>
      <c r="B277" s="29"/>
      <c r="F277" s="9"/>
      <c r="I277" s="12"/>
    </row>
    <row r="278">
      <c r="A278" s="29"/>
      <c r="B278" s="29"/>
      <c r="F278" s="9"/>
      <c r="I278" s="12"/>
    </row>
    <row r="279">
      <c r="A279" s="29"/>
      <c r="B279" s="29"/>
      <c r="F279" s="9"/>
      <c r="I279" s="12"/>
    </row>
    <row r="280">
      <c r="A280" s="29"/>
      <c r="B280" s="29"/>
      <c r="F280" s="9"/>
      <c r="I280" s="12"/>
    </row>
    <row r="281">
      <c r="A281" s="29"/>
      <c r="B281" s="29"/>
      <c r="F281" s="9"/>
      <c r="I281" s="12"/>
    </row>
    <row r="282">
      <c r="A282" s="29"/>
      <c r="B282" s="29"/>
      <c r="F282" s="9"/>
      <c r="I282" s="12"/>
    </row>
    <row r="283">
      <c r="A283" s="29"/>
      <c r="B283" s="29"/>
      <c r="F283" s="9"/>
      <c r="I283" s="12"/>
    </row>
    <row r="284">
      <c r="A284" s="29"/>
      <c r="B284" s="29"/>
      <c r="F284" s="9"/>
      <c r="I284" s="12"/>
    </row>
    <row r="285">
      <c r="A285" s="29"/>
      <c r="B285" s="29"/>
      <c r="F285" s="9"/>
      <c r="I285" s="12"/>
    </row>
    <row r="286">
      <c r="A286" s="29"/>
      <c r="B286" s="29"/>
      <c r="F286" s="9"/>
      <c r="I286" s="12"/>
    </row>
    <row r="287">
      <c r="A287" s="29"/>
      <c r="B287" s="29"/>
      <c r="F287" s="9"/>
      <c r="I287" s="12"/>
    </row>
    <row r="288">
      <c r="A288" s="29"/>
      <c r="B288" s="29"/>
      <c r="F288" s="9"/>
      <c r="I288" s="12"/>
    </row>
    <row r="289">
      <c r="A289" s="29"/>
      <c r="B289" s="29"/>
      <c r="F289" s="9"/>
      <c r="I289" s="12"/>
    </row>
    <row r="290">
      <c r="A290" s="29"/>
      <c r="B290" s="29"/>
      <c r="F290" s="9"/>
      <c r="I290" s="12"/>
    </row>
    <row r="291">
      <c r="A291" s="29"/>
      <c r="B291" s="29"/>
      <c r="F291" s="9"/>
      <c r="I291" s="12"/>
    </row>
    <row r="292">
      <c r="A292" s="29"/>
      <c r="B292" s="29"/>
      <c r="F292" s="9"/>
      <c r="I292" s="12"/>
    </row>
    <row r="293">
      <c r="A293" s="29"/>
      <c r="B293" s="29"/>
      <c r="F293" s="9"/>
      <c r="I293" s="12"/>
    </row>
    <row r="294">
      <c r="A294" s="29"/>
      <c r="B294" s="29"/>
      <c r="F294" s="9"/>
      <c r="I294" s="12"/>
    </row>
    <row r="295">
      <c r="A295" s="29"/>
      <c r="B295" s="29"/>
      <c r="F295" s="9"/>
      <c r="I295" s="12"/>
    </row>
    <row r="296">
      <c r="A296" s="29"/>
      <c r="B296" s="29"/>
      <c r="F296" s="9"/>
      <c r="I296" s="12"/>
    </row>
    <row r="297">
      <c r="A297" s="29"/>
      <c r="B297" s="29"/>
      <c r="F297" s="9"/>
      <c r="I297" s="12"/>
    </row>
    <row r="298">
      <c r="A298" s="29"/>
      <c r="B298" s="29"/>
      <c r="F298" s="9"/>
      <c r="I298" s="12"/>
    </row>
    <row r="299">
      <c r="A299" s="29"/>
      <c r="B299" s="29"/>
      <c r="F299" s="9"/>
      <c r="I299" s="12"/>
    </row>
    <row r="300">
      <c r="A300" s="29"/>
      <c r="B300" s="29"/>
      <c r="F300" s="9"/>
      <c r="I300" s="12"/>
    </row>
    <row r="301">
      <c r="A301" s="29"/>
      <c r="B301" s="29"/>
      <c r="F301" s="9"/>
      <c r="I301" s="12"/>
    </row>
    <row r="302">
      <c r="A302" s="29"/>
      <c r="B302" s="29"/>
      <c r="F302" s="9"/>
      <c r="I302" s="12"/>
    </row>
    <row r="303">
      <c r="A303" s="29"/>
      <c r="B303" s="29"/>
      <c r="F303" s="9"/>
      <c r="I303" s="12"/>
    </row>
    <row r="304">
      <c r="A304" s="29"/>
      <c r="B304" s="29"/>
      <c r="F304" s="9"/>
      <c r="I304" s="12"/>
    </row>
    <row r="305">
      <c r="A305" s="29"/>
      <c r="B305" s="29"/>
      <c r="F305" s="9"/>
      <c r="I305" s="12"/>
    </row>
    <row r="306">
      <c r="A306" s="29"/>
      <c r="B306" s="29"/>
      <c r="F306" s="9"/>
      <c r="I306" s="12"/>
    </row>
    <row r="307">
      <c r="A307" s="29"/>
      <c r="B307" s="29"/>
      <c r="F307" s="9"/>
      <c r="I307" s="12"/>
    </row>
    <row r="308">
      <c r="A308" s="29"/>
      <c r="B308" s="29"/>
      <c r="F308" s="9"/>
      <c r="I308" s="12"/>
    </row>
    <row r="309">
      <c r="A309" s="29"/>
      <c r="B309" s="29"/>
      <c r="F309" s="9"/>
      <c r="I309" s="12"/>
    </row>
    <row r="310">
      <c r="A310" s="29"/>
      <c r="B310" s="29"/>
      <c r="F310" s="9"/>
      <c r="I310" s="12"/>
    </row>
    <row r="311">
      <c r="A311" s="29"/>
      <c r="B311" s="29"/>
      <c r="F311" s="9"/>
      <c r="I311" s="12"/>
    </row>
    <row r="312">
      <c r="A312" s="29"/>
      <c r="B312" s="29"/>
      <c r="F312" s="9"/>
      <c r="I312" s="12"/>
    </row>
    <row r="313">
      <c r="A313" s="29"/>
      <c r="B313" s="29"/>
      <c r="F313" s="9"/>
      <c r="I313" s="12"/>
    </row>
    <row r="314">
      <c r="A314" s="29"/>
      <c r="B314" s="29"/>
      <c r="F314" s="9"/>
      <c r="I314" s="12"/>
    </row>
    <row r="315">
      <c r="A315" s="29"/>
      <c r="B315" s="29"/>
      <c r="F315" s="9"/>
      <c r="I315" s="12"/>
    </row>
    <row r="316">
      <c r="A316" s="29"/>
      <c r="B316" s="29"/>
      <c r="F316" s="9"/>
      <c r="I316" s="12"/>
    </row>
    <row r="317">
      <c r="A317" s="29"/>
      <c r="B317" s="29"/>
      <c r="F317" s="9"/>
      <c r="I317" s="12"/>
    </row>
    <row r="318">
      <c r="A318" s="29"/>
      <c r="B318" s="29"/>
      <c r="F318" s="9"/>
      <c r="I318" s="12"/>
    </row>
    <row r="319">
      <c r="A319" s="29"/>
      <c r="B319" s="29"/>
      <c r="F319" s="9"/>
      <c r="I319" s="12"/>
    </row>
    <row r="320">
      <c r="A320" s="29"/>
      <c r="B320" s="29"/>
      <c r="F320" s="9"/>
      <c r="I320" s="12"/>
    </row>
    <row r="321">
      <c r="A321" s="29"/>
      <c r="B321" s="29"/>
      <c r="F321" s="9"/>
      <c r="I321" s="12"/>
    </row>
    <row r="322">
      <c r="A322" s="29"/>
      <c r="B322" s="29"/>
      <c r="F322" s="9"/>
      <c r="I322" s="12"/>
    </row>
    <row r="323">
      <c r="A323" s="29"/>
      <c r="B323" s="29"/>
      <c r="F323" s="9"/>
      <c r="I323" s="12"/>
    </row>
    <row r="324">
      <c r="A324" s="29"/>
      <c r="B324" s="29"/>
      <c r="F324" s="9"/>
      <c r="I324" s="12"/>
    </row>
    <row r="325">
      <c r="A325" s="29"/>
      <c r="B325" s="29"/>
      <c r="F325" s="9"/>
      <c r="I325" s="12"/>
    </row>
    <row r="326">
      <c r="A326" s="29"/>
      <c r="B326" s="29"/>
      <c r="F326" s="9"/>
      <c r="I326" s="12"/>
    </row>
    <row r="327">
      <c r="A327" s="29"/>
      <c r="B327" s="29"/>
      <c r="F327" s="9"/>
      <c r="I327" s="12"/>
    </row>
    <row r="328">
      <c r="A328" s="29"/>
      <c r="B328" s="29"/>
      <c r="F328" s="9"/>
      <c r="I328" s="12"/>
    </row>
    <row r="329">
      <c r="A329" s="29"/>
      <c r="B329" s="29"/>
      <c r="F329" s="9"/>
      <c r="I329" s="12"/>
    </row>
    <row r="330">
      <c r="A330" s="29"/>
      <c r="B330" s="29"/>
      <c r="F330" s="9"/>
      <c r="I330" s="12"/>
    </row>
    <row r="331">
      <c r="A331" s="29"/>
      <c r="B331" s="29"/>
      <c r="F331" s="9"/>
      <c r="I331" s="12"/>
    </row>
    <row r="332">
      <c r="A332" s="29"/>
      <c r="B332" s="29"/>
      <c r="F332" s="9"/>
      <c r="I332" s="12"/>
    </row>
    <row r="333">
      <c r="A333" s="29"/>
      <c r="B333" s="29"/>
      <c r="F333" s="9"/>
      <c r="I333" s="12"/>
    </row>
    <row r="334">
      <c r="A334" s="29"/>
      <c r="B334" s="29"/>
      <c r="F334" s="9"/>
      <c r="I334" s="12"/>
    </row>
    <row r="335">
      <c r="A335" s="29"/>
      <c r="B335" s="29"/>
      <c r="F335" s="9"/>
      <c r="I335" s="12"/>
    </row>
    <row r="336">
      <c r="A336" s="29"/>
      <c r="B336" s="29"/>
      <c r="F336" s="9"/>
      <c r="I336" s="12"/>
    </row>
    <row r="337">
      <c r="A337" s="29"/>
      <c r="B337" s="29"/>
      <c r="F337" s="9"/>
      <c r="I337" s="12"/>
    </row>
    <row r="338">
      <c r="A338" s="29"/>
      <c r="B338" s="29"/>
      <c r="F338" s="9"/>
      <c r="I338" s="12"/>
    </row>
    <row r="339">
      <c r="A339" s="29"/>
      <c r="B339" s="29"/>
      <c r="F339" s="9"/>
      <c r="I339" s="12"/>
    </row>
    <row r="340">
      <c r="A340" s="29"/>
      <c r="B340" s="29"/>
      <c r="F340" s="9"/>
      <c r="I340" s="12"/>
    </row>
    <row r="341">
      <c r="A341" s="29"/>
      <c r="B341" s="29"/>
      <c r="F341" s="9"/>
      <c r="I341" s="12"/>
    </row>
    <row r="342">
      <c r="A342" s="29"/>
      <c r="B342" s="29"/>
      <c r="F342" s="9"/>
      <c r="I342" s="12"/>
    </row>
    <row r="343">
      <c r="A343" s="29"/>
      <c r="B343" s="29"/>
      <c r="F343" s="9"/>
      <c r="I343" s="12"/>
    </row>
    <row r="344">
      <c r="A344" s="29"/>
      <c r="B344" s="29"/>
      <c r="F344" s="9"/>
      <c r="I344" s="12"/>
    </row>
    <row r="345">
      <c r="A345" s="29"/>
      <c r="B345" s="29"/>
      <c r="F345" s="9"/>
      <c r="I345" s="12"/>
    </row>
    <row r="346">
      <c r="A346" s="29"/>
      <c r="B346" s="29"/>
      <c r="F346" s="9"/>
      <c r="I346" s="12"/>
    </row>
    <row r="347">
      <c r="A347" s="29"/>
      <c r="B347" s="29"/>
      <c r="F347" s="9"/>
      <c r="I347" s="12"/>
    </row>
    <row r="348">
      <c r="A348" s="29"/>
      <c r="B348" s="29"/>
      <c r="F348" s="9"/>
      <c r="I348" s="12"/>
    </row>
    <row r="349">
      <c r="A349" s="29"/>
      <c r="B349" s="29"/>
      <c r="F349" s="9"/>
      <c r="I349" s="12"/>
    </row>
    <row r="350">
      <c r="A350" s="29"/>
      <c r="B350" s="29"/>
      <c r="F350" s="9"/>
      <c r="I350" s="12"/>
    </row>
    <row r="351">
      <c r="A351" s="29"/>
      <c r="B351" s="29"/>
      <c r="F351" s="9"/>
      <c r="I351" s="12"/>
    </row>
    <row r="352">
      <c r="A352" s="29"/>
      <c r="B352" s="29"/>
      <c r="F352" s="9"/>
      <c r="I352" s="12"/>
    </row>
    <row r="353">
      <c r="A353" s="29"/>
      <c r="B353" s="29"/>
      <c r="F353" s="9"/>
      <c r="I353" s="12"/>
    </row>
    <row r="354">
      <c r="A354" s="29"/>
      <c r="B354" s="29"/>
      <c r="F354" s="9"/>
      <c r="I354" s="12"/>
    </row>
    <row r="355">
      <c r="A355" s="29"/>
      <c r="B355" s="29"/>
      <c r="F355" s="9"/>
      <c r="I355" s="12"/>
    </row>
    <row r="356">
      <c r="A356" s="29"/>
      <c r="B356" s="29"/>
      <c r="F356" s="9"/>
      <c r="I356" s="12"/>
    </row>
    <row r="357">
      <c r="A357" s="29"/>
      <c r="B357" s="29"/>
      <c r="F357" s="9"/>
      <c r="I357" s="12"/>
    </row>
    <row r="358">
      <c r="A358" s="29"/>
      <c r="B358" s="29"/>
      <c r="F358" s="9"/>
      <c r="I358" s="12"/>
    </row>
    <row r="359">
      <c r="A359" s="29"/>
      <c r="B359" s="29"/>
      <c r="F359" s="9"/>
      <c r="I359" s="12"/>
    </row>
    <row r="360">
      <c r="A360" s="29"/>
      <c r="B360" s="29"/>
      <c r="F360" s="9"/>
      <c r="I360" s="12"/>
    </row>
    <row r="361">
      <c r="A361" s="29"/>
      <c r="B361" s="29"/>
      <c r="F361" s="9"/>
      <c r="I361" s="12"/>
    </row>
    <row r="362">
      <c r="A362" s="29"/>
      <c r="B362" s="29"/>
      <c r="F362" s="9"/>
      <c r="I362" s="12"/>
    </row>
    <row r="363">
      <c r="A363" s="29"/>
      <c r="B363" s="29"/>
      <c r="F363" s="9"/>
      <c r="I363" s="12"/>
    </row>
    <row r="364">
      <c r="A364" s="29"/>
      <c r="B364" s="29"/>
      <c r="F364" s="9"/>
      <c r="I364" s="12"/>
    </row>
    <row r="365">
      <c r="A365" s="29"/>
      <c r="B365" s="29"/>
      <c r="F365" s="9"/>
      <c r="I365" s="12"/>
    </row>
    <row r="366">
      <c r="A366" s="29"/>
      <c r="B366" s="29"/>
      <c r="F366" s="9"/>
      <c r="I366" s="12"/>
    </row>
    <row r="367">
      <c r="A367" s="29"/>
      <c r="B367" s="29"/>
      <c r="F367" s="9"/>
      <c r="I367" s="12"/>
    </row>
    <row r="368">
      <c r="A368" s="29"/>
      <c r="B368" s="29"/>
      <c r="F368" s="9"/>
      <c r="I368" s="12"/>
    </row>
    <row r="369">
      <c r="A369" s="29"/>
      <c r="B369" s="29"/>
      <c r="F369" s="9"/>
      <c r="I369" s="12"/>
    </row>
    <row r="370">
      <c r="A370" s="29"/>
      <c r="B370" s="29"/>
      <c r="F370" s="9"/>
      <c r="I370" s="12"/>
    </row>
    <row r="371">
      <c r="A371" s="29"/>
      <c r="B371" s="29"/>
      <c r="F371" s="9"/>
      <c r="I371" s="12"/>
    </row>
    <row r="372">
      <c r="A372" s="29"/>
      <c r="B372" s="29"/>
      <c r="F372" s="9"/>
      <c r="I372" s="12"/>
    </row>
    <row r="373">
      <c r="A373" s="29"/>
      <c r="B373" s="29"/>
      <c r="F373" s="9"/>
      <c r="I373" s="12"/>
    </row>
    <row r="374">
      <c r="A374" s="29"/>
      <c r="B374" s="29"/>
      <c r="F374" s="9"/>
      <c r="I374" s="12"/>
    </row>
    <row r="375">
      <c r="A375" s="29"/>
      <c r="B375" s="29"/>
      <c r="F375" s="9"/>
      <c r="I375" s="12"/>
    </row>
    <row r="376">
      <c r="A376" s="29"/>
      <c r="B376" s="29"/>
      <c r="F376" s="9"/>
      <c r="I376" s="12"/>
    </row>
    <row r="377">
      <c r="A377" s="29"/>
      <c r="B377" s="29"/>
      <c r="F377" s="9"/>
      <c r="I377" s="12"/>
    </row>
    <row r="378">
      <c r="A378" s="29"/>
      <c r="B378" s="29"/>
      <c r="F378" s="9"/>
      <c r="I378" s="12"/>
    </row>
    <row r="379">
      <c r="A379" s="29"/>
      <c r="B379" s="29"/>
      <c r="F379" s="9"/>
      <c r="I379" s="12"/>
    </row>
    <row r="380">
      <c r="A380" s="29"/>
      <c r="B380" s="29"/>
      <c r="F380" s="9"/>
      <c r="I380" s="12"/>
    </row>
    <row r="381">
      <c r="A381" s="29"/>
      <c r="B381" s="29"/>
      <c r="F381" s="9"/>
      <c r="I381" s="12"/>
    </row>
    <row r="382">
      <c r="A382" s="29"/>
      <c r="B382" s="29"/>
      <c r="F382" s="9"/>
      <c r="I382" s="12"/>
    </row>
    <row r="383">
      <c r="A383" s="29"/>
      <c r="B383" s="29"/>
      <c r="F383" s="9"/>
      <c r="I383" s="12"/>
    </row>
    <row r="384">
      <c r="A384" s="29"/>
      <c r="B384" s="29"/>
      <c r="F384" s="9"/>
      <c r="I384" s="12"/>
    </row>
    <row r="385">
      <c r="A385" s="29"/>
      <c r="B385" s="29"/>
      <c r="F385" s="9"/>
      <c r="I385" s="12"/>
    </row>
    <row r="386">
      <c r="A386" s="29"/>
      <c r="B386" s="29"/>
      <c r="F386" s="9"/>
      <c r="I386" s="12"/>
    </row>
    <row r="387">
      <c r="A387" s="29"/>
      <c r="B387" s="29"/>
      <c r="F387" s="9"/>
      <c r="I387" s="12"/>
    </row>
    <row r="388">
      <c r="A388" s="29"/>
      <c r="B388" s="29"/>
      <c r="F388" s="9"/>
      <c r="I388" s="12"/>
    </row>
    <row r="389">
      <c r="A389" s="29"/>
      <c r="B389" s="29"/>
      <c r="F389" s="9"/>
      <c r="I389" s="12"/>
    </row>
    <row r="390">
      <c r="A390" s="29"/>
      <c r="B390" s="29"/>
      <c r="F390" s="9"/>
      <c r="I390" s="12"/>
    </row>
    <row r="391">
      <c r="A391" s="29"/>
      <c r="B391" s="29"/>
      <c r="F391" s="9"/>
      <c r="I391" s="12"/>
    </row>
    <row r="392">
      <c r="A392" s="29"/>
      <c r="B392" s="29"/>
      <c r="F392" s="9"/>
      <c r="I392" s="12"/>
    </row>
    <row r="393">
      <c r="A393" s="29"/>
      <c r="B393" s="29"/>
      <c r="F393" s="9"/>
      <c r="I393" s="12"/>
    </row>
    <row r="394">
      <c r="A394" s="29"/>
      <c r="B394" s="29"/>
      <c r="F394" s="9"/>
      <c r="I394" s="12"/>
    </row>
    <row r="395">
      <c r="A395" s="29"/>
      <c r="B395" s="29"/>
      <c r="F395" s="9"/>
      <c r="I395" s="12"/>
    </row>
    <row r="396">
      <c r="A396" s="29"/>
      <c r="B396" s="29"/>
      <c r="F396" s="9"/>
      <c r="I396" s="12"/>
    </row>
    <row r="397">
      <c r="A397" s="29"/>
      <c r="B397" s="29"/>
      <c r="F397" s="9"/>
      <c r="I397" s="12"/>
    </row>
    <row r="398">
      <c r="A398" s="29"/>
      <c r="B398" s="29"/>
      <c r="F398" s="9"/>
      <c r="I398" s="12"/>
    </row>
    <row r="399">
      <c r="A399" s="29"/>
      <c r="B399" s="29"/>
      <c r="F399" s="9"/>
      <c r="I399" s="12"/>
    </row>
    <row r="400">
      <c r="A400" s="29"/>
      <c r="B400" s="29"/>
      <c r="F400" s="9"/>
      <c r="I400" s="12"/>
    </row>
    <row r="401">
      <c r="A401" s="29"/>
      <c r="B401" s="29"/>
      <c r="F401" s="9"/>
      <c r="I401" s="12"/>
    </row>
    <row r="402">
      <c r="A402" s="29"/>
      <c r="B402" s="29"/>
      <c r="F402" s="9"/>
      <c r="I402" s="12"/>
    </row>
    <row r="403">
      <c r="A403" s="29"/>
      <c r="B403" s="29"/>
      <c r="F403" s="9"/>
      <c r="I403" s="12"/>
    </row>
    <row r="404">
      <c r="A404" s="29"/>
      <c r="B404" s="29"/>
      <c r="F404" s="9"/>
      <c r="I404" s="12"/>
    </row>
    <row r="405">
      <c r="A405" s="29"/>
      <c r="B405" s="29"/>
      <c r="F405" s="9"/>
      <c r="I405" s="12"/>
    </row>
    <row r="406">
      <c r="A406" s="29"/>
      <c r="B406" s="29"/>
      <c r="F406" s="9"/>
      <c r="I406" s="12"/>
    </row>
    <row r="407">
      <c r="A407" s="29"/>
      <c r="B407" s="29"/>
      <c r="F407" s="9"/>
      <c r="I407" s="12"/>
    </row>
    <row r="408">
      <c r="A408" s="29"/>
      <c r="B408" s="29"/>
      <c r="F408" s="9"/>
      <c r="I408" s="12"/>
    </row>
    <row r="409">
      <c r="A409" s="29"/>
      <c r="B409" s="29"/>
      <c r="F409" s="9"/>
      <c r="I409" s="12"/>
    </row>
    <row r="410">
      <c r="A410" s="29"/>
      <c r="B410" s="29"/>
      <c r="F410" s="9"/>
      <c r="I410" s="12"/>
    </row>
    <row r="411">
      <c r="A411" s="29"/>
      <c r="B411" s="29"/>
      <c r="F411" s="9"/>
      <c r="I411" s="12"/>
    </row>
    <row r="412">
      <c r="A412" s="29"/>
      <c r="B412" s="29"/>
      <c r="F412" s="9"/>
      <c r="I412" s="12"/>
    </row>
    <row r="413">
      <c r="A413" s="29"/>
      <c r="B413" s="29"/>
      <c r="F413" s="9"/>
      <c r="I413" s="12"/>
    </row>
    <row r="414">
      <c r="A414" s="29"/>
      <c r="B414" s="29"/>
      <c r="F414" s="9"/>
      <c r="I414" s="12"/>
    </row>
    <row r="415">
      <c r="A415" s="29"/>
      <c r="B415" s="29"/>
      <c r="F415" s="9"/>
      <c r="I415" s="12"/>
    </row>
    <row r="416">
      <c r="A416" s="29"/>
      <c r="B416" s="29"/>
      <c r="F416" s="9"/>
      <c r="I416" s="12"/>
    </row>
    <row r="417">
      <c r="A417" s="29"/>
      <c r="B417" s="29"/>
      <c r="F417" s="9"/>
      <c r="I417" s="12"/>
    </row>
    <row r="418">
      <c r="A418" s="29"/>
      <c r="B418" s="29"/>
      <c r="F418" s="9"/>
      <c r="I418" s="12"/>
    </row>
    <row r="419">
      <c r="A419" s="29"/>
      <c r="B419" s="29"/>
      <c r="F419" s="9"/>
      <c r="I419" s="12"/>
    </row>
    <row r="420">
      <c r="A420" s="29"/>
      <c r="B420" s="29"/>
      <c r="F420" s="9"/>
      <c r="I420" s="12"/>
    </row>
    <row r="421">
      <c r="A421" s="29"/>
      <c r="B421" s="29"/>
      <c r="F421" s="9"/>
      <c r="I421" s="12"/>
    </row>
    <row r="422">
      <c r="A422" s="29"/>
      <c r="B422" s="29"/>
      <c r="F422" s="9"/>
      <c r="I422" s="12"/>
    </row>
    <row r="423">
      <c r="A423" s="29"/>
      <c r="B423" s="29"/>
      <c r="F423" s="9"/>
      <c r="I423" s="12"/>
    </row>
    <row r="424">
      <c r="A424" s="29"/>
      <c r="B424" s="29"/>
      <c r="F424" s="9"/>
      <c r="I424" s="12"/>
    </row>
    <row r="425">
      <c r="A425" s="29"/>
      <c r="B425" s="29"/>
      <c r="F425" s="9"/>
      <c r="I425" s="12"/>
    </row>
    <row r="426">
      <c r="A426" s="29"/>
      <c r="B426" s="29"/>
      <c r="F426" s="9"/>
      <c r="I426" s="12"/>
    </row>
    <row r="427">
      <c r="A427" s="29"/>
      <c r="B427" s="29"/>
      <c r="F427" s="9"/>
      <c r="I427" s="12"/>
    </row>
    <row r="428">
      <c r="A428" s="29"/>
      <c r="B428" s="29"/>
      <c r="F428" s="9"/>
      <c r="I428" s="12"/>
    </row>
    <row r="429">
      <c r="A429" s="29"/>
      <c r="B429" s="29"/>
      <c r="F429" s="9"/>
      <c r="I429" s="12"/>
    </row>
    <row r="430">
      <c r="A430" s="29"/>
      <c r="B430" s="29"/>
      <c r="F430" s="9"/>
      <c r="I430" s="12"/>
    </row>
    <row r="431">
      <c r="A431" s="29"/>
      <c r="B431" s="29"/>
      <c r="F431" s="9"/>
      <c r="I431" s="12"/>
    </row>
    <row r="432">
      <c r="A432" s="29"/>
      <c r="B432" s="29"/>
      <c r="F432" s="9"/>
      <c r="I432" s="12"/>
    </row>
    <row r="433">
      <c r="A433" s="29"/>
      <c r="B433" s="29"/>
      <c r="F433" s="9"/>
      <c r="I433" s="12"/>
    </row>
    <row r="434">
      <c r="A434" s="29"/>
      <c r="B434" s="29"/>
      <c r="F434" s="9"/>
      <c r="I434" s="12"/>
    </row>
    <row r="435">
      <c r="A435" s="29"/>
      <c r="B435" s="29"/>
      <c r="F435" s="9"/>
      <c r="I435" s="12"/>
    </row>
    <row r="436">
      <c r="A436" s="29"/>
      <c r="B436" s="29"/>
      <c r="F436" s="9"/>
      <c r="I436" s="12"/>
    </row>
    <row r="437">
      <c r="A437" s="29"/>
      <c r="B437" s="29"/>
      <c r="F437" s="9"/>
      <c r="I437" s="12"/>
    </row>
    <row r="438">
      <c r="A438" s="29"/>
      <c r="B438" s="29"/>
      <c r="F438" s="9"/>
      <c r="I438" s="12"/>
    </row>
    <row r="439">
      <c r="A439" s="29"/>
      <c r="B439" s="29"/>
      <c r="F439" s="9"/>
      <c r="I439" s="12"/>
    </row>
    <row r="440">
      <c r="A440" s="29"/>
      <c r="B440" s="29"/>
      <c r="F440" s="9"/>
      <c r="I440" s="12"/>
    </row>
    <row r="441">
      <c r="A441" s="29"/>
      <c r="B441" s="29"/>
      <c r="F441" s="9"/>
      <c r="I441" s="12"/>
    </row>
    <row r="442">
      <c r="A442" s="29"/>
      <c r="B442" s="29"/>
      <c r="F442" s="9"/>
      <c r="I442" s="12"/>
    </row>
    <row r="443">
      <c r="A443" s="29"/>
      <c r="B443" s="29"/>
      <c r="F443" s="9"/>
      <c r="I443" s="12"/>
    </row>
    <row r="444">
      <c r="A444" s="29"/>
      <c r="B444" s="29"/>
      <c r="F444" s="9"/>
      <c r="I444" s="12"/>
    </row>
    <row r="445">
      <c r="A445" s="29"/>
      <c r="B445" s="29"/>
      <c r="F445" s="9"/>
      <c r="I445" s="12"/>
    </row>
    <row r="446">
      <c r="A446" s="29"/>
      <c r="B446" s="29"/>
      <c r="F446" s="9"/>
      <c r="I446" s="12"/>
    </row>
    <row r="447">
      <c r="A447" s="29"/>
      <c r="B447" s="29"/>
      <c r="F447" s="9"/>
      <c r="I447" s="12"/>
    </row>
    <row r="448">
      <c r="A448" s="29"/>
      <c r="B448" s="29"/>
      <c r="F448" s="9"/>
      <c r="I448" s="12"/>
    </row>
    <row r="449">
      <c r="A449" s="29"/>
      <c r="B449" s="29"/>
      <c r="F449" s="9"/>
      <c r="I449" s="12"/>
    </row>
    <row r="450">
      <c r="A450" s="29"/>
      <c r="B450" s="29"/>
      <c r="F450" s="9"/>
      <c r="I450" s="12"/>
    </row>
    <row r="451">
      <c r="A451" s="29"/>
      <c r="B451" s="29"/>
      <c r="F451" s="9"/>
      <c r="I451" s="12"/>
    </row>
    <row r="452">
      <c r="A452" s="29"/>
      <c r="B452" s="29"/>
      <c r="F452" s="9"/>
      <c r="I452" s="12"/>
    </row>
    <row r="453">
      <c r="A453" s="29"/>
      <c r="B453" s="29"/>
      <c r="F453" s="9"/>
      <c r="I453" s="12"/>
    </row>
    <row r="454">
      <c r="A454" s="29"/>
      <c r="B454" s="29"/>
      <c r="F454" s="9"/>
      <c r="I454" s="12"/>
    </row>
    <row r="455">
      <c r="A455" s="29"/>
      <c r="B455" s="29"/>
      <c r="F455" s="9"/>
      <c r="I455" s="12"/>
    </row>
    <row r="456">
      <c r="A456" s="29"/>
      <c r="B456" s="29"/>
      <c r="F456" s="9"/>
      <c r="I456" s="12"/>
    </row>
    <row r="457">
      <c r="A457" s="29"/>
      <c r="B457" s="29"/>
      <c r="F457" s="9"/>
      <c r="I457" s="12"/>
    </row>
    <row r="458">
      <c r="A458" s="29"/>
      <c r="B458" s="29"/>
      <c r="F458" s="9"/>
      <c r="I458" s="12"/>
    </row>
    <row r="459">
      <c r="A459" s="29"/>
      <c r="B459" s="29"/>
      <c r="F459" s="9"/>
      <c r="I459" s="12"/>
    </row>
    <row r="460">
      <c r="A460" s="29"/>
      <c r="B460" s="29"/>
      <c r="F460" s="9"/>
      <c r="I460" s="12"/>
    </row>
    <row r="461">
      <c r="A461" s="29"/>
      <c r="B461" s="29"/>
      <c r="F461" s="9"/>
      <c r="I461" s="12"/>
    </row>
    <row r="462">
      <c r="A462" s="29"/>
      <c r="B462" s="29"/>
      <c r="F462" s="9"/>
      <c r="I462" s="12"/>
    </row>
    <row r="463">
      <c r="A463" s="29"/>
      <c r="B463" s="29"/>
      <c r="F463" s="9"/>
      <c r="I463" s="12"/>
    </row>
    <row r="464">
      <c r="A464" s="29"/>
      <c r="B464" s="29"/>
      <c r="F464" s="9"/>
      <c r="I464" s="12"/>
    </row>
    <row r="465">
      <c r="A465" s="29"/>
      <c r="B465" s="29"/>
      <c r="F465" s="9"/>
      <c r="I465" s="12"/>
    </row>
    <row r="466">
      <c r="A466" s="29"/>
      <c r="B466" s="29"/>
      <c r="F466" s="9"/>
      <c r="I466" s="12"/>
    </row>
    <row r="467">
      <c r="A467" s="29"/>
      <c r="B467" s="29"/>
      <c r="F467" s="9"/>
      <c r="I467" s="12"/>
    </row>
    <row r="468">
      <c r="A468" s="29"/>
      <c r="B468" s="29"/>
      <c r="F468" s="9"/>
      <c r="I468" s="12"/>
    </row>
    <row r="469">
      <c r="A469" s="29"/>
      <c r="B469" s="29"/>
      <c r="F469" s="9"/>
      <c r="I469" s="12"/>
    </row>
    <row r="470">
      <c r="A470" s="29"/>
      <c r="B470" s="29"/>
      <c r="F470" s="9"/>
      <c r="I470" s="12"/>
    </row>
    <row r="471">
      <c r="A471" s="29"/>
      <c r="B471" s="29"/>
      <c r="F471" s="9"/>
      <c r="I471" s="12"/>
    </row>
    <row r="472">
      <c r="A472" s="29"/>
      <c r="B472" s="29"/>
      <c r="F472" s="9"/>
      <c r="I472" s="12"/>
    </row>
    <row r="473">
      <c r="A473" s="29"/>
      <c r="B473" s="29"/>
      <c r="F473" s="9"/>
      <c r="I473" s="12"/>
    </row>
    <row r="474">
      <c r="A474" s="29"/>
      <c r="B474" s="29"/>
      <c r="F474" s="9"/>
      <c r="I474" s="12"/>
    </row>
    <row r="475">
      <c r="A475" s="29"/>
      <c r="B475" s="29"/>
      <c r="F475" s="9"/>
      <c r="I475" s="12"/>
    </row>
    <row r="476">
      <c r="A476" s="29"/>
      <c r="B476" s="29"/>
      <c r="F476" s="9"/>
      <c r="I476" s="12"/>
    </row>
    <row r="477">
      <c r="A477" s="29"/>
      <c r="B477" s="29"/>
      <c r="F477" s="9"/>
      <c r="I477" s="12"/>
    </row>
    <row r="478">
      <c r="A478" s="29"/>
      <c r="B478" s="29"/>
      <c r="F478" s="9"/>
      <c r="I478" s="12"/>
    </row>
    <row r="479">
      <c r="A479" s="29"/>
      <c r="B479" s="29"/>
      <c r="F479" s="9"/>
      <c r="I479" s="12"/>
    </row>
    <row r="480">
      <c r="A480" s="29"/>
      <c r="B480" s="29"/>
      <c r="F480" s="9"/>
      <c r="I480" s="12"/>
    </row>
    <row r="481">
      <c r="A481" s="29"/>
      <c r="B481" s="29"/>
      <c r="F481" s="9"/>
      <c r="I481" s="12"/>
    </row>
    <row r="482">
      <c r="A482" s="29"/>
      <c r="B482" s="29"/>
      <c r="F482" s="9"/>
      <c r="I482" s="12"/>
    </row>
    <row r="483">
      <c r="A483" s="29"/>
      <c r="B483" s="29"/>
      <c r="F483" s="9"/>
      <c r="I483" s="12"/>
    </row>
    <row r="484">
      <c r="A484" s="29"/>
      <c r="B484" s="29"/>
      <c r="F484" s="9"/>
      <c r="I484" s="12"/>
    </row>
    <row r="485">
      <c r="A485" s="29"/>
      <c r="B485" s="29"/>
      <c r="F485" s="9"/>
      <c r="I485" s="12"/>
    </row>
    <row r="486">
      <c r="A486" s="29"/>
      <c r="B486" s="29"/>
      <c r="F486" s="9"/>
      <c r="I486" s="12"/>
    </row>
    <row r="487">
      <c r="A487" s="29"/>
      <c r="B487" s="29"/>
      <c r="F487" s="9"/>
      <c r="I487" s="12"/>
    </row>
    <row r="488">
      <c r="A488" s="29"/>
      <c r="B488" s="29"/>
      <c r="F488" s="9"/>
      <c r="I488" s="12"/>
    </row>
    <row r="489">
      <c r="A489" s="29"/>
      <c r="B489" s="29"/>
      <c r="F489" s="9"/>
      <c r="I489" s="12"/>
    </row>
    <row r="490">
      <c r="A490" s="29"/>
      <c r="B490" s="29"/>
      <c r="F490" s="9"/>
      <c r="I490" s="12"/>
    </row>
    <row r="491">
      <c r="A491" s="29"/>
      <c r="B491" s="29"/>
      <c r="F491" s="9"/>
      <c r="I491" s="12"/>
    </row>
    <row r="492">
      <c r="A492" s="29"/>
      <c r="B492" s="29"/>
      <c r="F492" s="9"/>
      <c r="I492" s="12"/>
    </row>
    <row r="493">
      <c r="A493" s="29"/>
      <c r="B493" s="29"/>
      <c r="F493" s="9"/>
      <c r="I493" s="12"/>
    </row>
    <row r="494">
      <c r="A494" s="29"/>
      <c r="B494" s="29"/>
      <c r="F494" s="9"/>
      <c r="I494" s="12"/>
    </row>
    <row r="495">
      <c r="A495" s="29"/>
      <c r="B495" s="29"/>
      <c r="F495" s="9"/>
      <c r="I495" s="12"/>
    </row>
    <row r="496">
      <c r="A496" s="29"/>
      <c r="B496" s="29"/>
      <c r="F496" s="9"/>
      <c r="I496" s="12"/>
    </row>
    <row r="497">
      <c r="A497" s="29"/>
      <c r="B497" s="29"/>
      <c r="F497" s="9"/>
      <c r="I497" s="12"/>
    </row>
    <row r="498">
      <c r="A498" s="29"/>
      <c r="B498" s="29"/>
      <c r="F498" s="9"/>
      <c r="I498" s="12"/>
    </row>
    <row r="499">
      <c r="A499" s="29"/>
      <c r="B499" s="29"/>
      <c r="F499" s="9"/>
      <c r="I499" s="12"/>
    </row>
    <row r="500">
      <c r="A500" s="29"/>
      <c r="B500" s="29"/>
      <c r="F500" s="9"/>
      <c r="I500" s="12"/>
    </row>
    <row r="501">
      <c r="A501" s="29"/>
      <c r="B501" s="29"/>
      <c r="F501" s="9"/>
      <c r="I501" s="12"/>
    </row>
    <row r="502">
      <c r="A502" s="29"/>
      <c r="B502" s="29"/>
      <c r="F502" s="9"/>
      <c r="I502" s="12"/>
    </row>
    <row r="503">
      <c r="A503" s="29"/>
      <c r="B503" s="29"/>
      <c r="F503" s="9"/>
      <c r="I503" s="12"/>
    </row>
    <row r="504">
      <c r="A504" s="29"/>
      <c r="B504" s="29"/>
      <c r="F504" s="9"/>
      <c r="I504" s="12"/>
    </row>
    <row r="505">
      <c r="A505" s="29"/>
      <c r="B505" s="29"/>
      <c r="F505" s="9"/>
      <c r="I505" s="12"/>
    </row>
    <row r="506">
      <c r="A506" s="29"/>
      <c r="B506" s="29"/>
      <c r="F506" s="9"/>
      <c r="I506" s="12"/>
    </row>
    <row r="507">
      <c r="A507" s="29"/>
      <c r="B507" s="29"/>
      <c r="F507" s="9"/>
      <c r="I507" s="12"/>
    </row>
    <row r="508">
      <c r="A508" s="29"/>
      <c r="B508" s="29"/>
      <c r="F508" s="9"/>
      <c r="I508" s="12"/>
    </row>
    <row r="509">
      <c r="A509" s="29"/>
      <c r="B509" s="29"/>
      <c r="F509" s="9"/>
      <c r="I509" s="12"/>
    </row>
    <row r="510">
      <c r="A510" s="29"/>
      <c r="B510" s="29"/>
      <c r="F510" s="9"/>
      <c r="I510" s="12"/>
    </row>
    <row r="511">
      <c r="A511" s="29"/>
      <c r="B511" s="29"/>
      <c r="F511" s="9"/>
      <c r="I511" s="12"/>
    </row>
    <row r="512">
      <c r="A512" s="29"/>
      <c r="B512" s="29"/>
      <c r="F512" s="9"/>
      <c r="I512" s="12"/>
    </row>
    <row r="513">
      <c r="A513" s="29"/>
      <c r="B513" s="29"/>
      <c r="F513" s="9"/>
      <c r="I513" s="12"/>
    </row>
    <row r="514">
      <c r="A514" s="29"/>
      <c r="B514" s="29"/>
      <c r="F514" s="9"/>
      <c r="I514" s="12"/>
    </row>
    <row r="515">
      <c r="A515" s="29"/>
      <c r="B515" s="29"/>
      <c r="F515" s="9"/>
      <c r="I515" s="12"/>
    </row>
    <row r="516">
      <c r="A516" s="29"/>
      <c r="B516" s="29"/>
      <c r="F516" s="9"/>
      <c r="I516" s="12"/>
    </row>
    <row r="517">
      <c r="A517" s="29"/>
      <c r="B517" s="29"/>
      <c r="F517" s="9"/>
      <c r="I517" s="12"/>
    </row>
    <row r="518">
      <c r="A518" s="29"/>
      <c r="B518" s="29"/>
      <c r="F518" s="9"/>
      <c r="I518" s="12"/>
    </row>
    <row r="519">
      <c r="A519" s="29"/>
      <c r="B519" s="29"/>
      <c r="F519" s="9"/>
      <c r="I519" s="12"/>
    </row>
    <row r="520">
      <c r="A520" s="29"/>
      <c r="B520" s="29"/>
      <c r="F520" s="9"/>
      <c r="I520" s="12"/>
    </row>
    <row r="521">
      <c r="A521" s="29"/>
      <c r="B521" s="29"/>
      <c r="F521" s="9"/>
      <c r="I521" s="12"/>
    </row>
    <row r="522">
      <c r="A522" s="29"/>
      <c r="B522" s="29"/>
      <c r="F522" s="9"/>
      <c r="I522" s="12"/>
    </row>
    <row r="523">
      <c r="A523" s="29"/>
      <c r="B523" s="29"/>
      <c r="F523" s="9"/>
      <c r="I523" s="12"/>
    </row>
    <row r="524">
      <c r="A524" s="29"/>
      <c r="B524" s="29"/>
      <c r="F524" s="9"/>
      <c r="I524" s="12"/>
    </row>
    <row r="525">
      <c r="A525" s="29"/>
      <c r="B525" s="29"/>
      <c r="F525" s="9"/>
      <c r="I525" s="12"/>
    </row>
    <row r="526">
      <c r="A526" s="29"/>
      <c r="B526" s="29"/>
      <c r="F526" s="9"/>
      <c r="I526" s="12"/>
    </row>
    <row r="527">
      <c r="A527" s="29"/>
      <c r="B527" s="29"/>
      <c r="F527" s="9"/>
      <c r="I527" s="12"/>
    </row>
    <row r="528">
      <c r="A528" s="29"/>
      <c r="B528" s="29"/>
      <c r="F528" s="9"/>
      <c r="I528" s="12"/>
    </row>
    <row r="529">
      <c r="A529" s="29"/>
      <c r="B529" s="29"/>
      <c r="F529" s="9"/>
      <c r="I529" s="12"/>
    </row>
    <row r="530">
      <c r="A530" s="29"/>
      <c r="B530" s="29"/>
      <c r="F530" s="9"/>
      <c r="I530" s="12"/>
    </row>
    <row r="531">
      <c r="A531" s="29"/>
      <c r="B531" s="29"/>
      <c r="F531" s="9"/>
      <c r="I531" s="12"/>
    </row>
    <row r="532">
      <c r="A532" s="29"/>
      <c r="B532" s="29"/>
      <c r="F532" s="9"/>
      <c r="I532" s="12"/>
    </row>
    <row r="533">
      <c r="A533" s="29"/>
      <c r="B533" s="29"/>
      <c r="F533" s="9"/>
      <c r="I533" s="12"/>
    </row>
    <row r="534">
      <c r="A534" s="29"/>
      <c r="B534" s="29"/>
      <c r="F534" s="9"/>
      <c r="I534" s="12"/>
    </row>
    <row r="535">
      <c r="A535" s="29"/>
      <c r="B535" s="29"/>
      <c r="F535" s="9"/>
      <c r="I535" s="12"/>
    </row>
    <row r="536">
      <c r="A536" s="29"/>
      <c r="B536" s="29"/>
      <c r="F536" s="9"/>
      <c r="I536" s="12"/>
    </row>
    <row r="537">
      <c r="A537" s="29"/>
      <c r="B537" s="29"/>
      <c r="F537" s="9"/>
      <c r="I537" s="12"/>
    </row>
    <row r="538">
      <c r="A538" s="29"/>
      <c r="B538" s="29"/>
      <c r="F538" s="9"/>
      <c r="I538" s="12"/>
    </row>
    <row r="539">
      <c r="A539" s="29"/>
      <c r="B539" s="29"/>
      <c r="F539" s="9"/>
      <c r="I539" s="12"/>
    </row>
    <row r="540">
      <c r="A540" s="29"/>
      <c r="B540" s="29"/>
      <c r="F540" s="9"/>
      <c r="I540" s="12"/>
    </row>
    <row r="541">
      <c r="A541" s="29"/>
      <c r="B541" s="29"/>
      <c r="F541" s="9"/>
      <c r="I541" s="12"/>
    </row>
    <row r="542">
      <c r="A542" s="29"/>
      <c r="B542" s="29"/>
      <c r="F542" s="9"/>
      <c r="I542" s="12"/>
    </row>
    <row r="543">
      <c r="A543" s="29"/>
      <c r="B543" s="29"/>
      <c r="F543" s="9"/>
      <c r="I543" s="12"/>
    </row>
    <row r="544">
      <c r="A544" s="29"/>
      <c r="B544" s="29"/>
      <c r="F544" s="9"/>
      <c r="I544" s="12"/>
    </row>
    <row r="545">
      <c r="A545" s="29"/>
      <c r="B545" s="29"/>
      <c r="F545" s="9"/>
      <c r="I545" s="12"/>
    </row>
    <row r="546">
      <c r="A546" s="29"/>
      <c r="B546" s="29"/>
      <c r="F546" s="9"/>
      <c r="I546" s="12"/>
    </row>
    <row r="547">
      <c r="A547" s="29"/>
      <c r="B547" s="29"/>
      <c r="F547" s="9"/>
      <c r="I547" s="12"/>
    </row>
    <row r="548">
      <c r="A548" s="29"/>
      <c r="B548" s="29"/>
      <c r="F548" s="9"/>
      <c r="I548" s="12"/>
    </row>
    <row r="549">
      <c r="A549" s="29"/>
      <c r="B549" s="29"/>
      <c r="F549" s="9"/>
      <c r="I549" s="12"/>
    </row>
    <row r="550">
      <c r="A550" s="29"/>
      <c r="B550" s="29"/>
      <c r="F550" s="9"/>
      <c r="I550" s="12"/>
    </row>
    <row r="551">
      <c r="A551" s="29"/>
      <c r="B551" s="29"/>
      <c r="F551" s="9"/>
      <c r="I551" s="12"/>
    </row>
    <row r="552">
      <c r="A552" s="29"/>
      <c r="B552" s="29"/>
      <c r="F552" s="9"/>
      <c r="I552" s="12"/>
    </row>
    <row r="553">
      <c r="A553" s="29"/>
      <c r="B553" s="29"/>
      <c r="F553" s="9"/>
      <c r="I553" s="12"/>
    </row>
    <row r="554">
      <c r="A554" s="29"/>
      <c r="B554" s="29"/>
      <c r="F554" s="9"/>
      <c r="I554" s="12"/>
    </row>
    <row r="555">
      <c r="A555" s="29"/>
      <c r="B555" s="29"/>
      <c r="F555" s="9"/>
      <c r="I555" s="12"/>
    </row>
    <row r="556">
      <c r="A556" s="29"/>
      <c r="B556" s="29"/>
      <c r="F556" s="9"/>
      <c r="I556" s="12"/>
    </row>
    <row r="557">
      <c r="A557" s="29"/>
      <c r="B557" s="29"/>
      <c r="F557" s="9"/>
      <c r="I557" s="12"/>
    </row>
    <row r="558">
      <c r="A558" s="29"/>
      <c r="B558" s="29"/>
      <c r="F558" s="9"/>
      <c r="I558" s="12"/>
    </row>
    <row r="559">
      <c r="A559" s="29"/>
      <c r="B559" s="29"/>
      <c r="F559" s="9"/>
      <c r="I559" s="12"/>
    </row>
    <row r="560">
      <c r="A560" s="29"/>
      <c r="B560" s="29"/>
      <c r="F560" s="9"/>
      <c r="I560" s="12"/>
    </row>
    <row r="561">
      <c r="A561" s="29"/>
      <c r="B561" s="29"/>
      <c r="F561" s="9"/>
      <c r="I561" s="12"/>
    </row>
    <row r="562">
      <c r="A562" s="29"/>
      <c r="B562" s="29"/>
      <c r="F562" s="9"/>
      <c r="I562" s="12"/>
    </row>
    <row r="563">
      <c r="A563" s="29"/>
      <c r="B563" s="29"/>
      <c r="F563" s="9"/>
      <c r="I563" s="12"/>
    </row>
    <row r="564">
      <c r="A564" s="29"/>
      <c r="B564" s="29"/>
      <c r="F564" s="9"/>
      <c r="I564" s="12"/>
    </row>
    <row r="565">
      <c r="A565" s="29"/>
      <c r="B565" s="29"/>
      <c r="F565" s="9"/>
      <c r="I565" s="12"/>
    </row>
    <row r="566">
      <c r="A566" s="29"/>
      <c r="B566" s="29"/>
      <c r="F566" s="9"/>
      <c r="I566" s="12"/>
    </row>
    <row r="567">
      <c r="A567" s="29"/>
      <c r="B567" s="29"/>
      <c r="F567" s="9"/>
      <c r="I567" s="12"/>
    </row>
    <row r="568">
      <c r="A568" s="29"/>
      <c r="B568" s="29"/>
      <c r="F568" s="9"/>
      <c r="I568" s="12"/>
    </row>
    <row r="569">
      <c r="A569" s="29"/>
      <c r="B569" s="29"/>
      <c r="F569" s="9"/>
      <c r="I569" s="12"/>
    </row>
    <row r="570">
      <c r="A570" s="29"/>
      <c r="B570" s="29"/>
      <c r="F570" s="9"/>
      <c r="I570" s="12"/>
    </row>
    <row r="571">
      <c r="A571" s="29"/>
      <c r="B571" s="29"/>
      <c r="F571" s="9"/>
      <c r="I571" s="12"/>
    </row>
    <row r="572">
      <c r="A572" s="29"/>
      <c r="B572" s="29"/>
      <c r="F572" s="9"/>
      <c r="I572" s="12"/>
    </row>
    <row r="573">
      <c r="A573" s="29"/>
      <c r="B573" s="29"/>
      <c r="F573" s="9"/>
      <c r="I573" s="12"/>
    </row>
    <row r="574">
      <c r="A574" s="29"/>
      <c r="B574" s="29"/>
      <c r="F574" s="9"/>
      <c r="I574" s="12"/>
    </row>
    <row r="575">
      <c r="A575" s="29"/>
      <c r="B575" s="29"/>
      <c r="F575" s="9"/>
      <c r="I575" s="12"/>
    </row>
    <row r="576">
      <c r="A576" s="29"/>
      <c r="B576" s="29"/>
      <c r="F576" s="9"/>
      <c r="I576" s="12"/>
    </row>
    <row r="577">
      <c r="A577" s="29"/>
      <c r="B577" s="29"/>
      <c r="F577" s="9"/>
      <c r="I577" s="12"/>
    </row>
    <row r="578">
      <c r="A578" s="29"/>
      <c r="B578" s="29"/>
      <c r="F578" s="9"/>
      <c r="I578" s="12"/>
    </row>
    <row r="579">
      <c r="A579" s="29"/>
      <c r="B579" s="29"/>
      <c r="F579" s="9"/>
      <c r="I579" s="12"/>
    </row>
    <row r="580">
      <c r="A580" s="29"/>
      <c r="B580" s="29"/>
      <c r="F580" s="9"/>
      <c r="I580" s="12"/>
    </row>
    <row r="581">
      <c r="A581" s="29"/>
      <c r="B581" s="29"/>
      <c r="F581" s="9"/>
      <c r="I581" s="12"/>
    </row>
    <row r="582">
      <c r="A582" s="29"/>
      <c r="B582" s="29"/>
      <c r="F582" s="9"/>
      <c r="I582" s="12"/>
    </row>
    <row r="583">
      <c r="A583" s="29"/>
      <c r="B583" s="29"/>
      <c r="F583" s="9"/>
      <c r="I583" s="12"/>
    </row>
    <row r="584">
      <c r="A584" s="29"/>
      <c r="B584" s="29"/>
      <c r="F584" s="9"/>
      <c r="I584" s="12"/>
    </row>
    <row r="585">
      <c r="A585" s="29"/>
      <c r="B585" s="29"/>
      <c r="F585" s="9"/>
      <c r="I585" s="12"/>
    </row>
    <row r="586">
      <c r="A586" s="29"/>
      <c r="B586" s="29"/>
      <c r="F586" s="9"/>
      <c r="I586" s="12"/>
    </row>
    <row r="587">
      <c r="A587" s="29"/>
      <c r="B587" s="29"/>
      <c r="F587" s="9"/>
      <c r="I587" s="12"/>
    </row>
    <row r="588">
      <c r="A588" s="29"/>
      <c r="B588" s="29"/>
      <c r="F588" s="9"/>
      <c r="I588" s="12"/>
    </row>
    <row r="589">
      <c r="A589" s="29"/>
      <c r="B589" s="29"/>
      <c r="F589" s="9"/>
      <c r="I589" s="12"/>
    </row>
    <row r="590">
      <c r="A590" s="29"/>
      <c r="B590" s="29"/>
      <c r="F590" s="9"/>
      <c r="I590" s="12"/>
    </row>
    <row r="591">
      <c r="A591" s="29"/>
      <c r="B591" s="29"/>
      <c r="F591" s="9"/>
      <c r="I591" s="12"/>
    </row>
    <row r="592">
      <c r="A592" s="29"/>
      <c r="B592" s="29"/>
      <c r="F592" s="9"/>
      <c r="I592" s="12"/>
    </row>
    <row r="593">
      <c r="A593" s="29"/>
      <c r="B593" s="29"/>
      <c r="F593" s="9"/>
      <c r="I593" s="12"/>
    </row>
    <row r="594">
      <c r="A594" s="29"/>
      <c r="B594" s="29"/>
      <c r="F594" s="9"/>
      <c r="I594" s="12"/>
    </row>
    <row r="595">
      <c r="A595" s="29"/>
      <c r="B595" s="29"/>
      <c r="F595" s="9"/>
      <c r="I595" s="12"/>
    </row>
    <row r="596">
      <c r="A596" s="29"/>
      <c r="B596" s="29"/>
      <c r="F596" s="9"/>
      <c r="I596" s="12"/>
    </row>
    <row r="597">
      <c r="A597" s="29"/>
      <c r="B597" s="29"/>
      <c r="F597" s="9"/>
      <c r="I597" s="12"/>
    </row>
    <row r="598">
      <c r="A598" s="29"/>
      <c r="B598" s="29"/>
      <c r="F598" s="9"/>
      <c r="I598" s="12"/>
    </row>
    <row r="599">
      <c r="A599" s="29"/>
      <c r="B599" s="29"/>
      <c r="F599" s="9"/>
      <c r="I599" s="12"/>
    </row>
    <row r="600">
      <c r="A600" s="29"/>
      <c r="B600" s="29"/>
      <c r="F600" s="9"/>
      <c r="I600" s="12"/>
    </row>
    <row r="601">
      <c r="A601" s="29"/>
      <c r="B601" s="29"/>
      <c r="F601" s="9"/>
      <c r="I601" s="12"/>
    </row>
    <row r="602">
      <c r="A602" s="29"/>
      <c r="B602" s="29"/>
      <c r="F602" s="9"/>
      <c r="I602" s="12"/>
    </row>
    <row r="603">
      <c r="A603" s="29"/>
      <c r="B603" s="29"/>
      <c r="F603" s="9"/>
      <c r="I603" s="12"/>
    </row>
    <row r="604">
      <c r="A604" s="29"/>
      <c r="B604" s="29"/>
      <c r="F604" s="9"/>
      <c r="I604" s="12"/>
    </row>
    <row r="605">
      <c r="A605" s="29"/>
      <c r="B605" s="29"/>
      <c r="F605" s="9"/>
      <c r="I605" s="12"/>
    </row>
    <row r="606">
      <c r="A606" s="29"/>
      <c r="B606" s="29"/>
      <c r="F606" s="9"/>
      <c r="I606" s="12"/>
    </row>
    <row r="607">
      <c r="A607" s="29"/>
      <c r="B607" s="29"/>
      <c r="F607" s="9"/>
      <c r="I607" s="12"/>
    </row>
    <row r="608">
      <c r="A608" s="29"/>
      <c r="B608" s="29"/>
      <c r="F608" s="9"/>
      <c r="I608" s="12"/>
    </row>
    <row r="609">
      <c r="A609" s="29"/>
      <c r="B609" s="29"/>
      <c r="F609" s="9"/>
      <c r="I609" s="12"/>
    </row>
    <row r="610">
      <c r="A610" s="29"/>
      <c r="B610" s="29"/>
      <c r="F610" s="9"/>
      <c r="I610" s="12"/>
    </row>
    <row r="611">
      <c r="A611" s="29"/>
      <c r="B611" s="29"/>
      <c r="F611" s="9"/>
      <c r="I611" s="12"/>
    </row>
    <row r="612">
      <c r="A612" s="29"/>
      <c r="B612" s="29"/>
      <c r="F612" s="9"/>
      <c r="I612" s="12"/>
    </row>
    <row r="613">
      <c r="A613" s="29"/>
      <c r="B613" s="29"/>
      <c r="F613" s="9"/>
      <c r="I613" s="12"/>
    </row>
    <row r="614">
      <c r="A614" s="29"/>
      <c r="B614" s="29"/>
      <c r="F614" s="9"/>
      <c r="I614" s="12"/>
    </row>
    <row r="615">
      <c r="A615" s="29"/>
      <c r="B615" s="29"/>
      <c r="F615" s="9"/>
      <c r="I615" s="12"/>
    </row>
    <row r="616">
      <c r="A616" s="29"/>
      <c r="B616" s="29"/>
      <c r="F616" s="9"/>
      <c r="I616" s="12"/>
    </row>
    <row r="617">
      <c r="A617" s="29"/>
      <c r="B617" s="29"/>
      <c r="F617" s="9"/>
      <c r="I617" s="12"/>
    </row>
    <row r="618">
      <c r="A618" s="29"/>
      <c r="B618" s="29"/>
      <c r="F618" s="9"/>
      <c r="I618" s="12"/>
    </row>
    <row r="619">
      <c r="A619" s="29"/>
      <c r="B619" s="29"/>
      <c r="F619" s="9"/>
      <c r="I619" s="12"/>
    </row>
    <row r="620">
      <c r="A620" s="29"/>
      <c r="B620" s="29"/>
      <c r="F620" s="9"/>
      <c r="I620" s="12"/>
    </row>
    <row r="621">
      <c r="A621" s="29"/>
      <c r="B621" s="29"/>
      <c r="F621" s="9"/>
      <c r="I621" s="12"/>
    </row>
    <row r="622">
      <c r="A622" s="29"/>
      <c r="B622" s="29"/>
      <c r="F622" s="9"/>
      <c r="I622" s="12"/>
    </row>
    <row r="623">
      <c r="A623" s="29"/>
      <c r="B623" s="29"/>
      <c r="F623" s="9"/>
      <c r="I623" s="12"/>
    </row>
    <row r="624">
      <c r="A624" s="29"/>
      <c r="B624" s="29"/>
      <c r="F624" s="9"/>
      <c r="I624" s="12"/>
    </row>
    <row r="625">
      <c r="A625" s="29"/>
      <c r="B625" s="29"/>
      <c r="F625" s="9"/>
      <c r="I625" s="12"/>
    </row>
    <row r="626">
      <c r="A626" s="29"/>
      <c r="B626" s="29"/>
      <c r="F626" s="9"/>
      <c r="I626" s="12"/>
    </row>
    <row r="627">
      <c r="A627" s="29"/>
      <c r="B627" s="29"/>
      <c r="F627" s="9"/>
      <c r="I627" s="12"/>
    </row>
    <row r="628">
      <c r="A628" s="29"/>
      <c r="B628" s="29"/>
      <c r="F628" s="9"/>
      <c r="I628" s="12"/>
    </row>
    <row r="629">
      <c r="A629" s="29"/>
      <c r="B629" s="29"/>
      <c r="F629" s="9"/>
      <c r="I629" s="12"/>
    </row>
    <row r="630">
      <c r="A630" s="29"/>
      <c r="B630" s="29"/>
      <c r="F630" s="9"/>
      <c r="I630" s="12"/>
    </row>
    <row r="631">
      <c r="A631" s="29"/>
      <c r="B631" s="29"/>
      <c r="F631" s="9"/>
      <c r="I631" s="12"/>
    </row>
    <row r="632">
      <c r="A632" s="29"/>
      <c r="B632" s="29"/>
      <c r="F632" s="9"/>
      <c r="I632" s="12"/>
    </row>
    <row r="633">
      <c r="A633" s="29"/>
      <c r="B633" s="29"/>
      <c r="F633" s="9"/>
      <c r="I633" s="12"/>
    </row>
    <row r="634">
      <c r="A634" s="29"/>
      <c r="B634" s="29"/>
      <c r="F634" s="9"/>
      <c r="I634" s="12"/>
    </row>
    <row r="635">
      <c r="A635" s="29"/>
      <c r="B635" s="29"/>
      <c r="F635" s="9"/>
      <c r="I635" s="12"/>
    </row>
    <row r="636">
      <c r="A636" s="29"/>
      <c r="B636" s="29"/>
      <c r="F636" s="9"/>
      <c r="I636" s="12"/>
    </row>
    <row r="637">
      <c r="A637" s="29"/>
      <c r="B637" s="29"/>
      <c r="F637" s="9"/>
      <c r="I637" s="12"/>
    </row>
    <row r="638">
      <c r="A638" s="29"/>
      <c r="B638" s="29"/>
      <c r="F638" s="9"/>
      <c r="I638" s="12"/>
    </row>
    <row r="639">
      <c r="A639" s="29"/>
      <c r="B639" s="29"/>
      <c r="F639" s="9"/>
      <c r="I639" s="12"/>
    </row>
    <row r="640">
      <c r="A640" s="29"/>
      <c r="B640" s="29"/>
      <c r="F640" s="9"/>
      <c r="I640" s="12"/>
    </row>
    <row r="641">
      <c r="A641" s="29"/>
      <c r="B641" s="29"/>
      <c r="F641" s="9"/>
      <c r="I641" s="12"/>
    </row>
    <row r="642">
      <c r="A642" s="29"/>
      <c r="B642" s="29"/>
      <c r="F642" s="9"/>
      <c r="I642" s="12"/>
    </row>
    <row r="643">
      <c r="A643" s="29"/>
      <c r="B643" s="29"/>
      <c r="F643" s="9"/>
      <c r="I643" s="12"/>
    </row>
    <row r="644">
      <c r="A644" s="29"/>
      <c r="B644" s="29"/>
      <c r="F644" s="9"/>
      <c r="I644" s="12"/>
    </row>
    <row r="645">
      <c r="A645" s="29"/>
      <c r="B645" s="29"/>
      <c r="F645" s="9"/>
      <c r="I645" s="12"/>
    </row>
    <row r="646">
      <c r="A646" s="29"/>
      <c r="B646" s="29"/>
      <c r="F646" s="9"/>
      <c r="I646" s="12"/>
    </row>
    <row r="647">
      <c r="A647" s="29"/>
      <c r="B647" s="29"/>
      <c r="F647" s="9"/>
      <c r="I647" s="12"/>
    </row>
    <row r="648">
      <c r="A648" s="29"/>
      <c r="B648" s="29"/>
      <c r="F648" s="9"/>
      <c r="I648" s="12"/>
    </row>
    <row r="649">
      <c r="A649" s="29"/>
      <c r="B649" s="29"/>
      <c r="F649" s="9"/>
      <c r="I649" s="12"/>
    </row>
    <row r="650">
      <c r="A650" s="29"/>
      <c r="B650" s="29"/>
      <c r="F650" s="9"/>
      <c r="I650" s="12"/>
    </row>
    <row r="651">
      <c r="A651" s="29"/>
      <c r="B651" s="29"/>
      <c r="F651" s="9"/>
      <c r="I651" s="12"/>
    </row>
    <row r="652">
      <c r="A652" s="29"/>
      <c r="B652" s="29"/>
      <c r="F652" s="9"/>
      <c r="I652" s="12"/>
    </row>
    <row r="653">
      <c r="A653" s="29"/>
      <c r="B653" s="29"/>
      <c r="F653" s="9"/>
      <c r="I653" s="12"/>
    </row>
    <row r="654">
      <c r="A654" s="29"/>
      <c r="B654" s="29"/>
      <c r="F654" s="9"/>
      <c r="I654" s="12"/>
    </row>
    <row r="655">
      <c r="A655" s="29"/>
      <c r="B655" s="29"/>
      <c r="F655" s="9"/>
      <c r="I655" s="12"/>
    </row>
    <row r="656">
      <c r="A656" s="29"/>
      <c r="B656" s="29"/>
      <c r="F656" s="9"/>
      <c r="I656" s="12"/>
    </row>
    <row r="657">
      <c r="A657" s="29"/>
      <c r="B657" s="29"/>
      <c r="F657" s="9"/>
      <c r="I657" s="12"/>
    </row>
    <row r="658">
      <c r="A658" s="29"/>
      <c r="B658" s="29"/>
      <c r="F658" s="9"/>
      <c r="I658" s="12"/>
    </row>
    <row r="659">
      <c r="A659" s="29"/>
      <c r="B659" s="29"/>
      <c r="F659" s="9"/>
      <c r="I659" s="12"/>
    </row>
    <row r="660">
      <c r="A660" s="29"/>
      <c r="B660" s="29"/>
      <c r="F660" s="9"/>
      <c r="I660" s="12"/>
    </row>
    <row r="661">
      <c r="A661" s="29"/>
      <c r="B661" s="29"/>
      <c r="F661" s="9"/>
      <c r="I661" s="12"/>
    </row>
    <row r="662">
      <c r="A662" s="29"/>
      <c r="B662" s="29"/>
      <c r="F662" s="9"/>
      <c r="I662" s="12"/>
    </row>
    <row r="663">
      <c r="A663" s="29"/>
      <c r="B663" s="29"/>
      <c r="F663" s="9"/>
      <c r="I663" s="12"/>
    </row>
    <row r="664">
      <c r="A664" s="29"/>
      <c r="B664" s="29"/>
      <c r="F664" s="9"/>
      <c r="I664" s="12"/>
    </row>
    <row r="665">
      <c r="A665" s="29"/>
      <c r="B665" s="29"/>
      <c r="F665" s="9"/>
      <c r="I665" s="12"/>
    </row>
    <row r="666">
      <c r="A666" s="29"/>
      <c r="B666" s="29"/>
      <c r="F666" s="9"/>
      <c r="I666" s="12"/>
    </row>
    <row r="667">
      <c r="A667" s="29"/>
      <c r="B667" s="29"/>
      <c r="F667" s="9"/>
      <c r="I667" s="12"/>
    </row>
    <row r="668">
      <c r="A668" s="29"/>
      <c r="B668" s="29"/>
      <c r="F668" s="9"/>
      <c r="I668" s="12"/>
    </row>
    <row r="669">
      <c r="A669" s="29"/>
      <c r="B669" s="29"/>
      <c r="F669" s="9"/>
      <c r="I669" s="12"/>
    </row>
    <row r="670">
      <c r="A670" s="29"/>
      <c r="B670" s="29"/>
      <c r="F670" s="9"/>
      <c r="I670" s="12"/>
    </row>
    <row r="671">
      <c r="A671" s="29"/>
      <c r="B671" s="29"/>
      <c r="F671" s="9"/>
      <c r="I671" s="12"/>
    </row>
    <row r="672">
      <c r="A672" s="29"/>
      <c r="B672" s="29"/>
      <c r="F672" s="9"/>
      <c r="I672" s="12"/>
    </row>
    <row r="673">
      <c r="A673" s="29"/>
      <c r="B673" s="29"/>
      <c r="F673" s="9"/>
      <c r="I673" s="12"/>
    </row>
    <row r="674">
      <c r="A674" s="29"/>
      <c r="B674" s="29"/>
      <c r="F674" s="9"/>
      <c r="I674" s="12"/>
    </row>
    <row r="675">
      <c r="A675" s="29"/>
      <c r="B675" s="29"/>
      <c r="F675" s="9"/>
      <c r="I675" s="12"/>
    </row>
    <row r="676">
      <c r="A676" s="29"/>
      <c r="B676" s="29"/>
      <c r="F676" s="9"/>
      <c r="I676" s="12"/>
    </row>
    <row r="677">
      <c r="A677" s="29"/>
      <c r="B677" s="29"/>
      <c r="F677" s="9"/>
      <c r="I677" s="12"/>
    </row>
    <row r="678">
      <c r="A678" s="29"/>
      <c r="B678" s="29"/>
      <c r="F678" s="9"/>
      <c r="I678" s="12"/>
    </row>
    <row r="679">
      <c r="A679" s="29"/>
      <c r="B679" s="29"/>
      <c r="F679" s="9"/>
      <c r="I679" s="12"/>
    </row>
    <row r="680">
      <c r="A680" s="29"/>
      <c r="B680" s="29"/>
      <c r="F680" s="9"/>
      <c r="I680" s="12"/>
    </row>
    <row r="681">
      <c r="A681" s="29"/>
      <c r="B681" s="29"/>
      <c r="F681" s="9"/>
      <c r="I681" s="12"/>
    </row>
    <row r="682">
      <c r="A682" s="29"/>
      <c r="B682" s="29"/>
      <c r="F682" s="9"/>
      <c r="I682" s="12"/>
    </row>
    <row r="683">
      <c r="A683" s="29"/>
      <c r="B683" s="29"/>
      <c r="F683" s="9"/>
      <c r="I683" s="12"/>
    </row>
    <row r="684">
      <c r="A684" s="29"/>
      <c r="B684" s="29"/>
      <c r="F684" s="9"/>
      <c r="I684" s="12"/>
    </row>
    <row r="685">
      <c r="A685" s="29"/>
      <c r="B685" s="29"/>
      <c r="F685" s="9"/>
      <c r="I685" s="12"/>
    </row>
    <row r="686">
      <c r="A686" s="29"/>
      <c r="B686" s="29"/>
      <c r="F686" s="9"/>
      <c r="I686" s="12"/>
    </row>
    <row r="687">
      <c r="A687" s="29"/>
      <c r="B687" s="29"/>
      <c r="F687" s="9"/>
      <c r="I687" s="12"/>
    </row>
    <row r="688">
      <c r="A688" s="29"/>
      <c r="B688" s="29"/>
      <c r="F688" s="9"/>
      <c r="I688" s="12"/>
    </row>
    <row r="689">
      <c r="A689" s="29"/>
      <c r="B689" s="29"/>
      <c r="F689" s="9"/>
      <c r="I689" s="12"/>
    </row>
    <row r="690">
      <c r="A690" s="29"/>
      <c r="B690" s="29"/>
      <c r="F690" s="9"/>
      <c r="I690" s="12"/>
    </row>
    <row r="691">
      <c r="A691" s="29"/>
      <c r="B691" s="29"/>
      <c r="F691" s="9"/>
      <c r="I691" s="12"/>
    </row>
    <row r="692">
      <c r="A692" s="29"/>
      <c r="B692" s="29"/>
      <c r="F692" s="9"/>
      <c r="I692" s="12"/>
    </row>
    <row r="693">
      <c r="A693" s="29"/>
      <c r="B693" s="29"/>
      <c r="F693" s="9"/>
      <c r="I693" s="12"/>
    </row>
    <row r="694">
      <c r="A694" s="29"/>
      <c r="B694" s="29"/>
      <c r="F694" s="9"/>
      <c r="I694" s="12"/>
    </row>
    <row r="695">
      <c r="A695" s="29"/>
      <c r="B695" s="29"/>
      <c r="F695" s="9"/>
      <c r="I695" s="12"/>
    </row>
    <row r="696">
      <c r="A696" s="29"/>
      <c r="B696" s="29"/>
      <c r="F696" s="9"/>
      <c r="I696" s="12"/>
    </row>
    <row r="697">
      <c r="A697" s="29"/>
      <c r="B697" s="29"/>
      <c r="F697" s="9"/>
      <c r="I697" s="12"/>
    </row>
    <row r="698">
      <c r="A698" s="29"/>
      <c r="B698" s="29"/>
      <c r="F698" s="9"/>
      <c r="I698" s="12"/>
    </row>
    <row r="699">
      <c r="A699" s="29"/>
      <c r="B699" s="29"/>
      <c r="F699" s="9"/>
      <c r="I699" s="12"/>
    </row>
    <row r="700">
      <c r="A700" s="29"/>
      <c r="B700" s="29"/>
      <c r="F700" s="9"/>
      <c r="I700" s="12"/>
    </row>
    <row r="701">
      <c r="A701" s="29"/>
      <c r="B701" s="29"/>
      <c r="F701" s="9"/>
      <c r="I701" s="12"/>
    </row>
    <row r="702">
      <c r="A702" s="29"/>
      <c r="B702" s="29"/>
      <c r="F702" s="9"/>
      <c r="I702" s="12"/>
    </row>
    <row r="703">
      <c r="A703" s="29"/>
      <c r="B703" s="29"/>
      <c r="F703" s="9"/>
      <c r="I703" s="12"/>
    </row>
    <row r="704">
      <c r="A704" s="29"/>
      <c r="B704" s="29"/>
      <c r="F704" s="9"/>
      <c r="I704" s="12"/>
    </row>
    <row r="705">
      <c r="A705" s="29"/>
      <c r="B705" s="29"/>
      <c r="F705" s="9"/>
      <c r="I705" s="12"/>
    </row>
    <row r="706">
      <c r="A706" s="29"/>
      <c r="B706" s="29"/>
      <c r="F706" s="9"/>
      <c r="I706" s="12"/>
    </row>
    <row r="707">
      <c r="A707" s="29"/>
      <c r="B707" s="29"/>
      <c r="F707" s="9"/>
      <c r="I707" s="12"/>
    </row>
    <row r="708">
      <c r="A708" s="29"/>
      <c r="B708" s="29"/>
      <c r="F708" s="9"/>
      <c r="I708" s="12"/>
    </row>
    <row r="709">
      <c r="A709" s="29"/>
      <c r="B709" s="29"/>
      <c r="F709" s="9"/>
      <c r="I709" s="12"/>
    </row>
    <row r="710">
      <c r="A710" s="29"/>
      <c r="B710" s="29"/>
      <c r="F710" s="9"/>
      <c r="I710" s="12"/>
    </row>
    <row r="711">
      <c r="A711" s="29"/>
      <c r="B711" s="29"/>
      <c r="F711" s="9"/>
      <c r="I711" s="12"/>
    </row>
    <row r="712">
      <c r="A712" s="29"/>
      <c r="B712" s="29"/>
      <c r="F712" s="9"/>
      <c r="I712" s="12"/>
    </row>
    <row r="713">
      <c r="A713" s="29"/>
      <c r="B713" s="29"/>
      <c r="F713" s="9"/>
      <c r="I713" s="12"/>
    </row>
    <row r="714">
      <c r="A714" s="29"/>
      <c r="B714" s="29"/>
      <c r="F714" s="9"/>
      <c r="I714" s="12"/>
    </row>
    <row r="715">
      <c r="A715" s="29"/>
      <c r="B715" s="29"/>
      <c r="F715" s="9"/>
      <c r="I715" s="12"/>
    </row>
    <row r="716">
      <c r="A716" s="29"/>
      <c r="B716" s="29"/>
      <c r="F716" s="9"/>
      <c r="I716" s="12"/>
    </row>
    <row r="717">
      <c r="A717" s="29"/>
      <c r="B717" s="29"/>
      <c r="F717" s="9"/>
      <c r="I717" s="12"/>
    </row>
    <row r="718">
      <c r="A718" s="29"/>
      <c r="B718" s="29"/>
      <c r="F718" s="9"/>
      <c r="I718" s="12"/>
    </row>
    <row r="719">
      <c r="A719" s="29"/>
      <c r="B719" s="29"/>
      <c r="F719" s="9"/>
      <c r="I719" s="12"/>
    </row>
    <row r="720">
      <c r="A720" s="29"/>
      <c r="B720" s="29"/>
      <c r="F720" s="9"/>
      <c r="I720" s="12"/>
    </row>
    <row r="721">
      <c r="A721" s="29"/>
      <c r="B721" s="29"/>
      <c r="F721" s="9"/>
      <c r="I721" s="12"/>
    </row>
    <row r="722">
      <c r="A722" s="29"/>
      <c r="B722" s="29"/>
      <c r="F722" s="9"/>
      <c r="I722" s="12"/>
    </row>
    <row r="723">
      <c r="A723" s="29"/>
      <c r="B723" s="29"/>
      <c r="F723" s="9"/>
      <c r="I723" s="12"/>
    </row>
    <row r="724">
      <c r="A724" s="29"/>
      <c r="B724" s="29"/>
      <c r="F724" s="9"/>
      <c r="I724" s="12"/>
    </row>
    <row r="725">
      <c r="A725" s="29"/>
      <c r="B725" s="29"/>
      <c r="F725" s="9"/>
      <c r="I725" s="12"/>
    </row>
    <row r="726">
      <c r="A726" s="29"/>
      <c r="B726" s="29"/>
      <c r="F726" s="9"/>
      <c r="I726" s="12"/>
    </row>
    <row r="727">
      <c r="A727" s="29"/>
      <c r="B727" s="29"/>
      <c r="F727" s="9"/>
      <c r="I727" s="12"/>
    </row>
    <row r="728">
      <c r="A728" s="29"/>
      <c r="B728" s="29"/>
      <c r="F728" s="9"/>
      <c r="I728" s="12"/>
    </row>
    <row r="729">
      <c r="A729" s="29"/>
      <c r="B729" s="29"/>
      <c r="F729" s="9"/>
      <c r="I729" s="12"/>
    </row>
    <row r="730">
      <c r="A730" s="29"/>
      <c r="B730" s="29"/>
      <c r="F730" s="9"/>
      <c r="I730" s="12"/>
    </row>
    <row r="731">
      <c r="A731" s="29"/>
      <c r="B731" s="29"/>
      <c r="F731" s="9"/>
      <c r="I731" s="12"/>
    </row>
    <row r="732">
      <c r="A732" s="29"/>
      <c r="B732" s="29"/>
      <c r="F732" s="9"/>
      <c r="I732" s="12"/>
    </row>
    <row r="733">
      <c r="A733" s="29"/>
      <c r="B733" s="29"/>
      <c r="F733" s="9"/>
      <c r="I733" s="12"/>
    </row>
    <row r="734">
      <c r="A734" s="29"/>
      <c r="B734" s="29"/>
      <c r="F734" s="9"/>
      <c r="I734" s="12"/>
    </row>
    <row r="735">
      <c r="A735" s="29"/>
      <c r="B735" s="29"/>
      <c r="F735" s="9"/>
      <c r="I735" s="12"/>
    </row>
    <row r="736">
      <c r="A736" s="29"/>
      <c r="B736" s="29"/>
      <c r="F736" s="9"/>
      <c r="I736" s="12"/>
    </row>
    <row r="737">
      <c r="A737" s="29"/>
      <c r="B737" s="29"/>
      <c r="F737" s="9"/>
      <c r="I737" s="12"/>
    </row>
    <row r="738">
      <c r="A738" s="29"/>
      <c r="B738" s="29"/>
      <c r="F738" s="9"/>
      <c r="I738" s="12"/>
    </row>
    <row r="739">
      <c r="A739" s="29"/>
      <c r="B739" s="29"/>
      <c r="F739" s="9"/>
      <c r="I739" s="12"/>
    </row>
    <row r="740">
      <c r="A740" s="29"/>
      <c r="B740" s="29"/>
      <c r="F740" s="9"/>
      <c r="I740" s="12"/>
    </row>
    <row r="741">
      <c r="A741" s="29"/>
      <c r="B741" s="29"/>
      <c r="F741" s="9"/>
      <c r="I741" s="12"/>
    </row>
    <row r="742">
      <c r="A742" s="29"/>
      <c r="B742" s="29"/>
      <c r="F742" s="9"/>
      <c r="I742" s="12"/>
    </row>
    <row r="743">
      <c r="A743" s="29"/>
      <c r="B743" s="29"/>
      <c r="F743" s="9"/>
      <c r="I743" s="12"/>
    </row>
    <row r="744">
      <c r="A744" s="29"/>
      <c r="B744" s="29"/>
      <c r="F744" s="9"/>
      <c r="I744" s="12"/>
    </row>
    <row r="745">
      <c r="A745" s="29"/>
      <c r="B745" s="29"/>
      <c r="F745" s="9"/>
      <c r="I745" s="12"/>
    </row>
    <row r="746">
      <c r="A746" s="29"/>
      <c r="B746" s="29"/>
      <c r="F746" s="9"/>
      <c r="I746" s="12"/>
    </row>
    <row r="747">
      <c r="A747" s="29"/>
      <c r="B747" s="29"/>
      <c r="F747" s="9"/>
      <c r="I747" s="12"/>
    </row>
    <row r="748">
      <c r="A748" s="29"/>
      <c r="B748" s="29"/>
      <c r="F748" s="9"/>
      <c r="I748" s="12"/>
    </row>
    <row r="749">
      <c r="A749" s="29"/>
      <c r="B749" s="29"/>
      <c r="F749" s="9"/>
      <c r="I749" s="12"/>
    </row>
    <row r="750">
      <c r="A750" s="29"/>
      <c r="B750" s="29"/>
      <c r="F750" s="9"/>
      <c r="I750" s="12"/>
    </row>
    <row r="751">
      <c r="A751" s="29"/>
      <c r="B751" s="29"/>
      <c r="F751" s="9"/>
      <c r="I751" s="12"/>
    </row>
    <row r="752">
      <c r="A752" s="29"/>
      <c r="B752" s="29"/>
      <c r="F752" s="9"/>
      <c r="I752" s="12"/>
    </row>
    <row r="753">
      <c r="A753" s="29"/>
      <c r="B753" s="29"/>
      <c r="F753" s="9"/>
      <c r="I753" s="12"/>
    </row>
    <row r="754">
      <c r="A754" s="29"/>
      <c r="B754" s="29"/>
      <c r="F754" s="9"/>
      <c r="I754" s="12"/>
    </row>
    <row r="755">
      <c r="A755" s="29"/>
      <c r="B755" s="29"/>
      <c r="F755" s="9"/>
      <c r="I755" s="12"/>
    </row>
    <row r="756">
      <c r="A756" s="29"/>
      <c r="B756" s="29"/>
      <c r="F756" s="9"/>
      <c r="I756" s="12"/>
    </row>
    <row r="757">
      <c r="A757" s="29"/>
      <c r="B757" s="29"/>
      <c r="F757" s="9"/>
      <c r="I757" s="12"/>
    </row>
    <row r="758">
      <c r="A758" s="29"/>
      <c r="B758" s="29"/>
      <c r="F758" s="9"/>
      <c r="I758" s="12"/>
    </row>
    <row r="759">
      <c r="A759" s="29"/>
      <c r="B759" s="29"/>
      <c r="F759" s="9"/>
      <c r="I759" s="12"/>
    </row>
    <row r="760">
      <c r="A760" s="29"/>
      <c r="B760" s="29"/>
      <c r="F760" s="9"/>
      <c r="I760" s="12"/>
    </row>
    <row r="761">
      <c r="A761" s="29"/>
      <c r="B761" s="29"/>
      <c r="F761" s="9"/>
      <c r="I761" s="12"/>
    </row>
    <row r="762">
      <c r="A762" s="29"/>
      <c r="B762" s="29"/>
      <c r="F762" s="9"/>
      <c r="I762" s="12"/>
    </row>
    <row r="763">
      <c r="A763" s="29"/>
      <c r="B763" s="29"/>
      <c r="F763" s="9"/>
      <c r="I763" s="12"/>
    </row>
    <row r="764">
      <c r="A764" s="29"/>
      <c r="B764" s="29"/>
      <c r="F764" s="9"/>
      <c r="I764" s="12"/>
    </row>
    <row r="765">
      <c r="A765" s="29"/>
      <c r="B765" s="29"/>
      <c r="F765" s="9"/>
      <c r="I765" s="12"/>
    </row>
    <row r="766">
      <c r="A766" s="29"/>
      <c r="B766" s="29"/>
      <c r="F766" s="9"/>
      <c r="I766" s="12"/>
    </row>
    <row r="767">
      <c r="A767" s="29"/>
      <c r="B767" s="29"/>
      <c r="F767" s="9"/>
      <c r="I767" s="12"/>
    </row>
    <row r="768">
      <c r="A768" s="29"/>
      <c r="B768" s="29"/>
      <c r="F768" s="9"/>
      <c r="I768" s="12"/>
    </row>
    <row r="769">
      <c r="A769" s="29"/>
      <c r="B769" s="29"/>
      <c r="F769" s="9"/>
      <c r="I769" s="12"/>
    </row>
    <row r="770">
      <c r="A770" s="29"/>
      <c r="B770" s="29"/>
      <c r="F770" s="9"/>
      <c r="I770" s="12"/>
    </row>
    <row r="771">
      <c r="A771" s="29"/>
      <c r="B771" s="29"/>
      <c r="F771" s="9"/>
      <c r="I771" s="12"/>
    </row>
    <row r="772">
      <c r="A772" s="29"/>
      <c r="B772" s="29"/>
      <c r="F772" s="9"/>
      <c r="I772" s="12"/>
    </row>
    <row r="773">
      <c r="A773" s="29"/>
      <c r="B773" s="29"/>
      <c r="F773" s="9"/>
      <c r="I773" s="12"/>
    </row>
    <row r="774">
      <c r="A774" s="29"/>
      <c r="B774" s="29"/>
      <c r="F774" s="9"/>
      <c r="I774" s="12"/>
    </row>
    <row r="775">
      <c r="A775" s="29"/>
      <c r="B775" s="29"/>
      <c r="F775" s="9"/>
      <c r="I775" s="12"/>
    </row>
    <row r="776">
      <c r="A776" s="29"/>
      <c r="B776" s="29"/>
      <c r="F776" s="9"/>
      <c r="I776" s="12"/>
    </row>
    <row r="777">
      <c r="A777" s="29"/>
      <c r="B777" s="29"/>
      <c r="F777" s="9"/>
      <c r="I777" s="12"/>
    </row>
    <row r="778">
      <c r="A778" s="29"/>
      <c r="B778" s="29"/>
      <c r="F778" s="9"/>
      <c r="I778" s="12"/>
    </row>
    <row r="779">
      <c r="A779" s="29"/>
      <c r="B779" s="29"/>
      <c r="F779" s="9"/>
      <c r="I779" s="12"/>
    </row>
    <row r="780">
      <c r="A780" s="29"/>
      <c r="B780" s="29"/>
      <c r="F780" s="9"/>
      <c r="I780" s="12"/>
    </row>
    <row r="781">
      <c r="A781" s="29"/>
      <c r="B781" s="29"/>
      <c r="F781" s="9"/>
      <c r="I781" s="12"/>
    </row>
    <row r="782">
      <c r="A782" s="29"/>
      <c r="B782" s="29"/>
      <c r="F782" s="9"/>
      <c r="I782" s="12"/>
    </row>
    <row r="783">
      <c r="A783" s="29"/>
      <c r="B783" s="29"/>
      <c r="F783" s="9"/>
      <c r="I783" s="12"/>
    </row>
    <row r="784">
      <c r="A784" s="29"/>
      <c r="B784" s="29"/>
      <c r="F784" s="9"/>
      <c r="I784" s="12"/>
    </row>
    <row r="785">
      <c r="A785" s="29"/>
      <c r="B785" s="29"/>
      <c r="F785" s="9"/>
      <c r="I785" s="12"/>
    </row>
    <row r="786">
      <c r="A786" s="29"/>
      <c r="B786" s="29"/>
      <c r="F786" s="9"/>
      <c r="I786" s="12"/>
    </row>
    <row r="787">
      <c r="A787" s="29"/>
      <c r="B787" s="29"/>
      <c r="F787" s="9"/>
      <c r="I787" s="12"/>
    </row>
    <row r="788">
      <c r="A788" s="29"/>
      <c r="B788" s="29"/>
      <c r="F788" s="9"/>
      <c r="I788" s="12"/>
    </row>
    <row r="789">
      <c r="A789" s="29"/>
      <c r="B789" s="29"/>
      <c r="F789" s="9"/>
      <c r="I789" s="12"/>
    </row>
    <row r="790">
      <c r="A790" s="29"/>
      <c r="B790" s="29"/>
      <c r="F790" s="9"/>
      <c r="I790" s="12"/>
    </row>
    <row r="791">
      <c r="A791" s="29"/>
      <c r="B791" s="29"/>
      <c r="F791" s="9"/>
      <c r="I791" s="12"/>
    </row>
    <row r="792">
      <c r="A792" s="29"/>
      <c r="B792" s="29"/>
      <c r="F792" s="9"/>
      <c r="I792" s="12"/>
    </row>
    <row r="793">
      <c r="A793" s="29"/>
      <c r="B793" s="29"/>
      <c r="F793" s="9"/>
      <c r="I793" s="12"/>
    </row>
    <row r="794">
      <c r="A794" s="29"/>
      <c r="B794" s="29"/>
      <c r="F794" s="9"/>
      <c r="I794" s="12"/>
    </row>
    <row r="795">
      <c r="A795" s="29"/>
      <c r="B795" s="29"/>
      <c r="F795" s="9"/>
      <c r="I795" s="12"/>
    </row>
    <row r="796">
      <c r="A796" s="29"/>
      <c r="B796" s="29"/>
      <c r="F796" s="9"/>
      <c r="I796" s="12"/>
    </row>
    <row r="797">
      <c r="A797" s="29"/>
      <c r="B797" s="29"/>
      <c r="F797" s="9"/>
      <c r="I797" s="12"/>
    </row>
    <row r="798">
      <c r="A798" s="29"/>
      <c r="B798" s="29"/>
      <c r="F798" s="9"/>
      <c r="I798" s="12"/>
    </row>
    <row r="799">
      <c r="A799" s="29"/>
      <c r="B799" s="29"/>
      <c r="F799" s="9"/>
      <c r="I799" s="12"/>
    </row>
    <row r="800">
      <c r="A800" s="29"/>
      <c r="B800" s="29"/>
      <c r="F800" s="9"/>
      <c r="I800" s="12"/>
    </row>
    <row r="801">
      <c r="A801" s="29"/>
      <c r="B801" s="29"/>
      <c r="F801" s="9"/>
      <c r="I801" s="12"/>
    </row>
    <row r="802">
      <c r="A802" s="29"/>
      <c r="B802" s="29"/>
      <c r="F802" s="9"/>
      <c r="I802" s="12"/>
    </row>
    <row r="803">
      <c r="A803" s="29"/>
      <c r="B803" s="29"/>
      <c r="F803" s="9"/>
      <c r="I803" s="12"/>
    </row>
    <row r="804">
      <c r="A804" s="29"/>
      <c r="B804" s="29"/>
      <c r="F804" s="9"/>
      <c r="I804" s="12"/>
    </row>
    <row r="805">
      <c r="A805" s="29"/>
      <c r="B805" s="29"/>
      <c r="F805" s="9"/>
      <c r="I805" s="12"/>
    </row>
    <row r="806">
      <c r="A806" s="29"/>
      <c r="B806" s="29"/>
      <c r="F806" s="9"/>
      <c r="I806" s="12"/>
    </row>
    <row r="807">
      <c r="A807" s="29"/>
      <c r="B807" s="29"/>
      <c r="F807" s="9"/>
      <c r="I807" s="12"/>
    </row>
    <row r="808">
      <c r="A808" s="29"/>
      <c r="B808" s="29"/>
      <c r="F808" s="9"/>
      <c r="I808" s="12"/>
    </row>
    <row r="809">
      <c r="A809" s="29"/>
      <c r="B809" s="29"/>
      <c r="F809" s="9"/>
      <c r="I809" s="12"/>
    </row>
    <row r="810">
      <c r="A810" s="29"/>
      <c r="B810" s="29"/>
      <c r="F810" s="9"/>
      <c r="I810" s="12"/>
    </row>
    <row r="811">
      <c r="A811" s="29"/>
      <c r="B811" s="29"/>
      <c r="F811" s="9"/>
      <c r="I811" s="12"/>
    </row>
    <row r="812">
      <c r="A812" s="29"/>
      <c r="B812" s="29"/>
      <c r="F812" s="9"/>
      <c r="I812" s="12"/>
    </row>
    <row r="813">
      <c r="A813" s="29"/>
      <c r="B813" s="29"/>
      <c r="F813" s="9"/>
      <c r="I813" s="12"/>
    </row>
    <row r="814">
      <c r="A814" s="29"/>
      <c r="B814" s="29"/>
      <c r="F814" s="9"/>
      <c r="I814" s="12"/>
    </row>
    <row r="815">
      <c r="A815" s="29"/>
      <c r="B815" s="29"/>
      <c r="F815" s="9"/>
      <c r="I815" s="12"/>
    </row>
    <row r="816">
      <c r="A816" s="29"/>
      <c r="B816" s="29"/>
      <c r="F816" s="9"/>
      <c r="I816" s="12"/>
    </row>
    <row r="817">
      <c r="A817" s="29"/>
      <c r="B817" s="29"/>
      <c r="F817" s="9"/>
      <c r="I817" s="12"/>
    </row>
    <row r="818">
      <c r="A818" s="29"/>
      <c r="B818" s="29"/>
      <c r="F818" s="9"/>
      <c r="I818" s="12"/>
    </row>
    <row r="819">
      <c r="A819" s="29"/>
      <c r="B819" s="29"/>
      <c r="F819" s="9"/>
      <c r="I819" s="12"/>
    </row>
    <row r="820">
      <c r="A820" s="29"/>
      <c r="B820" s="29"/>
      <c r="F820" s="9"/>
      <c r="I820" s="12"/>
    </row>
    <row r="821">
      <c r="A821" s="29"/>
      <c r="B821" s="29"/>
      <c r="F821" s="9"/>
      <c r="I821" s="12"/>
    </row>
    <row r="822">
      <c r="A822" s="29"/>
      <c r="B822" s="29"/>
      <c r="F822" s="9"/>
      <c r="I822" s="12"/>
    </row>
    <row r="823">
      <c r="A823" s="29"/>
      <c r="B823" s="29"/>
      <c r="F823" s="9"/>
      <c r="I823" s="12"/>
    </row>
    <row r="824">
      <c r="A824" s="29"/>
      <c r="B824" s="29"/>
      <c r="F824" s="9"/>
      <c r="I824" s="12"/>
    </row>
    <row r="825">
      <c r="A825" s="29"/>
      <c r="B825" s="29"/>
      <c r="F825" s="9"/>
      <c r="I825" s="12"/>
    </row>
    <row r="826">
      <c r="A826" s="29"/>
      <c r="B826" s="29"/>
      <c r="F826" s="9"/>
      <c r="I826" s="12"/>
    </row>
    <row r="827">
      <c r="A827" s="29"/>
      <c r="B827" s="29"/>
      <c r="F827" s="9"/>
      <c r="I827" s="12"/>
    </row>
    <row r="828">
      <c r="A828" s="29"/>
      <c r="B828" s="29"/>
      <c r="F828" s="9"/>
      <c r="I828" s="12"/>
    </row>
    <row r="829">
      <c r="A829" s="29"/>
      <c r="B829" s="29"/>
      <c r="F829" s="9"/>
      <c r="I829" s="12"/>
    </row>
    <row r="830">
      <c r="A830" s="29"/>
      <c r="B830" s="29"/>
      <c r="F830" s="9"/>
      <c r="I830" s="12"/>
    </row>
    <row r="831">
      <c r="A831" s="29"/>
      <c r="B831" s="29"/>
      <c r="F831" s="9"/>
      <c r="I831" s="12"/>
    </row>
    <row r="832">
      <c r="A832" s="29"/>
      <c r="B832" s="29"/>
      <c r="F832" s="9"/>
      <c r="I832" s="12"/>
    </row>
    <row r="833">
      <c r="A833" s="29"/>
      <c r="B833" s="29"/>
      <c r="F833" s="9"/>
      <c r="I833" s="12"/>
    </row>
    <row r="834">
      <c r="A834" s="29"/>
      <c r="B834" s="29"/>
      <c r="F834" s="9"/>
      <c r="I834" s="12"/>
    </row>
    <row r="835">
      <c r="A835" s="29"/>
      <c r="B835" s="29"/>
      <c r="F835" s="9"/>
      <c r="I835" s="12"/>
    </row>
    <row r="836">
      <c r="A836" s="29"/>
      <c r="B836" s="29"/>
      <c r="F836" s="9"/>
      <c r="I836" s="12"/>
    </row>
    <row r="837">
      <c r="A837" s="29"/>
      <c r="B837" s="29"/>
      <c r="F837" s="9"/>
      <c r="I837" s="12"/>
    </row>
    <row r="838">
      <c r="A838" s="29"/>
      <c r="B838" s="29"/>
      <c r="F838" s="9"/>
      <c r="I838" s="12"/>
    </row>
    <row r="839">
      <c r="A839" s="29"/>
      <c r="B839" s="29"/>
      <c r="F839" s="9"/>
      <c r="I839" s="12"/>
    </row>
    <row r="840">
      <c r="A840" s="29"/>
      <c r="B840" s="29"/>
      <c r="F840" s="9"/>
      <c r="I840" s="12"/>
    </row>
    <row r="841">
      <c r="A841" s="29"/>
      <c r="B841" s="29"/>
      <c r="F841" s="9"/>
      <c r="I841" s="12"/>
    </row>
    <row r="842">
      <c r="A842" s="29"/>
      <c r="B842" s="29"/>
      <c r="F842" s="9"/>
      <c r="I842" s="12"/>
    </row>
    <row r="843">
      <c r="A843" s="29"/>
      <c r="B843" s="29"/>
      <c r="F843" s="9"/>
      <c r="I843" s="12"/>
    </row>
    <row r="844">
      <c r="A844" s="29"/>
      <c r="B844" s="29"/>
      <c r="F844" s="9"/>
      <c r="I844" s="12"/>
    </row>
    <row r="845">
      <c r="A845" s="29"/>
      <c r="B845" s="29"/>
      <c r="F845" s="9"/>
      <c r="I845" s="12"/>
    </row>
    <row r="846">
      <c r="A846" s="29"/>
      <c r="B846" s="29"/>
      <c r="F846" s="9"/>
      <c r="I846" s="12"/>
    </row>
    <row r="847">
      <c r="A847" s="29"/>
      <c r="B847" s="29"/>
      <c r="F847" s="9"/>
      <c r="I847" s="12"/>
    </row>
    <row r="848">
      <c r="A848" s="29"/>
      <c r="B848" s="29"/>
      <c r="F848" s="9"/>
      <c r="I848" s="12"/>
    </row>
    <row r="849">
      <c r="A849" s="29"/>
      <c r="B849" s="29"/>
      <c r="F849" s="9"/>
      <c r="I849" s="12"/>
    </row>
    <row r="850">
      <c r="A850" s="29"/>
      <c r="B850" s="29"/>
      <c r="F850" s="9"/>
      <c r="I850" s="12"/>
    </row>
    <row r="851">
      <c r="A851" s="29"/>
      <c r="B851" s="29"/>
      <c r="F851" s="9"/>
      <c r="I851" s="12"/>
    </row>
    <row r="852">
      <c r="A852" s="29"/>
      <c r="B852" s="29"/>
      <c r="F852" s="9"/>
      <c r="I852" s="12"/>
    </row>
    <row r="853">
      <c r="A853" s="29"/>
      <c r="B853" s="29"/>
      <c r="F853" s="9"/>
      <c r="I853" s="12"/>
    </row>
    <row r="854">
      <c r="A854" s="29"/>
      <c r="B854" s="29"/>
      <c r="F854" s="9"/>
      <c r="I854" s="12"/>
    </row>
    <row r="855">
      <c r="A855" s="29"/>
      <c r="B855" s="29"/>
      <c r="F855" s="9"/>
      <c r="I855" s="12"/>
    </row>
    <row r="856">
      <c r="A856" s="29"/>
      <c r="B856" s="29"/>
      <c r="F856" s="9"/>
      <c r="I856" s="12"/>
    </row>
    <row r="857">
      <c r="A857" s="29"/>
      <c r="B857" s="29"/>
      <c r="F857" s="9"/>
      <c r="I857" s="12"/>
    </row>
    <row r="858">
      <c r="A858" s="29"/>
      <c r="B858" s="29"/>
      <c r="F858" s="9"/>
      <c r="I858" s="12"/>
    </row>
    <row r="859">
      <c r="A859" s="29"/>
      <c r="B859" s="29"/>
      <c r="F859" s="9"/>
      <c r="I859" s="12"/>
    </row>
    <row r="860">
      <c r="A860" s="29"/>
      <c r="B860" s="29"/>
      <c r="F860" s="9"/>
      <c r="I860" s="12"/>
    </row>
    <row r="861">
      <c r="A861" s="29"/>
      <c r="B861" s="29"/>
      <c r="F861" s="9"/>
      <c r="I861" s="12"/>
    </row>
    <row r="862">
      <c r="A862" s="29"/>
      <c r="B862" s="29"/>
      <c r="F862" s="9"/>
      <c r="I862" s="12"/>
    </row>
    <row r="863">
      <c r="A863" s="29"/>
      <c r="B863" s="29"/>
      <c r="F863" s="9"/>
      <c r="I863" s="12"/>
    </row>
    <row r="864">
      <c r="A864" s="29"/>
      <c r="B864" s="29"/>
      <c r="F864" s="9"/>
      <c r="I864" s="12"/>
    </row>
    <row r="865">
      <c r="A865" s="29"/>
      <c r="B865" s="29"/>
      <c r="F865" s="9"/>
      <c r="I865" s="12"/>
    </row>
    <row r="866">
      <c r="A866" s="29"/>
      <c r="B866" s="29"/>
      <c r="F866" s="9"/>
      <c r="I866" s="12"/>
    </row>
    <row r="867">
      <c r="A867" s="29"/>
      <c r="B867" s="29"/>
      <c r="F867" s="9"/>
      <c r="I867" s="12"/>
    </row>
    <row r="868">
      <c r="A868" s="29"/>
      <c r="B868" s="29"/>
      <c r="F868" s="9"/>
      <c r="I868" s="12"/>
    </row>
    <row r="869">
      <c r="A869" s="29"/>
      <c r="B869" s="29"/>
      <c r="F869" s="9"/>
      <c r="I869" s="12"/>
    </row>
    <row r="870">
      <c r="A870" s="29"/>
      <c r="B870" s="29"/>
      <c r="F870" s="9"/>
      <c r="I870" s="12"/>
    </row>
    <row r="871">
      <c r="A871" s="29"/>
      <c r="B871" s="29"/>
      <c r="F871" s="9"/>
      <c r="I871" s="12"/>
    </row>
    <row r="872">
      <c r="A872" s="29"/>
      <c r="B872" s="29"/>
      <c r="F872" s="9"/>
      <c r="I872" s="12"/>
    </row>
    <row r="873">
      <c r="A873" s="29"/>
      <c r="B873" s="29"/>
      <c r="F873" s="9"/>
      <c r="I873" s="12"/>
    </row>
    <row r="874">
      <c r="A874" s="29"/>
      <c r="B874" s="29"/>
      <c r="F874" s="9"/>
      <c r="I874" s="12"/>
    </row>
    <row r="875">
      <c r="A875" s="29"/>
      <c r="B875" s="29"/>
      <c r="F875" s="9"/>
      <c r="I875" s="12"/>
    </row>
    <row r="876">
      <c r="A876" s="29"/>
      <c r="B876" s="29"/>
      <c r="F876" s="9"/>
      <c r="I876" s="12"/>
    </row>
    <row r="877">
      <c r="A877" s="29"/>
      <c r="B877" s="29"/>
      <c r="F877" s="9"/>
      <c r="I877" s="12"/>
    </row>
    <row r="878">
      <c r="A878" s="29"/>
      <c r="B878" s="29"/>
      <c r="F878" s="9"/>
      <c r="I878" s="12"/>
    </row>
    <row r="879">
      <c r="A879" s="29"/>
      <c r="B879" s="29"/>
      <c r="F879" s="9"/>
      <c r="I879" s="12"/>
    </row>
    <row r="880">
      <c r="A880" s="29"/>
      <c r="B880" s="29"/>
      <c r="F880" s="9"/>
      <c r="I880" s="12"/>
    </row>
    <row r="881">
      <c r="A881" s="29"/>
      <c r="B881" s="29"/>
      <c r="F881" s="9"/>
      <c r="I881" s="12"/>
    </row>
    <row r="882">
      <c r="A882" s="29"/>
      <c r="B882" s="29"/>
      <c r="F882" s="9"/>
      <c r="I882" s="12"/>
    </row>
    <row r="883">
      <c r="A883" s="29"/>
      <c r="B883" s="29"/>
      <c r="F883" s="9"/>
      <c r="I883" s="12"/>
    </row>
    <row r="884">
      <c r="A884" s="29"/>
      <c r="B884" s="29"/>
      <c r="F884" s="9"/>
      <c r="I884" s="12"/>
    </row>
    <row r="885">
      <c r="A885" s="29"/>
      <c r="B885" s="29"/>
      <c r="F885" s="9"/>
      <c r="I885" s="12"/>
    </row>
    <row r="886">
      <c r="A886" s="29"/>
      <c r="B886" s="29"/>
      <c r="F886" s="9"/>
      <c r="I886" s="12"/>
    </row>
    <row r="887">
      <c r="A887" s="29"/>
      <c r="B887" s="29"/>
      <c r="F887" s="9"/>
      <c r="I887" s="12"/>
    </row>
    <row r="888">
      <c r="A888" s="29"/>
      <c r="B888" s="29"/>
      <c r="F888" s="9"/>
      <c r="I888" s="12"/>
    </row>
    <row r="889">
      <c r="A889" s="29"/>
      <c r="B889" s="29"/>
      <c r="F889" s="9"/>
      <c r="I889" s="12"/>
    </row>
    <row r="890">
      <c r="A890" s="29"/>
      <c r="B890" s="29"/>
      <c r="F890" s="9"/>
      <c r="I890" s="12"/>
    </row>
    <row r="891">
      <c r="A891" s="29"/>
      <c r="B891" s="29"/>
      <c r="F891" s="9"/>
      <c r="I891" s="12"/>
    </row>
    <row r="892">
      <c r="A892" s="29"/>
      <c r="B892" s="29"/>
      <c r="F892" s="9"/>
      <c r="I892" s="12"/>
    </row>
    <row r="893">
      <c r="A893" s="29"/>
      <c r="B893" s="29"/>
      <c r="F893" s="9"/>
      <c r="I893" s="12"/>
    </row>
    <row r="894">
      <c r="A894" s="29"/>
      <c r="B894" s="29"/>
      <c r="F894" s="9"/>
      <c r="I894" s="12"/>
    </row>
    <row r="895">
      <c r="A895" s="29"/>
      <c r="B895" s="29"/>
      <c r="F895" s="9"/>
      <c r="I895" s="12"/>
    </row>
    <row r="896">
      <c r="A896" s="29"/>
      <c r="B896" s="29"/>
      <c r="F896" s="9"/>
      <c r="I896" s="12"/>
    </row>
    <row r="897">
      <c r="A897" s="29"/>
      <c r="B897" s="29"/>
      <c r="F897" s="9"/>
      <c r="I897" s="12"/>
    </row>
    <row r="898">
      <c r="A898" s="29"/>
      <c r="B898" s="29"/>
      <c r="F898" s="9"/>
      <c r="I898" s="12"/>
    </row>
    <row r="899">
      <c r="A899" s="29"/>
      <c r="B899" s="29"/>
      <c r="F899" s="9"/>
      <c r="I899" s="12"/>
    </row>
    <row r="900">
      <c r="A900" s="29"/>
      <c r="B900" s="29"/>
      <c r="F900" s="9"/>
      <c r="I900" s="12"/>
    </row>
    <row r="901">
      <c r="A901" s="29"/>
      <c r="B901" s="29"/>
      <c r="F901" s="9"/>
      <c r="I901" s="12"/>
    </row>
    <row r="902">
      <c r="A902" s="29"/>
      <c r="B902" s="29"/>
      <c r="F902" s="9"/>
      <c r="I902" s="12"/>
    </row>
    <row r="903">
      <c r="A903" s="29"/>
      <c r="B903" s="29"/>
      <c r="F903" s="9"/>
      <c r="I903" s="12"/>
    </row>
    <row r="904">
      <c r="A904" s="29"/>
      <c r="B904" s="29"/>
      <c r="F904" s="9"/>
      <c r="I904" s="12"/>
    </row>
    <row r="905">
      <c r="A905" s="29"/>
      <c r="B905" s="29"/>
      <c r="F905" s="9"/>
      <c r="I905" s="12"/>
    </row>
    <row r="906">
      <c r="A906" s="29"/>
      <c r="B906" s="29"/>
      <c r="F906" s="9"/>
      <c r="I906" s="12"/>
    </row>
    <row r="907">
      <c r="A907" s="29"/>
      <c r="B907" s="29"/>
      <c r="F907" s="9"/>
      <c r="I907" s="12"/>
    </row>
    <row r="908">
      <c r="A908" s="29"/>
      <c r="B908" s="29"/>
      <c r="F908" s="9"/>
      <c r="I908" s="12"/>
    </row>
    <row r="909">
      <c r="A909" s="29"/>
      <c r="B909" s="29"/>
      <c r="F909" s="9"/>
      <c r="I909" s="12"/>
    </row>
    <row r="910">
      <c r="A910" s="29"/>
      <c r="B910" s="29"/>
      <c r="F910" s="9"/>
      <c r="I910" s="12"/>
    </row>
    <row r="911">
      <c r="A911" s="29"/>
      <c r="B911" s="29"/>
      <c r="F911" s="9"/>
      <c r="I911" s="12"/>
    </row>
    <row r="912">
      <c r="A912" s="29"/>
      <c r="B912" s="29"/>
      <c r="F912" s="9"/>
      <c r="I912" s="12"/>
    </row>
    <row r="913">
      <c r="A913" s="29"/>
      <c r="B913" s="29"/>
      <c r="F913" s="9"/>
      <c r="I913" s="12"/>
    </row>
    <row r="914">
      <c r="A914" s="29"/>
      <c r="B914" s="29"/>
      <c r="F914" s="9"/>
      <c r="I914" s="12"/>
    </row>
    <row r="915">
      <c r="A915" s="29"/>
      <c r="B915" s="29"/>
      <c r="F915" s="9"/>
      <c r="I915" s="12"/>
    </row>
    <row r="916">
      <c r="A916" s="29"/>
      <c r="B916" s="29"/>
      <c r="F916" s="9"/>
      <c r="I916" s="12"/>
    </row>
    <row r="917">
      <c r="A917" s="29"/>
      <c r="B917" s="29"/>
      <c r="F917" s="9"/>
      <c r="I917" s="12"/>
    </row>
    <row r="918">
      <c r="A918" s="29"/>
      <c r="B918" s="29"/>
      <c r="F918" s="9"/>
      <c r="I918" s="12"/>
    </row>
    <row r="919">
      <c r="A919" s="29"/>
      <c r="B919" s="29"/>
      <c r="F919" s="9"/>
      <c r="I919" s="12"/>
    </row>
    <row r="920">
      <c r="A920" s="29"/>
      <c r="B920" s="29"/>
      <c r="F920" s="9"/>
      <c r="I920" s="12"/>
    </row>
    <row r="921">
      <c r="A921" s="29"/>
      <c r="B921" s="29"/>
      <c r="F921" s="9"/>
      <c r="I921" s="12"/>
    </row>
    <row r="922">
      <c r="A922" s="29"/>
      <c r="B922" s="29"/>
      <c r="F922" s="9"/>
      <c r="I922" s="12"/>
    </row>
    <row r="923">
      <c r="A923" s="29"/>
      <c r="B923" s="29"/>
      <c r="F923" s="9"/>
      <c r="I923" s="12"/>
    </row>
    <row r="924">
      <c r="A924" s="29"/>
      <c r="B924" s="29"/>
      <c r="F924" s="9"/>
      <c r="I924" s="12"/>
    </row>
    <row r="925">
      <c r="A925" s="29"/>
      <c r="B925" s="29"/>
      <c r="F925" s="9"/>
      <c r="I925" s="12"/>
    </row>
    <row r="926">
      <c r="A926" s="29"/>
      <c r="B926" s="29"/>
      <c r="F926" s="9"/>
      <c r="I926" s="12"/>
    </row>
    <row r="927">
      <c r="A927" s="29"/>
      <c r="B927" s="29"/>
      <c r="F927" s="9"/>
      <c r="I927" s="12"/>
    </row>
    <row r="928">
      <c r="A928" s="29"/>
      <c r="B928" s="29"/>
      <c r="F928" s="9"/>
      <c r="I928" s="12"/>
    </row>
    <row r="929">
      <c r="A929" s="29"/>
      <c r="B929" s="29"/>
      <c r="F929" s="9"/>
      <c r="I929" s="12"/>
    </row>
    <row r="930">
      <c r="A930" s="29"/>
      <c r="B930" s="29"/>
      <c r="F930" s="9"/>
      <c r="I930" s="12"/>
    </row>
    <row r="931">
      <c r="A931" s="29"/>
      <c r="B931" s="29"/>
      <c r="F931" s="9"/>
      <c r="I931" s="12"/>
    </row>
    <row r="932">
      <c r="A932" s="29"/>
      <c r="B932" s="29"/>
      <c r="F932" s="9"/>
      <c r="I932" s="12"/>
    </row>
    <row r="933">
      <c r="A933" s="29"/>
      <c r="B933" s="29"/>
      <c r="F933" s="9"/>
      <c r="I933" s="12"/>
    </row>
    <row r="934">
      <c r="A934" s="29"/>
      <c r="B934" s="29"/>
      <c r="F934" s="9"/>
      <c r="I934" s="12"/>
    </row>
    <row r="935">
      <c r="A935" s="29"/>
      <c r="B935" s="29"/>
      <c r="F935" s="9"/>
      <c r="I935" s="12"/>
    </row>
    <row r="936">
      <c r="A936" s="29"/>
      <c r="B936" s="29"/>
      <c r="F936" s="9"/>
      <c r="I936" s="12"/>
    </row>
    <row r="937">
      <c r="A937" s="29"/>
      <c r="B937" s="29"/>
      <c r="F937" s="9"/>
      <c r="I937" s="12"/>
    </row>
    <row r="938">
      <c r="A938" s="29"/>
      <c r="B938" s="29"/>
      <c r="F938" s="9"/>
      <c r="I938" s="12"/>
    </row>
    <row r="939">
      <c r="A939" s="29"/>
      <c r="B939" s="29"/>
      <c r="F939" s="9"/>
      <c r="I939" s="12"/>
    </row>
    <row r="940">
      <c r="A940" s="29"/>
      <c r="B940" s="29"/>
      <c r="F940" s="9"/>
      <c r="I940" s="12"/>
    </row>
    <row r="941">
      <c r="A941" s="29"/>
      <c r="B941" s="29"/>
      <c r="F941" s="9"/>
      <c r="I941" s="12"/>
    </row>
    <row r="942">
      <c r="A942" s="29"/>
      <c r="B942" s="29"/>
      <c r="F942" s="9"/>
      <c r="I942" s="12"/>
    </row>
    <row r="943">
      <c r="A943" s="29"/>
      <c r="B943" s="29"/>
      <c r="F943" s="9"/>
      <c r="I943" s="12"/>
    </row>
    <row r="944">
      <c r="A944" s="29"/>
      <c r="B944" s="29"/>
      <c r="F944" s="9"/>
      <c r="I944" s="12"/>
    </row>
    <row r="945">
      <c r="A945" s="29"/>
      <c r="B945" s="29"/>
      <c r="F945" s="9"/>
      <c r="I945" s="12"/>
    </row>
    <row r="946">
      <c r="A946" s="29"/>
      <c r="B946" s="29"/>
      <c r="F946" s="9"/>
      <c r="I946" s="12"/>
    </row>
    <row r="947">
      <c r="A947" s="29"/>
      <c r="B947" s="29"/>
      <c r="F947" s="9"/>
      <c r="I947" s="12"/>
    </row>
    <row r="948">
      <c r="A948" s="29"/>
      <c r="B948" s="29"/>
      <c r="F948" s="9"/>
      <c r="I948" s="12"/>
    </row>
    <row r="949">
      <c r="A949" s="29"/>
      <c r="B949" s="29"/>
      <c r="F949" s="9"/>
      <c r="I949" s="12"/>
    </row>
    <row r="950">
      <c r="A950" s="29"/>
      <c r="B950" s="29"/>
      <c r="F950" s="9"/>
      <c r="I950" s="12"/>
    </row>
    <row r="951">
      <c r="A951" s="29"/>
      <c r="B951" s="29"/>
      <c r="F951" s="9"/>
      <c r="I951" s="12"/>
    </row>
    <row r="952">
      <c r="A952" s="29"/>
      <c r="B952" s="29"/>
      <c r="F952" s="9"/>
      <c r="I952" s="12"/>
    </row>
    <row r="953">
      <c r="A953" s="29"/>
      <c r="B953" s="29"/>
      <c r="F953" s="9"/>
      <c r="I953" s="12"/>
    </row>
    <row r="954">
      <c r="A954" s="29"/>
      <c r="B954" s="29"/>
      <c r="F954" s="9"/>
      <c r="I954" s="12"/>
    </row>
    <row r="955">
      <c r="A955" s="29"/>
      <c r="B955" s="29"/>
      <c r="F955" s="9"/>
      <c r="I955" s="12"/>
    </row>
    <row r="956">
      <c r="A956" s="29"/>
      <c r="B956" s="29"/>
      <c r="F956" s="9"/>
      <c r="I956" s="12"/>
    </row>
    <row r="957">
      <c r="A957" s="29"/>
      <c r="B957" s="29"/>
      <c r="F957" s="9"/>
      <c r="I957" s="12"/>
    </row>
    <row r="958">
      <c r="A958" s="29"/>
      <c r="B958" s="29"/>
      <c r="F958" s="9"/>
      <c r="I958" s="12"/>
    </row>
    <row r="959">
      <c r="A959" s="29"/>
      <c r="B959" s="29"/>
      <c r="F959" s="9"/>
      <c r="I959" s="12"/>
    </row>
    <row r="960">
      <c r="A960" s="29"/>
      <c r="B960" s="29"/>
      <c r="F960" s="9"/>
      <c r="I960" s="12"/>
    </row>
    <row r="961">
      <c r="A961" s="29"/>
      <c r="B961" s="29"/>
      <c r="F961" s="9"/>
      <c r="I961" s="12"/>
    </row>
    <row r="962">
      <c r="A962" s="29"/>
      <c r="B962" s="29"/>
      <c r="F962" s="9"/>
      <c r="I962" s="12"/>
    </row>
    <row r="963">
      <c r="A963" s="29"/>
      <c r="B963" s="29"/>
      <c r="F963" s="9"/>
      <c r="I963" s="12"/>
    </row>
    <row r="964">
      <c r="A964" s="29"/>
      <c r="B964" s="29"/>
      <c r="F964" s="9"/>
      <c r="I964" s="12"/>
    </row>
    <row r="965">
      <c r="A965" s="29"/>
      <c r="B965" s="29"/>
      <c r="F965" s="9"/>
      <c r="I965" s="12"/>
    </row>
    <row r="966">
      <c r="A966" s="29"/>
      <c r="B966" s="29"/>
      <c r="F966" s="9"/>
      <c r="I966" s="12"/>
    </row>
    <row r="967">
      <c r="A967" s="29"/>
      <c r="B967" s="29"/>
      <c r="F967" s="9"/>
      <c r="I967" s="12"/>
    </row>
    <row r="968">
      <c r="A968" s="29"/>
      <c r="B968" s="29"/>
      <c r="F968" s="9"/>
      <c r="I968" s="12"/>
    </row>
    <row r="969">
      <c r="A969" s="29"/>
      <c r="B969" s="29"/>
      <c r="F969" s="9"/>
      <c r="I969" s="12"/>
    </row>
    <row r="970">
      <c r="A970" s="29"/>
      <c r="B970" s="29"/>
      <c r="F970" s="9"/>
      <c r="I970" s="12"/>
    </row>
    <row r="971">
      <c r="A971" s="29"/>
      <c r="B971" s="29"/>
      <c r="F971" s="9"/>
      <c r="I971" s="12"/>
    </row>
    <row r="972">
      <c r="A972" s="29"/>
      <c r="B972" s="29"/>
      <c r="F972" s="9"/>
      <c r="I972" s="12"/>
    </row>
    <row r="973">
      <c r="A973" s="29"/>
      <c r="B973" s="29"/>
      <c r="F973" s="9"/>
      <c r="I973" s="12"/>
    </row>
    <row r="974">
      <c r="A974" s="29"/>
      <c r="B974" s="29"/>
      <c r="F974" s="9"/>
      <c r="I974" s="12"/>
    </row>
    <row r="975">
      <c r="A975" s="29"/>
      <c r="B975" s="29"/>
      <c r="F975" s="9"/>
      <c r="I975" s="12"/>
    </row>
    <row r="976">
      <c r="A976" s="29"/>
      <c r="B976" s="29"/>
      <c r="F976" s="9"/>
      <c r="I976" s="12"/>
    </row>
    <row r="977">
      <c r="A977" s="29"/>
      <c r="B977" s="29"/>
      <c r="F977" s="9"/>
      <c r="I977" s="12"/>
    </row>
    <row r="978">
      <c r="A978" s="29"/>
      <c r="B978" s="29"/>
      <c r="F978" s="9"/>
      <c r="I978" s="12"/>
    </row>
    <row r="979">
      <c r="A979" s="29"/>
      <c r="B979" s="29"/>
      <c r="F979" s="9"/>
      <c r="I979" s="12"/>
    </row>
    <row r="980">
      <c r="A980" s="29"/>
      <c r="B980" s="29"/>
      <c r="F980" s="9"/>
      <c r="I980" s="12"/>
    </row>
    <row r="981">
      <c r="A981" s="29"/>
      <c r="B981" s="29"/>
      <c r="F981" s="9"/>
      <c r="I981" s="12"/>
    </row>
    <row r="982">
      <c r="A982" s="29"/>
      <c r="B982" s="29"/>
      <c r="F982" s="9"/>
      <c r="I982" s="12"/>
    </row>
    <row r="983">
      <c r="A983" s="29"/>
      <c r="B983" s="29"/>
      <c r="F983" s="9"/>
      <c r="I983" s="12"/>
    </row>
    <row r="984">
      <c r="A984" s="29"/>
      <c r="B984" s="29"/>
      <c r="F984" s="9"/>
      <c r="I984" s="12"/>
    </row>
    <row r="985">
      <c r="A985" s="29"/>
      <c r="B985" s="29"/>
      <c r="F985" s="9"/>
      <c r="I985" s="12"/>
    </row>
    <row r="986">
      <c r="A986" s="29"/>
      <c r="B986" s="29"/>
      <c r="F986" s="9"/>
      <c r="I986" s="12"/>
    </row>
    <row r="987">
      <c r="A987" s="29"/>
      <c r="B987" s="29"/>
      <c r="F987" s="9"/>
      <c r="I987" s="12"/>
    </row>
    <row r="988">
      <c r="A988" s="29"/>
      <c r="B988" s="29"/>
      <c r="F988" s="9"/>
      <c r="I988" s="12"/>
    </row>
    <row r="989">
      <c r="A989" s="29"/>
      <c r="B989" s="29"/>
      <c r="F989" s="9"/>
      <c r="I989" s="12"/>
    </row>
    <row r="990">
      <c r="A990" s="29"/>
      <c r="B990" s="29"/>
      <c r="F990" s="9"/>
      <c r="I990" s="12"/>
    </row>
    <row r="991">
      <c r="A991" s="29"/>
      <c r="B991" s="29"/>
      <c r="F991" s="9"/>
      <c r="I991" s="12"/>
    </row>
    <row r="992">
      <c r="A992" s="29"/>
      <c r="B992" s="29"/>
      <c r="F992" s="9"/>
      <c r="I992" s="12"/>
    </row>
    <row r="993">
      <c r="A993" s="29"/>
      <c r="B993" s="29"/>
      <c r="F993" s="9"/>
      <c r="I993" s="12"/>
    </row>
    <row r="994">
      <c r="A994" s="29"/>
      <c r="B994" s="29"/>
      <c r="F994" s="9"/>
      <c r="I994" s="12"/>
    </row>
    <row r="995">
      <c r="A995" s="29"/>
      <c r="B995" s="29"/>
      <c r="F995" s="9"/>
      <c r="I995" s="12"/>
    </row>
    <row r="996">
      <c r="A996" s="29"/>
      <c r="B996" s="29"/>
      <c r="F996" s="9"/>
      <c r="I996" s="12"/>
    </row>
    <row r="997">
      <c r="A997" s="29"/>
      <c r="B997" s="29"/>
      <c r="F997" s="9"/>
      <c r="I997" s="12"/>
    </row>
    <row r="998">
      <c r="A998" s="29"/>
      <c r="B998" s="29"/>
      <c r="F998" s="9"/>
      <c r="I998" s="12"/>
    </row>
    <row r="999">
      <c r="A999" s="29"/>
      <c r="B999" s="29"/>
      <c r="F999" s="9"/>
      <c r="I999" s="12"/>
    </row>
    <row r="1000">
      <c r="A1000" s="29"/>
      <c r="B1000" s="29"/>
      <c r="F1000" s="9"/>
      <c r="I1000" s="12"/>
    </row>
    <row r="1001">
      <c r="A1001" s="29"/>
      <c r="B1001" s="29"/>
      <c r="F1001" s="9"/>
      <c r="I1001" s="12"/>
    </row>
    <row r="1002">
      <c r="A1002" s="29"/>
      <c r="B1002" s="29"/>
      <c r="F1002" s="9"/>
      <c r="I1002" s="12"/>
    </row>
  </sheetData>
  <autoFilter ref="$A$1:$K$45">
    <sortState ref="A1:K45">
      <sortCondition ref="A1:A45"/>
    </sortState>
  </autoFilter>
  <conditionalFormatting sqref="J1:K1002">
    <cfRule type="colorScale" priority="1">
      <colorScale>
        <cfvo type="formula" val="0"/>
        <cfvo type="percentile" val="70"/>
        <cfvo type="formula" val="90"/>
        <color rgb="FF00FF00"/>
        <color rgb="FF57BB8A"/>
        <color rgb="FFFF0000"/>
      </colorScale>
    </cfRule>
  </conditionalFormatting>
  <conditionalFormatting sqref="N40:N51">
    <cfRule type="cellIs" dxfId="0" priority="2" operator="greaterThanOrEqual">
      <formula>"17/07/2026"</formula>
    </cfRule>
  </conditionalFormatting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</hyperlinks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71"/>
    <col customWidth="1" min="2" max="2" width="10.14"/>
    <col customWidth="1" min="3" max="4" width="9.86"/>
    <col customWidth="1" min="5" max="6" width="12.57"/>
    <col customWidth="1" min="7" max="8" width="11.43"/>
    <col customWidth="1" min="9" max="9" width="12.86"/>
    <col customWidth="1" min="10" max="10" width="13.29"/>
    <col customWidth="1" min="11" max="11" width="11.43"/>
    <col customWidth="1" min="12" max="13" width="11.86"/>
    <col customWidth="1" min="14" max="14" width="12.43"/>
    <col customWidth="1" min="15" max="15" width="11.43"/>
    <col customWidth="1" min="16" max="16" width="11.86"/>
    <col customWidth="1" min="17" max="17" width="10.71"/>
    <col customWidth="1" min="18" max="18" width="15.57"/>
    <col customWidth="1" min="19" max="20" width="14.0"/>
    <col customWidth="1" min="21" max="21" width="12.57"/>
    <col customWidth="1" min="22" max="22" width="8.14"/>
    <col customWidth="1" min="23" max="23" width="9.0"/>
    <col customWidth="1" min="24" max="24" width="13.14"/>
    <col customWidth="1" min="25" max="25" width="13.43"/>
    <col customWidth="1" min="26" max="28" width="11.86"/>
    <col customWidth="1" min="29" max="29" width="13.14"/>
    <col customWidth="1" min="30" max="32" width="10.71"/>
  </cols>
  <sheetData>
    <row r="1">
      <c r="A1" s="30" t="s">
        <v>71</v>
      </c>
      <c r="B1" s="31"/>
      <c r="C1" s="32"/>
      <c r="D1" s="33"/>
      <c r="E1" s="33"/>
      <c r="F1" s="33"/>
      <c r="G1" s="33"/>
      <c r="H1" s="33"/>
      <c r="I1" s="33"/>
      <c r="J1" s="34"/>
      <c r="K1" s="33"/>
      <c r="L1" s="34"/>
      <c r="M1" s="35"/>
      <c r="N1" s="33"/>
      <c r="O1" s="33"/>
      <c r="P1" s="36"/>
      <c r="R1" s="37" t="s">
        <v>72</v>
      </c>
      <c r="S1" s="38"/>
      <c r="T1" s="38"/>
      <c r="U1" s="38"/>
      <c r="V1" s="38"/>
      <c r="W1" s="39"/>
      <c r="X1" s="40" t="s">
        <v>73</v>
      </c>
      <c r="Y1" s="41" t="s">
        <v>74</v>
      </c>
    </row>
    <row r="2">
      <c r="A2" s="42" t="s">
        <v>75</v>
      </c>
      <c r="B2" s="43" t="s">
        <v>76</v>
      </c>
      <c r="C2" s="44" t="s">
        <v>77</v>
      </c>
      <c r="D2" s="45" t="s">
        <v>3</v>
      </c>
      <c r="E2" s="46" t="s">
        <v>78</v>
      </c>
      <c r="F2" s="47" t="s">
        <v>79</v>
      </c>
      <c r="G2" s="46" t="s">
        <v>80</v>
      </c>
      <c r="H2" s="46" t="s">
        <v>81</v>
      </c>
      <c r="I2" s="46" t="s">
        <v>82</v>
      </c>
      <c r="J2" s="48" t="s">
        <v>83</v>
      </c>
      <c r="K2" s="46" t="s">
        <v>84</v>
      </c>
      <c r="L2" s="49" t="s">
        <v>85</v>
      </c>
      <c r="M2" s="50" t="s">
        <v>86</v>
      </c>
      <c r="N2" s="51" t="s">
        <v>87</v>
      </c>
      <c r="O2" s="52" t="s">
        <v>88</v>
      </c>
      <c r="P2" s="53" t="s">
        <v>89</v>
      </c>
      <c r="R2" s="40" t="s">
        <v>90</v>
      </c>
      <c r="S2" s="54"/>
      <c r="T2" s="55">
        <f>AD4</f>
        <v>0.02424642857</v>
      </c>
      <c r="U2" s="56">
        <v>24000.0</v>
      </c>
      <c r="V2" s="57">
        <f>(U2*T2)*111.5%</f>
        <v>648.8344286</v>
      </c>
      <c r="W2" s="58">
        <f>(U2/T3)*111.5%</f>
        <v>235.9754143</v>
      </c>
      <c r="X2" s="59">
        <v>20.0</v>
      </c>
      <c r="Y2" s="60">
        <v>20.0</v>
      </c>
    </row>
    <row r="3">
      <c r="A3" s="61" t="s">
        <v>91</v>
      </c>
      <c r="B3" s="62" t="s">
        <v>92</v>
      </c>
      <c r="C3" s="63">
        <v>1.0</v>
      </c>
      <c r="D3" s="64">
        <v>18400.0</v>
      </c>
      <c r="E3" s="65">
        <v>1000.0</v>
      </c>
      <c r="F3" s="66">
        <v>25500.0</v>
      </c>
      <c r="G3" s="65">
        <v>1780.0</v>
      </c>
      <c r="H3" s="66">
        <f t="shared" ref="H3:H180" si="1">SUM(E3:G3)</f>
        <v>28280</v>
      </c>
      <c r="I3" s="67">
        <f t="shared" ref="I3:I26" si="2">(LOOKUP(O3,$R$16:$R$27,$X$16:$X$27)*D3)/LOOKUP(O3,$R$16:$R$27,$T$16:$T$27)</f>
        <v>15342.46575</v>
      </c>
      <c r="J3" s="68">
        <f t="shared" ref="J3:J180" si="3">I3*$T$2</f>
        <v>372</v>
      </c>
      <c r="K3" s="69">
        <f t="shared" ref="K3:K180" si="4">(H3*$T$2)+(I3*$T$2)</f>
        <v>1057.689</v>
      </c>
      <c r="L3" s="70">
        <f t="shared" ref="L3:L180" si="5">(LOOKUP(O3,$R$16:$R$27,$Z$16:$Z$27)*F3)/LOOKUP(O3,$R$16:$R$27,$U$16:$U$27)+K3</f>
        <v>1356.288631</v>
      </c>
      <c r="M3" s="71">
        <v>3000.0</v>
      </c>
      <c r="N3" s="72">
        <f t="shared" ref="N3:N148" si="6">M3-L3</f>
        <v>1643.711369</v>
      </c>
      <c r="O3" s="65">
        <v>1.0</v>
      </c>
      <c r="P3" s="73">
        <v>1.0</v>
      </c>
      <c r="S3" s="74"/>
      <c r="T3" s="75">
        <f>AE3</f>
        <v>113.4016443</v>
      </c>
      <c r="U3" s="76"/>
      <c r="V3" s="2" t="s">
        <v>84</v>
      </c>
      <c r="W3" s="2" t="s">
        <v>93</v>
      </c>
      <c r="AC3" s="2">
        <v>28000.0</v>
      </c>
      <c r="AD3" s="2">
        <v>246.91</v>
      </c>
      <c r="AE3" s="8">
        <f>AC3/AD3</f>
        <v>113.4016443</v>
      </c>
    </row>
    <row r="4">
      <c r="A4" s="61" t="s">
        <v>91</v>
      </c>
      <c r="B4" s="77" t="s">
        <v>92</v>
      </c>
      <c r="C4" s="63">
        <v>4.0</v>
      </c>
      <c r="D4" s="78">
        <v>352.0</v>
      </c>
      <c r="E4" s="79">
        <v>1000.0</v>
      </c>
      <c r="F4" s="80">
        <v>12.0</v>
      </c>
      <c r="G4" s="79">
        <v>990.0</v>
      </c>
      <c r="H4" s="81">
        <f t="shared" si="1"/>
        <v>2002</v>
      </c>
      <c r="I4" s="67">
        <f t="shared" si="2"/>
        <v>293.5080405</v>
      </c>
      <c r="J4" s="68">
        <f t="shared" si="3"/>
        <v>7.116521739</v>
      </c>
      <c r="K4" s="82">
        <f t="shared" si="4"/>
        <v>55.65787174</v>
      </c>
      <c r="L4" s="70">
        <f t="shared" si="5"/>
        <v>55.79838921</v>
      </c>
      <c r="M4" s="83">
        <v>100.0</v>
      </c>
      <c r="N4" s="84">
        <f t="shared" si="6"/>
        <v>44.20161079</v>
      </c>
      <c r="O4" s="79">
        <v>1.0</v>
      </c>
      <c r="P4" s="73">
        <v>1.0</v>
      </c>
      <c r="R4" s="85" t="s">
        <v>94</v>
      </c>
      <c r="S4" s="86">
        <f>SUM(F:F)</f>
        <v>1576737</v>
      </c>
      <c r="T4" s="87">
        <f t="shared" ref="T4:T8" si="7">$T$2*S4</f>
        <v>38230.24105</v>
      </c>
      <c r="W4" s="88" t="s">
        <v>95</v>
      </c>
      <c r="X4" s="39"/>
      <c r="AC4" s="2">
        <v>678.9</v>
      </c>
      <c r="AD4" s="8">
        <f>AC4/AC3</f>
        <v>0.02424642857</v>
      </c>
    </row>
    <row r="5">
      <c r="A5" s="61" t="s">
        <v>91</v>
      </c>
      <c r="B5" s="77" t="s">
        <v>96</v>
      </c>
      <c r="C5" s="63">
        <v>5.0</v>
      </c>
      <c r="D5" s="78">
        <v>402.0</v>
      </c>
      <c r="E5" s="79">
        <v>1000.0</v>
      </c>
      <c r="F5" s="80">
        <v>1.0</v>
      </c>
      <c r="G5" s="79">
        <v>3350.0</v>
      </c>
      <c r="H5" s="81">
        <f t="shared" si="1"/>
        <v>4351</v>
      </c>
      <c r="I5" s="67">
        <f t="shared" si="2"/>
        <v>335.1995235</v>
      </c>
      <c r="J5" s="68">
        <f t="shared" si="3"/>
        <v>8.127391304</v>
      </c>
      <c r="K5" s="82">
        <f t="shared" si="4"/>
        <v>113.623602</v>
      </c>
      <c r="L5" s="70">
        <f t="shared" si="5"/>
        <v>113.6353118</v>
      </c>
      <c r="M5" s="83">
        <v>60.0</v>
      </c>
      <c r="N5" s="84">
        <f t="shared" si="6"/>
        <v>-53.63531181</v>
      </c>
      <c r="O5" s="79">
        <v>1.0</v>
      </c>
      <c r="P5" s="73">
        <v>1.0</v>
      </c>
      <c r="R5" s="89" t="s">
        <v>80</v>
      </c>
      <c r="S5" s="90">
        <f>SUM(G:G)</f>
        <v>147724</v>
      </c>
      <c r="T5" s="91">
        <f t="shared" si="7"/>
        <v>3581.779414</v>
      </c>
      <c r="W5" s="92">
        <f>NOW()+(2/24)+((X2/24))+(Y2/1440)</f>
        <v>46204.84492</v>
      </c>
      <c r="X5" s="39"/>
    </row>
    <row r="6">
      <c r="A6" s="61" t="s">
        <v>91</v>
      </c>
      <c r="B6" s="77" t="s">
        <v>96</v>
      </c>
      <c r="C6" s="63">
        <v>14.0</v>
      </c>
      <c r="D6" s="78">
        <v>470.0</v>
      </c>
      <c r="E6" s="79">
        <v>1000.0</v>
      </c>
      <c r="F6" s="80">
        <v>1.0</v>
      </c>
      <c r="G6" s="79">
        <v>3800.0</v>
      </c>
      <c r="H6" s="81">
        <f t="shared" si="1"/>
        <v>4801</v>
      </c>
      <c r="I6" s="67">
        <f t="shared" si="2"/>
        <v>391.8999404</v>
      </c>
      <c r="J6" s="68">
        <f t="shared" si="3"/>
        <v>9.502173913</v>
      </c>
      <c r="K6" s="82">
        <f t="shared" si="4"/>
        <v>125.9092775</v>
      </c>
      <c r="L6" s="70">
        <f t="shared" si="5"/>
        <v>125.9209873</v>
      </c>
      <c r="M6" s="83">
        <v>55.0</v>
      </c>
      <c r="N6" s="84">
        <f t="shared" si="6"/>
        <v>-70.92098727</v>
      </c>
      <c r="O6" s="79">
        <v>1.0</v>
      </c>
      <c r="P6" s="73">
        <v>1.0</v>
      </c>
      <c r="R6" s="89" t="s">
        <v>82</v>
      </c>
      <c r="S6" s="90">
        <f>SUM(I:I)</f>
        <v>662748.4692</v>
      </c>
      <c r="T6" s="91">
        <f t="shared" si="7"/>
        <v>16069.28342</v>
      </c>
      <c r="Y6" s="93"/>
      <c r="Z6" s="93"/>
      <c r="AA6" s="93"/>
    </row>
    <row r="7">
      <c r="A7" s="61" t="s">
        <v>91</v>
      </c>
      <c r="B7" s="77" t="s">
        <v>96</v>
      </c>
      <c r="C7" s="63">
        <v>26.0</v>
      </c>
      <c r="D7" s="78">
        <v>524.0</v>
      </c>
      <c r="E7" s="79">
        <v>500.0</v>
      </c>
      <c r="F7" s="80">
        <v>1500.0</v>
      </c>
      <c r="G7" s="79">
        <v>0.0</v>
      </c>
      <c r="H7" s="81">
        <f t="shared" si="1"/>
        <v>2000</v>
      </c>
      <c r="I7" s="67">
        <f t="shared" si="2"/>
        <v>436.9267421</v>
      </c>
      <c r="J7" s="68">
        <f t="shared" si="3"/>
        <v>10.59391304</v>
      </c>
      <c r="K7" s="82">
        <f t="shared" si="4"/>
        <v>59.08677019</v>
      </c>
      <c r="L7" s="70">
        <f t="shared" si="5"/>
        <v>76.65145439</v>
      </c>
      <c r="M7" s="83">
        <v>100.0</v>
      </c>
      <c r="N7" s="84">
        <f t="shared" si="6"/>
        <v>23.34854561</v>
      </c>
      <c r="O7" s="79">
        <v>1.0</v>
      </c>
      <c r="P7" s="94">
        <v>1.0</v>
      </c>
      <c r="R7" s="89" t="s">
        <v>78</v>
      </c>
      <c r="S7" s="90">
        <f>SUM(E:E)</f>
        <v>119800</v>
      </c>
      <c r="T7" s="91">
        <f t="shared" si="7"/>
        <v>2904.722143</v>
      </c>
    </row>
    <row r="8">
      <c r="A8" s="61" t="s">
        <v>91</v>
      </c>
      <c r="B8" s="95" t="s">
        <v>92</v>
      </c>
      <c r="C8" s="96">
        <v>20.0</v>
      </c>
      <c r="D8" s="97">
        <v>1826.0</v>
      </c>
      <c r="E8" s="98">
        <v>1000.0</v>
      </c>
      <c r="F8" s="99">
        <v>5165.0</v>
      </c>
      <c r="G8" s="98">
        <v>880.0</v>
      </c>
      <c r="H8" s="100">
        <f t="shared" si="1"/>
        <v>7045</v>
      </c>
      <c r="I8" s="67">
        <f t="shared" si="2"/>
        <v>1522.174058</v>
      </c>
      <c r="J8" s="68">
        <f t="shared" si="3"/>
        <v>36.90728457</v>
      </c>
      <c r="K8" s="101">
        <f t="shared" si="4"/>
        <v>207.7233739</v>
      </c>
      <c r="L8" s="70">
        <f t="shared" si="5"/>
        <v>257.7966098</v>
      </c>
      <c r="M8" s="102">
        <v>200.0</v>
      </c>
      <c r="N8" s="84">
        <f t="shared" si="6"/>
        <v>-57.79660977</v>
      </c>
      <c r="O8" s="98">
        <v>2.0</v>
      </c>
      <c r="P8" s="94">
        <v>2.0</v>
      </c>
      <c r="R8" s="103" t="s">
        <v>97</v>
      </c>
      <c r="S8" s="104">
        <f>SUM(H:H)+M1</f>
        <v>1844261</v>
      </c>
      <c r="T8" s="105">
        <f t="shared" si="7"/>
        <v>44716.7426</v>
      </c>
    </row>
    <row r="9">
      <c r="A9" s="61" t="s">
        <v>91</v>
      </c>
      <c r="B9" s="95" t="s">
        <v>98</v>
      </c>
      <c r="C9" s="96">
        <v>21.0</v>
      </c>
      <c r="D9" s="97">
        <v>914.0</v>
      </c>
      <c r="E9" s="98">
        <v>500.0</v>
      </c>
      <c r="F9" s="99">
        <v>7763.0</v>
      </c>
      <c r="G9" s="98">
        <v>880.0</v>
      </c>
      <c r="H9" s="100">
        <f t="shared" si="1"/>
        <v>9143</v>
      </c>
      <c r="I9" s="67">
        <f t="shared" si="2"/>
        <v>761.9206402</v>
      </c>
      <c r="J9" s="68">
        <f t="shared" si="3"/>
        <v>18.47385438</v>
      </c>
      <c r="K9" s="101">
        <f t="shared" si="4"/>
        <v>240.1589508</v>
      </c>
      <c r="L9" s="70">
        <f t="shared" si="5"/>
        <v>315.4190729</v>
      </c>
      <c r="M9" s="102">
        <v>600.0</v>
      </c>
      <c r="N9" s="84">
        <f t="shared" si="6"/>
        <v>284.5809271</v>
      </c>
      <c r="O9" s="98">
        <v>2.0</v>
      </c>
      <c r="P9" s="94">
        <v>2.0</v>
      </c>
      <c r="T9" s="106">
        <f>SUM(K:K)</f>
        <v>60786.02602</v>
      </c>
      <c r="W9" s="107" t="s">
        <v>99</v>
      </c>
      <c r="X9" s="108">
        <f>SUMIF(N:N,"&lt;0")</f>
        <v>-10240.15217</v>
      </c>
    </row>
    <row r="10">
      <c r="A10" s="61" t="s">
        <v>91</v>
      </c>
      <c r="B10" s="95" t="s">
        <v>92</v>
      </c>
      <c r="C10" s="96">
        <v>24.0</v>
      </c>
      <c r="D10" s="97">
        <v>13350.0</v>
      </c>
      <c r="E10" s="98">
        <v>1000.0</v>
      </c>
      <c r="F10" s="99">
        <v>11200.0</v>
      </c>
      <c r="G10" s="98">
        <v>1970.0</v>
      </c>
      <c r="H10" s="100">
        <f t="shared" si="1"/>
        <v>14170</v>
      </c>
      <c r="I10" s="67">
        <f t="shared" si="2"/>
        <v>11128.70957</v>
      </c>
      <c r="J10" s="68">
        <f t="shared" si="3"/>
        <v>269.8314617</v>
      </c>
      <c r="K10" s="101">
        <f t="shared" si="4"/>
        <v>613.4033545</v>
      </c>
      <c r="L10" s="70">
        <f t="shared" si="5"/>
        <v>721.984234</v>
      </c>
      <c r="M10" s="102">
        <v>1500.0</v>
      </c>
      <c r="N10" s="84">
        <f t="shared" si="6"/>
        <v>778.015766</v>
      </c>
      <c r="O10" s="98">
        <v>2.0</v>
      </c>
      <c r="P10" s="94">
        <v>2.0</v>
      </c>
      <c r="S10" s="85" t="s">
        <v>100</v>
      </c>
      <c r="T10" s="109">
        <f>SUM(M:M)</f>
        <v>94691.02572</v>
      </c>
    </row>
    <row r="11">
      <c r="A11" s="61" t="s">
        <v>91</v>
      </c>
      <c r="B11" s="95" t="s">
        <v>96</v>
      </c>
      <c r="C11" s="96">
        <v>29.0</v>
      </c>
      <c r="D11" s="97">
        <v>1904.0</v>
      </c>
      <c r="E11" s="98">
        <v>1000.0</v>
      </c>
      <c r="F11" s="99">
        <v>4200.0</v>
      </c>
      <c r="G11" s="98">
        <v>0.0</v>
      </c>
      <c r="H11" s="100">
        <f t="shared" si="1"/>
        <v>5200</v>
      </c>
      <c r="I11" s="67">
        <f t="shared" si="2"/>
        <v>1587.195732</v>
      </c>
      <c r="J11" s="68">
        <f t="shared" si="3"/>
        <v>38.48382794</v>
      </c>
      <c r="K11" s="101">
        <f t="shared" si="4"/>
        <v>164.5652565</v>
      </c>
      <c r="L11" s="70">
        <f t="shared" si="5"/>
        <v>205.2830863</v>
      </c>
      <c r="M11" s="102">
        <v>300.0</v>
      </c>
      <c r="N11" s="84">
        <f t="shared" si="6"/>
        <v>94.7169137</v>
      </c>
      <c r="O11" s="98">
        <v>2.0</v>
      </c>
      <c r="P11" s="110">
        <v>2.0</v>
      </c>
      <c r="S11" s="93"/>
      <c r="T11" s="103" t="s">
        <v>87</v>
      </c>
      <c r="U11" s="111">
        <f>SUM(M:M)-SUM(L:L)</f>
        <v>22547.83282</v>
      </c>
    </row>
    <row r="12">
      <c r="A12" s="61" t="s">
        <v>91</v>
      </c>
      <c r="B12" s="112" t="s">
        <v>92</v>
      </c>
      <c r="C12" s="113">
        <v>3.0</v>
      </c>
      <c r="D12" s="114">
        <v>12180.0</v>
      </c>
      <c r="E12" s="115">
        <v>1000.0</v>
      </c>
      <c r="F12" s="116">
        <v>14050.0</v>
      </c>
      <c r="G12" s="115">
        <v>0.0</v>
      </c>
      <c r="H12" s="117">
        <f t="shared" si="1"/>
        <v>15050</v>
      </c>
      <c r="I12" s="67">
        <f t="shared" si="2"/>
        <v>8804.819277</v>
      </c>
      <c r="J12" s="68">
        <f t="shared" si="3"/>
        <v>213.4854217</v>
      </c>
      <c r="K12" s="118">
        <f t="shared" si="4"/>
        <v>578.3941717</v>
      </c>
      <c r="L12" s="70">
        <f t="shared" si="5"/>
        <v>578.3941717</v>
      </c>
      <c r="M12" s="119">
        <v>1500.0</v>
      </c>
      <c r="N12" s="84">
        <f t="shared" si="6"/>
        <v>921.6058283</v>
      </c>
      <c r="O12" s="115">
        <v>4.0</v>
      </c>
      <c r="P12" s="120">
        <v>3.0</v>
      </c>
      <c r="S12" s="2"/>
      <c r="T12" s="2" t="s">
        <v>101</v>
      </c>
      <c r="U12" s="121">
        <f>SUM(M:M)-SUM(K:K)</f>
        <v>33904.9997</v>
      </c>
    </row>
    <row r="13">
      <c r="A13" s="61" t="s">
        <v>91</v>
      </c>
      <c r="B13" s="112" t="s">
        <v>92</v>
      </c>
      <c r="C13" s="113">
        <v>70.0</v>
      </c>
      <c r="D13" s="114">
        <v>6910.0</v>
      </c>
      <c r="E13" s="115">
        <v>500.0</v>
      </c>
      <c r="F13" s="116">
        <v>14780.0</v>
      </c>
      <c r="G13" s="115">
        <v>1500.0</v>
      </c>
      <c r="H13" s="117">
        <f t="shared" si="1"/>
        <v>16780</v>
      </c>
      <c r="I13" s="67">
        <f t="shared" si="2"/>
        <v>4995.180723</v>
      </c>
      <c r="J13" s="68">
        <f t="shared" si="3"/>
        <v>121.1152926</v>
      </c>
      <c r="K13" s="118">
        <f t="shared" si="4"/>
        <v>527.970364</v>
      </c>
      <c r="L13" s="70">
        <f t="shared" si="5"/>
        <v>527.970364</v>
      </c>
      <c r="M13" s="119">
        <v>1200.0</v>
      </c>
      <c r="N13" s="84">
        <f t="shared" si="6"/>
        <v>672.029636</v>
      </c>
      <c r="O13" s="115">
        <v>4.0</v>
      </c>
      <c r="P13" s="122">
        <v>3.0</v>
      </c>
      <c r="W13" s="123"/>
      <c r="X13" s="123"/>
      <c r="Y13" s="123"/>
      <c r="AC13" s="123"/>
    </row>
    <row r="14">
      <c r="A14" s="61" t="s">
        <v>91</v>
      </c>
      <c r="B14" s="124" t="s">
        <v>96</v>
      </c>
      <c r="C14" s="125">
        <v>28.0</v>
      </c>
      <c r="D14" s="126">
        <v>5048.0</v>
      </c>
      <c r="E14" s="127">
        <v>1000.0</v>
      </c>
      <c r="F14" s="128">
        <v>6500.0</v>
      </c>
      <c r="G14" s="127">
        <v>1780.0</v>
      </c>
      <c r="H14" s="129">
        <f t="shared" si="1"/>
        <v>9280</v>
      </c>
      <c r="I14" s="67">
        <f t="shared" si="2"/>
        <v>5449.582316</v>
      </c>
      <c r="J14" s="68">
        <f t="shared" si="3"/>
        <v>132.1329084</v>
      </c>
      <c r="K14" s="130">
        <f t="shared" si="4"/>
        <v>357.1397655</v>
      </c>
      <c r="L14" s="70">
        <f t="shared" si="5"/>
        <v>357.1397655</v>
      </c>
      <c r="M14" s="131">
        <v>600.0</v>
      </c>
      <c r="N14" s="84">
        <f t="shared" si="6"/>
        <v>242.8602345</v>
      </c>
      <c r="O14" s="127">
        <v>3.0</v>
      </c>
      <c r="P14" s="110">
        <v>5.0</v>
      </c>
      <c r="R14" s="132" t="s">
        <v>102</v>
      </c>
      <c r="S14" s="38"/>
      <c r="T14" s="38"/>
      <c r="U14" s="38"/>
      <c r="V14" s="38"/>
      <c r="W14" s="38"/>
      <c r="X14" s="38"/>
      <c r="Y14" s="38"/>
      <c r="Z14" s="38"/>
      <c r="AA14" s="38"/>
      <c r="AB14" s="39"/>
      <c r="AC14" s="133"/>
    </row>
    <row r="15">
      <c r="A15" s="61" t="s">
        <v>91</v>
      </c>
      <c r="B15" s="124" t="s">
        <v>96</v>
      </c>
      <c r="C15" s="125">
        <v>30.0</v>
      </c>
      <c r="D15" s="126">
        <v>5030.0</v>
      </c>
      <c r="E15" s="127">
        <v>1000.0</v>
      </c>
      <c r="F15" s="128">
        <v>6250.0</v>
      </c>
      <c r="G15" s="127">
        <v>1780.0</v>
      </c>
      <c r="H15" s="129">
        <f t="shared" si="1"/>
        <v>9030</v>
      </c>
      <c r="I15" s="67">
        <f t="shared" si="2"/>
        <v>5430.150366</v>
      </c>
      <c r="J15" s="68">
        <f t="shared" si="3"/>
        <v>131.661753</v>
      </c>
      <c r="K15" s="130">
        <f t="shared" si="4"/>
        <v>350.607003</v>
      </c>
      <c r="L15" s="70">
        <f t="shared" si="5"/>
        <v>350.607003</v>
      </c>
      <c r="M15" s="131">
        <v>600.0</v>
      </c>
      <c r="N15" s="84">
        <f t="shared" si="6"/>
        <v>249.392997</v>
      </c>
      <c r="O15" s="127">
        <v>3.0</v>
      </c>
      <c r="P15" s="110">
        <v>5.0</v>
      </c>
      <c r="R15" s="134" t="s">
        <v>103</v>
      </c>
      <c r="S15" s="135"/>
      <c r="T15" s="136" t="s">
        <v>3</v>
      </c>
      <c r="U15" s="136" t="s">
        <v>104</v>
      </c>
      <c r="V15" s="137" t="s">
        <v>7</v>
      </c>
      <c r="W15" s="138"/>
      <c r="X15" s="136" t="s">
        <v>105</v>
      </c>
      <c r="Y15" s="137" t="s">
        <v>106</v>
      </c>
      <c r="Z15" s="139" t="s">
        <v>5</v>
      </c>
      <c r="AA15" s="139" t="s">
        <v>107</v>
      </c>
      <c r="AB15" s="140" t="s">
        <v>108</v>
      </c>
    </row>
    <row r="16">
      <c r="A16" s="61" t="s">
        <v>91</v>
      </c>
      <c r="B16" s="124" t="s">
        <v>96</v>
      </c>
      <c r="C16" s="125">
        <v>34.0</v>
      </c>
      <c r="D16" s="126">
        <v>1640.0</v>
      </c>
      <c r="E16" s="127">
        <v>500.0</v>
      </c>
      <c r="F16" s="128">
        <v>1980.0</v>
      </c>
      <c r="G16" s="127">
        <v>1280.0</v>
      </c>
      <c r="H16" s="129">
        <f t="shared" si="1"/>
        <v>3760</v>
      </c>
      <c r="I16" s="67">
        <f t="shared" si="2"/>
        <v>1770.466521</v>
      </c>
      <c r="J16" s="68">
        <f t="shared" si="3"/>
        <v>42.92749004</v>
      </c>
      <c r="K16" s="130">
        <f t="shared" si="4"/>
        <v>134.0940615</v>
      </c>
      <c r="L16" s="70">
        <f t="shared" si="5"/>
        <v>134.0940615</v>
      </c>
      <c r="M16" s="131">
        <v>150.0</v>
      </c>
      <c r="N16" s="84">
        <f t="shared" si="6"/>
        <v>15.90593853</v>
      </c>
      <c r="O16" s="127">
        <v>3.0</v>
      </c>
      <c r="P16" s="110">
        <v>5.0</v>
      </c>
      <c r="R16" s="89">
        <v>0.0</v>
      </c>
      <c r="S16" s="141"/>
      <c r="T16" s="142">
        <v>1.0</v>
      </c>
      <c r="U16" s="142">
        <v>23200.0</v>
      </c>
      <c r="V16" s="142"/>
      <c r="W16" s="142"/>
      <c r="X16" s="142"/>
      <c r="Y16" s="143">
        <v>601.22585</v>
      </c>
      <c r="Z16" s="143">
        <v>132.269687</v>
      </c>
      <c r="AA16" s="143">
        <v>733.495537</v>
      </c>
      <c r="AB16" s="144">
        <v>316.504463</v>
      </c>
    </row>
    <row r="17">
      <c r="A17" s="61" t="s">
        <v>91</v>
      </c>
      <c r="B17" s="124" t="s">
        <v>109</v>
      </c>
      <c r="C17" s="125">
        <v>35.0</v>
      </c>
      <c r="D17" s="126">
        <v>538.0</v>
      </c>
      <c r="E17" s="127">
        <v>500.0</v>
      </c>
      <c r="F17" s="128">
        <v>1580.0</v>
      </c>
      <c r="G17" s="127">
        <v>640.0</v>
      </c>
      <c r="H17" s="129">
        <f t="shared" si="1"/>
        <v>2720</v>
      </c>
      <c r="I17" s="67">
        <f t="shared" si="2"/>
        <v>580.7993831</v>
      </c>
      <c r="J17" s="68">
        <f t="shared" si="3"/>
        <v>14.08231076</v>
      </c>
      <c r="K17" s="130">
        <f t="shared" si="4"/>
        <v>80.03259647</v>
      </c>
      <c r="L17" s="70">
        <f t="shared" si="5"/>
        <v>80.03259647</v>
      </c>
      <c r="M17" s="131">
        <v>100.0</v>
      </c>
      <c r="N17" s="84">
        <f t="shared" si="6"/>
        <v>19.96740353</v>
      </c>
      <c r="O17" s="127">
        <v>3.0</v>
      </c>
      <c r="P17" s="110">
        <v>5.0</v>
      </c>
      <c r="R17" s="145">
        <v>1.0</v>
      </c>
      <c r="S17" s="146">
        <v>1.0</v>
      </c>
      <c r="T17" s="142">
        <v>20148.0</v>
      </c>
      <c r="U17" s="142">
        <v>27014.0</v>
      </c>
      <c r="V17" s="142"/>
      <c r="W17" s="142"/>
      <c r="X17" s="142">
        <v>16800.0</v>
      </c>
      <c r="Y17" s="143">
        <v>1437.8556940000003</v>
      </c>
      <c r="Z17" s="143">
        <v>316.32825268000005</v>
      </c>
      <c r="AA17" s="143">
        <v>1754.1839466800004</v>
      </c>
      <c r="AB17" s="144">
        <v>1244.4878006399997</v>
      </c>
    </row>
    <row r="18">
      <c r="A18" s="61" t="s">
        <v>91</v>
      </c>
      <c r="B18" s="124" t="s">
        <v>92</v>
      </c>
      <c r="C18" s="125">
        <v>48.0</v>
      </c>
      <c r="D18" s="126">
        <v>2182.0</v>
      </c>
      <c r="E18" s="127">
        <v>500.0</v>
      </c>
      <c r="F18" s="128">
        <v>2200.0</v>
      </c>
      <c r="G18" s="127">
        <v>1130.0</v>
      </c>
      <c r="H18" s="129">
        <f t="shared" si="1"/>
        <v>3830</v>
      </c>
      <c r="I18" s="67">
        <f t="shared" si="2"/>
        <v>2355.584115</v>
      </c>
      <c r="J18" s="68">
        <f t="shared" si="3"/>
        <v>57.11450199</v>
      </c>
      <c r="K18" s="130">
        <f t="shared" si="4"/>
        <v>149.9783234</v>
      </c>
      <c r="L18" s="70">
        <f t="shared" si="5"/>
        <v>149.9783234</v>
      </c>
      <c r="M18" s="131">
        <v>500.0</v>
      </c>
      <c r="N18" s="84">
        <f t="shared" si="6"/>
        <v>350.0216766</v>
      </c>
      <c r="O18" s="127">
        <v>3.0</v>
      </c>
      <c r="P18" s="110">
        <v>5.0</v>
      </c>
      <c r="R18" s="145">
        <v>2.0</v>
      </c>
      <c r="S18" s="146">
        <v>2.0</v>
      </c>
      <c r="T18" s="142">
        <v>17994.0</v>
      </c>
      <c r="U18" s="142">
        <v>28328.0</v>
      </c>
      <c r="V18" s="142"/>
      <c r="W18" s="142"/>
      <c r="X18" s="142">
        <v>15000.0</v>
      </c>
      <c r="Y18" s="143">
        <v>1248.327578</v>
      </c>
      <c r="Z18" s="143">
        <v>274.63206715999996</v>
      </c>
      <c r="AA18" s="143">
        <v>1522.9596451599998</v>
      </c>
      <c r="AB18" s="144">
        <v>802.4082876800003</v>
      </c>
    </row>
    <row r="19">
      <c r="A19" s="61" t="s">
        <v>91</v>
      </c>
      <c r="B19" s="124" t="s">
        <v>110</v>
      </c>
      <c r="C19" s="125">
        <v>58.0</v>
      </c>
      <c r="D19" s="126">
        <v>1124.0</v>
      </c>
      <c r="E19" s="127">
        <v>500.0</v>
      </c>
      <c r="F19" s="128">
        <v>1700.0</v>
      </c>
      <c r="G19" s="127">
        <v>230.0</v>
      </c>
      <c r="H19" s="129">
        <f t="shared" si="1"/>
        <v>2430</v>
      </c>
      <c r="I19" s="67">
        <f t="shared" si="2"/>
        <v>1213.417299</v>
      </c>
      <c r="J19" s="68">
        <f t="shared" si="3"/>
        <v>29.42103586</v>
      </c>
      <c r="K19" s="130">
        <f t="shared" si="4"/>
        <v>88.33985729</v>
      </c>
      <c r="L19" s="70">
        <f t="shared" si="5"/>
        <v>88.33985729</v>
      </c>
      <c r="M19" s="131">
        <v>150.0</v>
      </c>
      <c r="N19" s="84">
        <f t="shared" si="6"/>
        <v>61.66014271</v>
      </c>
      <c r="O19" s="127">
        <v>3.0</v>
      </c>
      <c r="P19" s="120">
        <v>5.0</v>
      </c>
      <c r="R19" s="145">
        <v>3.0</v>
      </c>
      <c r="S19" s="146">
        <v>5.0</v>
      </c>
      <c r="T19" s="142">
        <v>15562.0</v>
      </c>
      <c r="U19" s="142">
        <v>20210.0</v>
      </c>
      <c r="V19" s="142"/>
      <c r="W19" s="142"/>
      <c r="X19" s="142">
        <v>16800.0</v>
      </c>
      <c r="Y19" s="143">
        <v>1181.46435</v>
      </c>
      <c r="Z19" s="143">
        <v>0.0</v>
      </c>
      <c r="AA19" s="143">
        <v>1181.46435</v>
      </c>
      <c r="AB19" s="144">
        <v>918.53565</v>
      </c>
    </row>
    <row r="20">
      <c r="A20" s="61" t="s">
        <v>91</v>
      </c>
      <c r="B20" s="147" t="s">
        <v>96</v>
      </c>
      <c r="C20" s="148">
        <v>56.0</v>
      </c>
      <c r="D20" s="149">
        <v>384.0</v>
      </c>
      <c r="E20" s="150">
        <v>500.0</v>
      </c>
      <c r="F20" s="151">
        <v>1400.0</v>
      </c>
      <c r="G20" s="150">
        <v>800.0</v>
      </c>
      <c r="H20" s="152">
        <f t="shared" si="1"/>
        <v>2700</v>
      </c>
      <c r="I20" s="67">
        <f t="shared" si="2"/>
        <v>328.7202169</v>
      </c>
      <c r="J20" s="68">
        <f t="shared" si="3"/>
        <v>7.970291258</v>
      </c>
      <c r="K20" s="153">
        <f t="shared" si="4"/>
        <v>73.4356484</v>
      </c>
      <c r="L20" s="70">
        <f t="shared" si="5"/>
        <v>73.4356484</v>
      </c>
      <c r="M20" s="154">
        <v>60.0</v>
      </c>
      <c r="N20" s="84">
        <f t="shared" si="6"/>
        <v>-13.4356484</v>
      </c>
      <c r="O20" s="150">
        <v>5.0</v>
      </c>
      <c r="P20" s="122">
        <v>6.0</v>
      </c>
      <c r="R20" s="145">
        <v>4.0</v>
      </c>
      <c r="S20" s="146">
        <v>5.0</v>
      </c>
      <c r="T20" s="142">
        <v>19090.0</v>
      </c>
      <c r="U20" s="142">
        <v>28830.0</v>
      </c>
      <c r="V20" s="142"/>
      <c r="W20" s="142"/>
      <c r="X20" s="142">
        <v>13800.0</v>
      </c>
      <c r="Y20" s="143">
        <v>1126.65033</v>
      </c>
      <c r="Z20" s="143">
        <v>0.0</v>
      </c>
      <c r="AA20" s="143">
        <v>1126.65033</v>
      </c>
      <c r="AB20" s="144">
        <v>1573.34967</v>
      </c>
    </row>
    <row r="21" ht="15.75" customHeight="1">
      <c r="A21" s="61" t="s">
        <v>91</v>
      </c>
      <c r="B21" s="147" t="s">
        <v>96</v>
      </c>
      <c r="C21" s="148">
        <v>88.0</v>
      </c>
      <c r="D21" s="149">
        <v>302.0</v>
      </c>
      <c r="E21" s="150">
        <v>500.0</v>
      </c>
      <c r="F21" s="151">
        <v>800.0</v>
      </c>
      <c r="G21" s="150">
        <v>0.0</v>
      </c>
      <c r="H21" s="152">
        <f t="shared" si="1"/>
        <v>1300</v>
      </c>
      <c r="I21" s="67">
        <f t="shared" si="2"/>
        <v>258.5247539</v>
      </c>
      <c r="J21" s="68">
        <f t="shared" si="3"/>
        <v>6.268301979</v>
      </c>
      <c r="K21" s="153">
        <f t="shared" si="4"/>
        <v>37.78865912</v>
      </c>
      <c r="L21" s="70">
        <f t="shared" si="5"/>
        <v>37.78865912</v>
      </c>
      <c r="M21" s="154">
        <v>50.0</v>
      </c>
      <c r="N21" s="84">
        <f t="shared" si="6"/>
        <v>12.21134088</v>
      </c>
      <c r="O21" s="150">
        <v>5.0</v>
      </c>
      <c r="P21" s="122">
        <v>6.0</v>
      </c>
      <c r="R21" s="145">
        <v>5.0</v>
      </c>
      <c r="S21" s="146">
        <v>6.0</v>
      </c>
      <c r="T21" s="142">
        <v>14018.0</v>
      </c>
      <c r="U21" s="142">
        <v>23500.0</v>
      </c>
      <c r="V21" s="142"/>
      <c r="W21" s="142"/>
      <c r="X21" s="155">
        <v>12000.0</v>
      </c>
      <c r="Y21" s="143">
        <v>1051.09587</v>
      </c>
      <c r="Z21" s="143">
        <v>0.0</v>
      </c>
      <c r="AA21" s="143">
        <v>1051.09587</v>
      </c>
      <c r="AB21" s="144">
        <v>658.9041299999998</v>
      </c>
    </row>
    <row r="22" ht="15.75" customHeight="1">
      <c r="A22" s="61" t="s">
        <v>91</v>
      </c>
      <c r="B22" s="150" t="s">
        <v>96</v>
      </c>
      <c r="C22" s="156">
        <v>89.0</v>
      </c>
      <c r="D22" s="157">
        <v>13270.0</v>
      </c>
      <c r="E22" s="150">
        <v>500.0</v>
      </c>
      <c r="F22" s="151">
        <v>20500.0</v>
      </c>
      <c r="G22" s="150">
        <v>3980.0</v>
      </c>
      <c r="H22" s="152">
        <f t="shared" si="1"/>
        <v>24980</v>
      </c>
      <c r="I22" s="67">
        <f t="shared" si="2"/>
        <v>11359.68041</v>
      </c>
      <c r="J22" s="68">
        <f t="shared" si="3"/>
        <v>275.4316797</v>
      </c>
      <c r="K22" s="153">
        <f t="shared" si="4"/>
        <v>881.1074654</v>
      </c>
      <c r="L22" s="70">
        <f t="shared" si="5"/>
        <v>881.1074654</v>
      </c>
      <c r="M22" s="154">
        <v>1600.0</v>
      </c>
      <c r="N22" s="84">
        <f t="shared" si="6"/>
        <v>718.8925346</v>
      </c>
      <c r="O22" s="150">
        <v>5.0</v>
      </c>
      <c r="P22" s="158">
        <v>6.0</v>
      </c>
      <c r="R22" s="145">
        <v>6.0</v>
      </c>
      <c r="S22" s="146">
        <v>7.0</v>
      </c>
      <c r="T22" s="142">
        <v>22836.0</v>
      </c>
      <c r="U22" s="142">
        <v>27350.0</v>
      </c>
      <c r="V22" s="142"/>
      <c r="W22" s="142"/>
      <c r="X22" s="155">
        <v>17400.0</v>
      </c>
      <c r="Y22" s="143">
        <v>1321.6399446925907</v>
      </c>
      <c r="Z22" s="143">
        <v>0.0</v>
      </c>
      <c r="AA22" s="143">
        <v>1321.6399446925907</v>
      </c>
      <c r="AB22" s="144">
        <v>928.3600553074093</v>
      </c>
    </row>
    <row r="23" ht="15.75" customHeight="1">
      <c r="A23" s="61" t="s">
        <v>91</v>
      </c>
      <c r="B23" s="142" t="s">
        <v>111</v>
      </c>
      <c r="C23" s="159">
        <v>91.0</v>
      </c>
      <c r="D23" s="160">
        <v>62.0</v>
      </c>
      <c r="E23" s="142">
        <v>500.0</v>
      </c>
      <c r="F23" s="161">
        <v>800.0</v>
      </c>
      <c r="G23" s="142">
        <v>290.0</v>
      </c>
      <c r="H23" s="162">
        <f t="shared" si="1"/>
        <v>1590</v>
      </c>
      <c r="I23" s="67">
        <f t="shared" si="2"/>
        <v>53.07461835</v>
      </c>
      <c r="J23" s="68">
        <f t="shared" si="3"/>
        <v>1.286869943</v>
      </c>
      <c r="K23" s="163">
        <f t="shared" si="4"/>
        <v>39.83869137</v>
      </c>
      <c r="L23" s="70">
        <f t="shared" si="5"/>
        <v>39.83869137</v>
      </c>
      <c r="M23" s="164">
        <v>0.0</v>
      </c>
      <c r="N23" s="84">
        <f t="shared" si="6"/>
        <v>-39.83869137</v>
      </c>
      <c r="O23" s="142">
        <v>5.0</v>
      </c>
      <c r="P23" s="158">
        <v>6.0</v>
      </c>
      <c r="R23" s="145">
        <v>7.0</v>
      </c>
      <c r="S23" s="146">
        <v>8.0</v>
      </c>
      <c r="T23" s="142">
        <v>1002.0</v>
      </c>
      <c r="U23" s="142">
        <v>9200.0</v>
      </c>
      <c r="V23" s="142"/>
      <c r="W23" s="142"/>
      <c r="X23" s="155">
        <v>4400.0</v>
      </c>
      <c r="Y23" s="143">
        <v>348.1431</v>
      </c>
      <c r="Z23" s="143">
        <v>0.0</v>
      </c>
      <c r="AA23" s="143">
        <v>348.1431</v>
      </c>
      <c r="AB23" s="144">
        <v>0.0</v>
      </c>
    </row>
    <row r="24" ht="15.75" customHeight="1">
      <c r="A24" s="61" t="s">
        <v>91</v>
      </c>
      <c r="B24" s="142" t="s">
        <v>109</v>
      </c>
      <c r="C24" s="159">
        <v>65.0</v>
      </c>
      <c r="D24" s="160">
        <v>5830.0</v>
      </c>
      <c r="E24" s="142">
        <v>500.0</v>
      </c>
      <c r="F24" s="161">
        <v>8250.0</v>
      </c>
      <c r="G24" s="142">
        <v>1300.0</v>
      </c>
      <c r="H24" s="165">
        <f t="shared" si="1"/>
        <v>10050</v>
      </c>
      <c r="I24" s="67">
        <f t="shared" si="2"/>
        <v>4442.196532</v>
      </c>
      <c r="J24" s="68">
        <f t="shared" si="3"/>
        <v>107.7074009</v>
      </c>
      <c r="K24" s="166">
        <f t="shared" si="4"/>
        <v>351.3840081</v>
      </c>
      <c r="L24" s="70">
        <f t="shared" si="5"/>
        <v>351.3840081</v>
      </c>
      <c r="M24" s="164">
        <v>800.0</v>
      </c>
      <c r="N24" s="84">
        <f t="shared" si="6"/>
        <v>448.6159919</v>
      </c>
      <c r="O24" s="142">
        <v>6.0</v>
      </c>
      <c r="P24" s="158">
        <v>7.0</v>
      </c>
      <c r="R24" s="145">
        <v>8.0</v>
      </c>
      <c r="S24" s="146">
        <v>10.0</v>
      </c>
      <c r="T24" s="142">
        <v>25918.0</v>
      </c>
      <c r="U24" s="142">
        <v>26559.0</v>
      </c>
      <c r="V24" s="142"/>
      <c r="W24" s="142"/>
      <c r="X24" s="155">
        <v>20400.0</v>
      </c>
      <c r="Y24" s="143">
        <v>1438.102604</v>
      </c>
      <c r="Z24" s="143">
        <v>316.38257288</v>
      </c>
      <c r="AA24" s="143">
        <v>1754.48517688</v>
      </c>
      <c r="AB24" s="144">
        <v>779.1322502400001</v>
      </c>
    </row>
    <row r="25" ht="15.75" customHeight="1">
      <c r="A25" s="61" t="s">
        <v>91</v>
      </c>
      <c r="B25" s="142" t="s">
        <v>92</v>
      </c>
      <c r="C25" s="159">
        <v>69.0</v>
      </c>
      <c r="D25" s="160">
        <v>9368.0</v>
      </c>
      <c r="E25" s="142">
        <v>500.0</v>
      </c>
      <c r="F25" s="161">
        <v>7950.0</v>
      </c>
      <c r="G25" s="142">
        <v>1000.0</v>
      </c>
      <c r="H25" s="165">
        <f t="shared" si="1"/>
        <v>9450</v>
      </c>
      <c r="I25" s="67">
        <f t="shared" si="2"/>
        <v>7137.992643</v>
      </c>
      <c r="J25" s="68">
        <f t="shared" si="3"/>
        <v>173.0708288</v>
      </c>
      <c r="K25" s="166">
        <f t="shared" si="4"/>
        <v>402.1995788</v>
      </c>
      <c r="L25" s="70">
        <f t="shared" si="5"/>
        <v>402.1995788</v>
      </c>
      <c r="M25" s="167">
        <v>700.0</v>
      </c>
      <c r="N25" s="84">
        <f t="shared" si="6"/>
        <v>297.8004212</v>
      </c>
      <c r="O25" s="142">
        <v>6.0</v>
      </c>
      <c r="P25" s="158">
        <v>7.0</v>
      </c>
      <c r="R25" s="145">
        <v>9.0</v>
      </c>
      <c r="S25" s="168">
        <v>14.0</v>
      </c>
      <c r="T25" s="142">
        <v>16178.0</v>
      </c>
      <c r="U25" s="142">
        <v>27759.0</v>
      </c>
      <c r="V25" s="142"/>
      <c r="W25" s="142"/>
      <c r="X25" s="155">
        <v>13200.0</v>
      </c>
      <c r="Y25" s="143">
        <v>1175.019999</v>
      </c>
      <c r="Z25" s="143">
        <v>258.50439978</v>
      </c>
      <c r="AA25" s="143">
        <v>1433.5243987800002</v>
      </c>
      <c r="AB25" s="144">
        <v>272.9712014399999</v>
      </c>
    </row>
    <row r="26" ht="15.75" customHeight="1">
      <c r="A26" s="61" t="s">
        <v>91</v>
      </c>
      <c r="B26" s="142" t="s">
        <v>98</v>
      </c>
      <c r="C26" s="159">
        <v>93.0</v>
      </c>
      <c r="D26" s="160">
        <v>4852.0</v>
      </c>
      <c r="E26" s="142">
        <v>500.0</v>
      </c>
      <c r="F26" s="161">
        <v>8250.0</v>
      </c>
      <c r="G26" s="142">
        <v>1000.0</v>
      </c>
      <c r="H26" s="165">
        <f t="shared" si="1"/>
        <v>9750</v>
      </c>
      <c r="I26" s="67">
        <f t="shared" si="2"/>
        <v>3697.004729</v>
      </c>
      <c r="J26" s="68">
        <f t="shared" si="3"/>
        <v>89.6391611</v>
      </c>
      <c r="K26" s="166">
        <f t="shared" si="4"/>
        <v>326.0418397</v>
      </c>
      <c r="L26" s="70">
        <f t="shared" si="5"/>
        <v>326.0418397</v>
      </c>
      <c r="M26" s="167">
        <v>450.0</v>
      </c>
      <c r="N26" s="84">
        <f t="shared" si="6"/>
        <v>123.9581603</v>
      </c>
      <c r="O26" s="142">
        <v>6.0</v>
      </c>
      <c r="P26" s="158">
        <v>7.0</v>
      </c>
      <c r="R26" s="145">
        <v>10.0</v>
      </c>
      <c r="S26" s="168">
        <v>11.0</v>
      </c>
      <c r="T26" s="142">
        <v>10632.0</v>
      </c>
      <c r="U26" s="142">
        <v>28311.0</v>
      </c>
      <c r="V26" s="142"/>
      <c r="W26" s="142"/>
      <c r="X26" s="155">
        <v>10200.0</v>
      </c>
      <c r="Y26" s="143">
        <v>1053.3427510000001</v>
      </c>
      <c r="Z26" s="143">
        <v>231.73540522000002</v>
      </c>
      <c r="AA26" s="143">
        <v>1285.0781562200002</v>
      </c>
      <c r="AB26" s="144">
        <v>583.1864385599999</v>
      </c>
    </row>
    <row r="27" ht="15.75" customHeight="1">
      <c r="A27" s="61" t="s">
        <v>91</v>
      </c>
      <c r="B27" s="142" t="s">
        <v>110</v>
      </c>
      <c r="C27" s="159">
        <v>94.0</v>
      </c>
      <c r="D27" s="160">
        <v>2786.0</v>
      </c>
      <c r="E27" s="142">
        <v>500.0</v>
      </c>
      <c r="F27" s="161">
        <v>2900.0</v>
      </c>
      <c r="G27" s="142">
        <v>1250.0</v>
      </c>
      <c r="H27" s="165">
        <f t="shared" si="1"/>
        <v>4650</v>
      </c>
      <c r="I27" s="169">
        <f>(SUMIFS($X$16:$X$27,$R$16:$R$27,O27))/(COUNTIF(O:O,O27))</f>
        <v>4350</v>
      </c>
      <c r="J27" s="68">
        <f t="shared" si="3"/>
        <v>105.4719643</v>
      </c>
      <c r="K27" s="166">
        <f t="shared" si="4"/>
        <v>218.2178571</v>
      </c>
      <c r="L27" s="70">
        <f t="shared" si="5"/>
        <v>218.2178571</v>
      </c>
      <c r="M27" s="167">
        <v>300.0</v>
      </c>
      <c r="N27" s="84">
        <f t="shared" si="6"/>
        <v>81.78214286</v>
      </c>
      <c r="O27" s="142">
        <v>6.0</v>
      </c>
      <c r="P27" s="158">
        <v>7.0</v>
      </c>
      <c r="R27" s="170">
        <v>11.0</v>
      </c>
      <c r="S27" s="171">
        <v>16.0</v>
      </c>
      <c r="T27" s="172">
        <v>10442.0</v>
      </c>
      <c r="U27" s="172">
        <v>28755.0</v>
      </c>
      <c r="V27" s="172"/>
      <c r="W27" s="172"/>
      <c r="X27" s="155">
        <v>9600.0</v>
      </c>
      <c r="Y27" s="173">
        <v>986.528905</v>
      </c>
      <c r="Z27" s="143">
        <v>217.0363591</v>
      </c>
      <c r="AA27" s="143">
        <v>1203.5652641</v>
      </c>
      <c r="AB27" s="144">
        <v>-18.61422048021447</v>
      </c>
    </row>
    <row r="28" ht="15.75" customHeight="1">
      <c r="A28" s="61" t="s">
        <v>91</v>
      </c>
      <c r="B28" s="142" t="s">
        <v>112</v>
      </c>
      <c r="C28" s="159">
        <v>96.0</v>
      </c>
      <c r="D28" s="174">
        <v>1002.0</v>
      </c>
      <c r="E28" s="142">
        <v>500.0</v>
      </c>
      <c r="F28" s="161">
        <v>9200.0</v>
      </c>
      <c r="G28" s="175">
        <v>0.0</v>
      </c>
      <c r="H28" s="165">
        <f t="shared" si="1"/>
        <v>9700</v>
      </c>
      <c r="I28" s="176">
        <v>4400.0</v>
      </c>
      <c r="J28" s="68">
        <f t="shared" si="3"/>
        <v>106.6842857</v>
      </c>
      <c r="K28" s="166">
        <f t="shared" si="4"/>
        <v>341.8746429</v>
      </c>
      <c r="L28" s="70">
        <f t="shared" si="5"/>
        <v>341.8746429</v>
      </c>
      <c r="M28" s="167">
        <f>K28</f>
        <v>341.8746429</v>
      </c>
      <c r="N28" s="84">
        <f t="shared" si="6"/>
        <v>0</v>
      </c>
      <c r="O28" s="142">
        <v>7.0</v>
      </c>
      <c r="P28" s="158">
        <v>8.0</v>
      </c>
      <c r="R28" s="145">
        <v>12.0</v>
      </c>
      <c r="S28" s="168">
        <v>13.0</v>
      </c>
      <c r="T28" s="142">
        <v>15170.0</v>
      </c>
      <c r="U28" s="142">
        <v>28943.0</v>
      </c>
      <c r="V28" s="142"/>
      <c r="W28" s="142"/>
      <c r="X28" s="155">
        <v>13200.0</v>
      </c>
      <c r="Y28" s="143">
        <v>1080.0584130000002</v>
      </c>
      <c r="Z28" s="143">
        <v>237.61285086000004</v>
      </c>
      <c r="AA28" s="143">
        <v>1317.6712638600002</v>
      </c>
      <c r="AB28" s="144">
        <v>-162.97882635253023</v>
      </c>
    </row>
    <row r="29" ht="15.75" customHeight="1">
      <c r="A29" s="61" t="s">
        <v>91</v>
      </c>
      <c r="B29" s="142" t="s">
        <v>109</v>
      </c>
      <c r="C29" s="159">
        <v>98.0</v>
      </c>
      <c r="D29" s="174">
        <v>6404.0</v>
      </c>
      <c r="E29" s="142">
        <v>500.0</v>
      </c>
      <c r="F29" s="161">
        <v>6959.0</v>
      </c>
      <c r="G29" s="142">
        <v>1915.0</v>
      </c>
      <c r="H29" s="165">
        <f t="shared" si="1"/>
        <v>9374</v>
      </c>
      <c r="I29" s="67">
        <f t="shared" ref="I29:I33" si="8">(LOOKUP(O29,$R$16:$R$27,$X$16:$X$27)*D29)/LOOKUP(O29,$R$16:$R$27,$T$16:$T$27)</f>
        <v>5040.574118</v>
      </c>
      <c r="J29" s="68">
        <f t="shared" si="3"/>
        <v>122.2159203</v>
      </c>
      <c r="K29" s="166">
        <f t="shared" si="4"/>
        <v>349.5019417</v>
      </c>
      <c r="L29" s="70">
        <f t="shared" si="5"/>
        <v>432.4006324</v>
      </c>
      <c r="M29" s="164">
        <v>1000.0</v>
      </c>
      <c r="N29" s="84">
        <f t="shared" si="6"/>
        <v>567.5993676</v>
      </c>
      <c r="O29" s="142">
        <v>8.0</v>
      </c>
      <c r="P29" s="158">
        <v>10.0</v>
      </c>
      <c r="R29" s="170">
        <v>13.0</v>
      </c>
      <c r="S29" s="171">
        <v>17.0</v>
      </c>
      <c r="T29" s="172">
        <v>14560.0</v>
      </c>
      <c r="U29" s="172">
        <v>28277.0</v>
      </c>
      <c r="V29" s="172"/>
      <c r="W29" s="172"/>
      <c r="X29" s="155">
        <v>13200.0</v>
      </c>
      <c r="Y29" s="173">
        <v>1063.614207</v>
      </c>
      <c r="Z29" s="143">
        <v>233.99512554000003</v>
      </c>
      <c r="AA29" s="143">
        <v>1297.6093325400002</v>
      </c>
      <c r="AB29" s="144">
        <v>-0.2380807200422339</v>
      </c>
    </row>
    <row r="30" ht="15.75" customHeight="1">
      <c r="A30" s="61" t="s">
        <v>91</v>
      </c>
      <c r="B30" s="142" t="s">
        <v>109</v>
      </c>
      <c r="C30" s="159">
        <v>100.0</v>
      </c>
      <c r="D30" s="160">
        <v>5810.0</v>
      </c>
      <c r="E30" s="142">
        <v>500.0</v>
      </c>
      <c r="F30" s="161">
        <v>6600.0</v>
      </c>
      <c r="G30" s="142">
        <v>2010.0</v>
      </c>
      <c r="H30" s="165">
        <f t="shared" si="1"/>
        <v>9110</v>
      </c>
      <c r="I30" s="67">
        <f t="shared" si="8"/>
        <v>4573.038043</v>
      </c>
      <c r="J30" s="68">
        <f t="shared" si="3"/>
        <v>110.8798403</v>
      </c>
      <c r="K30" s="166">
        <f t="shared" si="4"/>
        <v>331.7648046</v>
      </c>
      <c r="L30" s="70">
        <f t="shared" si="5"/>
        <v>410.3869282</v>
      </c>
      <c r="M30" s="167">
        <v>750.0</v>
      </c>
      <c r="N30" s="84">
        <f t="shared" si="6"/>
        <v>339.6130718</v>
      </c>
      <c r="O30" s="175">
        <v>8.0</v>
      </c>
      <c r="P30" s="158">
        <v>10.0</v>
      </c>
      <c r="R30" s="145">
        <v>14.0</v>
      </c>
      <c r="S30" s="168">
        <v>15.0</v>
      </c>
      <c r="T30" s="142">
        <v>11042.0</v>
      </c>
      <c r="U30" s="142">
        <v>29000.0</v>
      </c>
      <c r="V30" s="142"/>
      <c r="W30" s="142"/>
      <c r="X30" s="155">
        <v>10800.0</v>
      </c>
      <c r="Y30" s="143">
        <v>1041.9602</v>
      </c>
      <c r="Z30" s="143">
        <v>229.231244</v>
      </c>
      <c r="AA30" s="143">
        <v>1271.191444</v>
      </c>
      <c r="AB30" s="144">
        <v>-20.698767997529245</v>
      </c>
    </row>
    <row r="31" ht="15.75" customHeight="1">
      <c r="A31" s="61" t="s">
        <v>91</v>
      </c>
      <c r="B31" s="175" t="s">
        <v>96</v>
      </c>
      <c r="C31" s="177">
        <v>104.0</v>
      </c>
      <c r="D31" s="174">
        <v>2464.0</v>
      </c>
      <c r="E31" s="175">
        <v>500.0</v>
      </c>
      <c r="F31" s="178">
        <v>4200.0</v>
      </c>
      <c r="G31" s="175">
        <v>1620.0</v>
      </c>
      <c r="H31" s="165">
        <f t="shared" si="1"/>
        <v>6320</v>
      </c>
      <c r="I31" s="67">
        <f t="shared" si="8"/>
        <v>1939.408905</v>
      </c>
      <c r="J31" s="68">
        <f t="shared" si="3"/>
        <v>47.02373949</v>
      </c>
      <c r="K31" s="166">
        <f t="shared" si="4"/>
        <v>200.2611681</v>
      </c>
      <c r="L31" s="70">
        <f t="shared" si="5"/>
        <v>250.2934285</v>
      </c>
      <c r="M31" s="164">
        <v>350.0</v>
      </c>
      <c r="N31" s="84">
        <f t="shared" si="6"/>
        <v>99.70657146</v>
      </c>
      <c r="O31" s="142">
        <v>8.0</v>
      </c>
      <c r="P31" s="158">
        <v>10.0</v>
      </c>
      <c r="R31" s="170">
        <v>15.0</v>
      </c>
      <c r="S31" s="171">
        <v>12.0</v>
      </c>
      <c r="T31" s="172">
        <v>9450.0</v>
      </c>
      <c r="U31" s="172">
        <v>28459.0</v>
      </c>
      <c r="V31" s="172"/>
      <c r="W31" s="172"/>
      <c r="X31" s="155">
        <v>10800.0</v>
      </c>
      <c r="Y31" s="173">
        <v>1048.355169</v>
      </c>
      <c r="Z31" s="143">
        <v>230.63813717999997</v>
      </c>
      <c r="AA31" s="143">
        <v>1278.99330618</v>
      </c>
      <c r="AB31" s="144">
        <v>254.58899668391493</v>
      </c>
    </row>
    <row r="32" ht="15.75" customHeight="1">
      <c r="A32" s="61" t="s">
        <v>91</v>
      </c>
      <c r="B32" s="175" t="s">
        <v>109</v>
      </c>
      <c r="C32" s="177">
        <v>109.0</v>
      </c>
      <c r="D32" s="174">
        <v>5022.0</v>
      </c>
      <c r="E32" s="175">
        <v>500.0</v>
      </c>
      <c r="F32" s="178">
        <v>4400.0</v>
      </c>
      <c r="G32" s="175">
        <v>1620.0</v>
      </c>
      <c r="H32" s="165">
        <f t="shared" si="1"/>
        <v>6520</v>
      </c>
      <c r="I32" s="67">
        <f t="shared" si="8"/>
        <v>3952.805</v>
      </c>
      <c r="J32" s="68">
        <f t="shared" si="3"/>
        <v>95.8414041</v>
      </c>
      <c r="K32" s="166">
        <f t="shared" si="4"/>
        <v>253.9281184</v>
      </c>
      <c r="L32" s="70">
        <f t="shared" si="5"/>
        <v>306.3428675</v>
      </c>
      <c r="M32" s="164">
        <v>450.0</v>
      </c>
      <c r="N32" s="84">
        <f t="shared" si="6"/>
        <v>143.6571325</v>
      </c>
      <c r="O32" s="175">
        <v>8.0</v>
      </c>
      <c r="P32" s="158">
        <v>10.0</v>
      </c>
      <c r="R32" s="145">
        <v>16.0</v>
      </c>
      <c r="S32" s="168">
        <v>18.0</v>
      </c>
      <c r="T32" s="142">
        <v>16574.0</v>
      </c>
      <c r="U32" s="142">
        <v>29046.0</v>
      </c>
      <c r="V32" s="142"/>
      <c r="W32" s="142"/>
      <c r="X32" s="155">
        <v>14400.0</v>
      </c>
      <c r="Y32" s="143">
        <v>1225.809386</v>
      </c>
      <c r="Z32" s="143">
        <v>269.67806492</v>
      </c>
      <c r="AA32" s="143">
        <v>1495.48745092</v>
      </c>
      <c r="AB32" s="144">
        <v>410.0229287272514</v>
      </c>
    </row>
    <row r="33" ht="15.75" customHeight="1">
      <c r="A33" s="61" t="s">
        <v>91</v>
      </c>
      <c r="B33" s="175" t="s">
        <v>109</v>
      </c>
      <c r="C33" s="177">
        <v>111.0</v>
      </c>
      <c r="D33" s="174">
        <v>6218.0</v>
      </c>
      <c r="E33" s="175">
        <v>500.0</v>
      </c>
      <c r="F33" s="178">
        <v>4400.0</v>
      </c>
      <c r="G33" s="175">
        <v>1620.0</v>
      </c>
      <c r="H33" s="165">
        <f t="shared" si="1"/>
        <v>6520</v>
      </c>
      <c r="I33" s="67">
        <f t="shared" si="8"/>
        <v>4894.173933</v>
      </c>
      <c r="J33" s="68">
        <f t="shared" si="3"/>
        <v>118.6662387</v>
      </c>
      <c r="K33" s="166">
        <f t="shared" si="4"/>
        <v>276.752953</v>
      </c>
      <c r="L33" s="70">
        <f t="shared" si="5"/>
        <v>329.167702</v>
      </c>
      <c r="M33" s="164">
        <v>450.0</v>
      </c>
      <c r="N33" s="84">
        <f t="shared" si="6"/>
        <v>120.832298</v>
      </c>
      <c r="O33" s="142">
        <v>8.0</v>
      </c>
      <c r="P33" s="158">
        <v>10.0</v>
      </c>
      <c r="R33" s="170">
        <v>17.0</v>
      </c>
      <c r="S33" s="179">
        <v>19.0</v>
      </c>
      <c r="T33" s="172">
        <v>15602.0</v>
      </c>
      <c r="U33" s="172">
        <v>29449.0</v>
      </c>
      <c r="V33" s="172"/>
      <c r="W33" s="172"/>
      <c r="X33" s="155">
        <v>13200.0</v>
      </c>
      <c r="Y33" s="173">
        <v>1294.0306190000001</v>
      </c>
      <c r="Z33" s="143">
        <v>284.68673618</v>
      </c>
      <c r="AA33" s="143">
        <v>1578.7173551800001</v>
      </c>
      <c r="AB33" s="144">
        <v>276.99598760124866</v>
      </c>
    </row>
    <row r="34" ht="15.75" customHeight="1">
      <c r="A34" s="175" t="s">
        <v>113</v>
      </c>
      <c r="B34" s="175" t="s">
        <v>96</v>
      </c>
      <c r="C34" s="177">
        <v>107.0</v>
      </c>
      <c r="D34" s="174">
        <v>1698.0</v>
      </c>
      <c r="E34" s="175">
        <v>500.0</v>
      </c>
      <c r="F34" s="178">
        <v>1511.0</v>
      </c>
      <c r="G34" s="175">
        <v>1620.0</v>
      </c>
      <c r="H34" s="165">
        <f t="shared" si="1"/>
        <v>3631</v>
      </c>
      <c r="I34" s="67">
        <f t="shared" ref="I34:I127" si="9">(LOOKUP(O34,$R$16:$R$40,$X$16:$X$40)*D34)/LOOKUP(O34,$R$16:$R$40,$T$16:$T$40)</f>
        <v>1629.006772</v>
      </c>
      <c r="J34" s="68">
        <f t="shared" si="3"/>
        <v>39.49759634</v>
      </c>
      <c r="K34" s="166">
        <f t="shared" si="4"/>
        <v>127.5363785</v>
      </c>
      <c r="L34" s="70">
        <f t="shared" si="5"/>
        <v>139.9044403</v>
      </c>
      <c r="M34" s="164">
        <v>300.0</v>
      </c>
      <c r="N34" s="84">
        <f t="shared" si="6"/>
        <v>160.0955597</v>
      </c>
      <c r="O34" s="175">
        <v>10.0</v>
      </c>
      <c r="P34" s="158">
        <v>11.0</v>
      </c>
      <c r="R34" s="145">
        <v>18.0</v>
      </c>
      <c r="S34" s="168">
        <v>20.0</v>
      </c>
      <c r="T34" s="142">
        <v>22719.0</v>
      </c>
      <c r="U34" s="142">
        <v>29949.0</v>
      </c>
      <c r="V34" s="142"/>
      <c r="W34" s="142"/>
      <c r="X34" s="155">
        <v>17400.0</v>
      </c>
      <c r="Y34" s="143">
        <v>1393.0074134260763</v>
      </c>
      <c r="Z34" s="143">
        <v>306.4616309537368</v>
      </c>
      <c r="AA34" s="143">
        <v>1699.469044379813</v>
      </c>
      <c r="AB34" s="144">
        <v>1848.3178697752437</v>
      </c>
    </row>
    <row r="35" ht="15.75" customHeight="1">
      <c r="A35" s="175" t="s">
        <v>113</v>
      </c>
      <c r="B35" s="175" t="s">
        <v>109</v>
      </c>
      <c r="C35" s="177">
        <v>137.0</v>
      </c>
      <c r="D35" s="174">
        <v>8934.0</v>
      </c>
      <c r="E35" s="175">
        <v>500.0</v>
      </c>
      <c r="F35" s="178">
        <v>26800.0</v>
      </c>
      <c r="G35" s="175">
        <v>1530.0</v>
      </c>
      <c r="H35" s="165">
        <f t="shared" si="1"/>
        <v>28830</v>
      </c>
      <c r="I35" s="67">
        <f t="shared" si="9"/>
        <v>8570.993228</v>
      </c>
      <c r="J35" s="68">
        <f t="shared" si="3"/>
        <v>207.8159751</v>
      </c>
      <c r="K35" s="166">
        <f t="shared" si="4"/>
        <v>906.8405108</v>
      </c>
      <c r="L35" s="70">
        <f t="shared" si="5"/>
        <v>1126.207854</v>
      </c>
      <c r="M35" s="164">
        <v>1800.0</v>
      </c>
      <c r="N35" s="84">
        <f t="shared" si="6"/>
        <v>673.7921458</v>
      </c>
      <c r="O35" s="175">
        <v>10.0</v>
      </c>
      <c r="P35" s="158">
        <v>11.0</v>
      </c>
      <c r="R35" s="170">
        <v>19.0</v>
      </c>
      <c r="S35" s="179">
        <v>22.0</v>
      </c>
      <c r="T35" s="172">
        <v>17138.0</v>
      </c>
      <c r="U35" s="172">
        <v>29175.0</v>
      </c>
      <c r="V35" s="172"/>
      <c r="W35" s="172"/>
      <c r="X35" s="180">
        <v>14400.0</v>
      </c>
      <c r="Y35" s="173">
        <v>1159.2115600070765</v>
      </c>
      <c r="Z35" s="143">
        <v>255.02654320155685</v>
      </c>
      <c r="AA35" s="143">
        <v>1414.2381032086334</v>
      </c>
      <c r="AB35" s="144">
        <v>-20.450430565059293</v>
      </c>
    </row>
    <row r="36" ht="15.75" customHeight="1">
      <c r="A36" s="175" t="s">
        <v>113</v>
      </c>
      <c r="B36" s="175" t="s">
        <v>96</v>
      </c>
      <c r="C36" s="177">
        <v>135.0</v>
      </c>
      <c r="D36" s="174">
        <v>1058.0</v>
      </c>
      <c r="E36" s="175">
        <v>800.0</v>
      </c>
      <c r="F36" s="178">
        <v>5980.0</v>
      </c>
      <c r="G36" s="175">
        <v>0.0</v>
      </c>
      <c r="H36" s="165">
        <f t="shared" si="1"/>
        <v>6780</v>
      </c>
      <c r="I36" s="67">
        <f t="shared" si="9"/>
        <v>1209.142857</v>
      </c>
      <c r="J36" s="68">
        <f t="shared" si="3"/>
        <v>29.31739592</v>
      </c>
      <c r="K36" s="166">
        <f t="shared" si="4"/>
        <v>193.7081816</v>
      </c>
      <c r="L36" s="70">
        <f t="shared" si="5"/>
        <v>238.8438946</v>
      </c>
      <c r="M36" s="164">
        <v>350.0</v>
      </c>
      <c r="N36" s="84">
        <f t="shared" si="6"/>
        <v>111.1561054</v>
      </c>
      <c r="O36" s="175">
        <v>15.0</v>
      </c>
      <c r="P36" s="158">
        <v>12.0</v>
      </c>
      <c r="R36" s="145">
        <v>20.0</v>
      </c>
      <c r="S36" s="146">
        <v>21.0</v>
      </c>
      <c r="T36" s="142">
        <f t="shared" ref="T36:T97" si="10">SUMIFS(D:D,O:O,R36)</f>
        <v>11890</v>
      </c>
      <c r="U36" s="142">
        <f t="shared" ref="U36:U97" si="11">SUMIFS($F:$F,$O:$O,R36)</f>
        <v>47079</v>
      </c>
      <c r="V36" s="142"/>
      <c r="W36" s="142"/>
      <c r="X36" s="175">
        <v>10800.0</v>
      </c>
      <c r="Y36" s="143">
        <f t="shared" ref="Y36:Y97" si="12">SUMIFS(K:K,O:O,R36)</f>
        <v>1491.858504</v>
      </c>
      <c r="Z36" s="143">
        <f t="shared" ref="Z36:Z97" si="13">Y36*22%</f>
        <v>328.2088708</v>
      </c>
      <c r="AA36" s="143">
        <f t="shared" ref="AA36:AA97" si="14">Y36+Z36</f>
        <v>1820.067374</v>
      </c>
      <c r="AB36" s="144">
        <f t="shared" ref="AB36:AB97" si="15">(SUMIFS(N:N,O:O,R36))-Z36</f>
        <v>514.5907807</v>
      </c>
    </row>
    <row r="37" ht="15.75" customHeight="1">
      <c r="A37" s="175" t="s">
        <v>113</v>
      </c>
      <c r="B37" s="175" t="s">
        <v>96</v>
      </c>
      <c r="C37" s="177">
        <v>149.0</v>
      </c>
      <c r="D37" s="174">
        <v>3910.0</v>
      </c>
      <c r="E37" s="175">
        <v>800.0</v>
      </c>
      <c r="F37" s="178">
        <v>8500.0</v>
      </c>
      <c r="G37" s="175">
        <v>0.0</v>
      </c>
      <c r="H37" s="165">
        <f t="shared" si="1"/>
        <v>9300</v>
      </c>
      <c r="I37" s="67">
        <f t="shared" si="9"/>
        <v>4468.571429</v>
      </c>
      <c r="J37" s="68">
        <f t="shared" si="3"/>
        <v>108.346898</v>
      </c>
      <c r="K37" s="166">
        <f t="shared" si="4"/>
        <v>333.8386837</v>
      </c>
      <c r="L37" s="70">
        <f t="shared" si="5"/>
        <v>397.9947975</v>
      </c>
      <c r="M37" s="164">
        <v>700.0</v>
      </c>
      <c r="N37" s="84">
        <f t="shared" si="6"/>
        <v>302.0052025</v>
      </c>
      <c r="O37" s="175">
        <v>15.0</v>
      </c>
      <c r="P37" s="158">
        <v>12.0</v>
      </c>
      <c r="R37" s="170">
        <v>21.0</v>
      </c>
      <c r="S37" s="179">
        <v>23.0</v>
      </c>
      <c r="T37" s="172">
        <f t="shared" si="10"/>
        <v>17597</v>
      </c>
      <c r="U37" s="172">
        <f t="shared" si="11"/>
        <v>27566</v>
      </c>
      <c r="V37" s="172"/>
      <c r="W37" s="172"/>
      <c r="X37" s="181">
        <v>13800.0</v>
      </c>
      <c r="Y37" s="173">
        <f t="shared" si="12"/>
        <v>1231.86405</v>
      </c>
      <c r="Z37" s="143">
        <f t="shared" si="13"/>
        <v>271.010091</v>
      </c>
      <c r="AA37" s="143">
        <f t="shared" si="14"/>
        <v>1502.874141</v>
      </c>
      <c r="AB37" s="144">
        <f t="shared" si="15"/>
        <v>639.0638081</v>
      </c>
    </row>
    <row r="38" ht="15.75" customHeight="1">
      <c r="A38" s="175" t="s">
        <v>113</v>
      </c>
      <c r="B38" s="175" t="s">
        <v>96</v>
      </c>
      <c r="C38" s="177">
        <v>152.0</v>
      </c>
      <c r="D38" s="174">
        <v>2060.0</v>
      </c>
      <c r="E38" s="175">
        <v>800.0</v>
      </c>
      <c r="F38" s="178">
        <v>6980.0</v>
      </c>
      <c r="G38" s="175">
        <v>0.0</v>
      </c>
      <c r="H38" s="165">
        <f t="shared" si="1"/>
        <v>7780</v>
      </c>
      <c r="I38" s="67">
        <f t="shared" si="9"/>
        <v>2354.285714</v>
      </c>
      <c r="J38" s="68">
        <f t="shared" si="3"/>
        <v>57.08302041</v>
      </c>
      <c r="K38" s="166">
        <f t="shared" si="4"/>
        <v>245.7202347</v>
      </c>
      <c r="L38" s="70">
        <f t="shared" si="5"/>
        <v>298.4037258</v>
      </c>
      <c r="M38" s="164">
        <v>280.0</v>
      </c>
      <c r="N38" s="84">
        <f t="shared" si="6"/>
        <v>-18.40372579</v>
      </c>
      <c r="O38" s="175">
        <v>15.0</v>
      </c>
      <c r="P38" s="158">
        <v>12.0</v>
      </c>
      <c r="R38" s="145">
        <v>22.0</v>
      </c>
      <c r="S38" s="146">
        <v>23.0</v>
      </c>
      <c r="T38" s="142">
        <f t="shared" si="10"/>
        <v>14436</v>
      </c>
      <c r="U38" s="142">
        <f t="shared" si="11"/>
        <v>29999</v>
      </c>
      <c r="V38" s="142"/>
      <c r="W38" s="142"/>
      <c r="X38" s="175">
        <v>12600.0</v>
      </c>
      <c r="Y38" s="143">
        <f t="shared" si="12"/>
        <v>1146.104432</v>
      </c>
      <c r="Z38" s="143">
        <f t="shared" si="13"/>
        <v>252.1429751</v>
      </c>
      <c r="AA38" s="143">
        <f t="shared" si="14"/>
        <v>1398.247407</v>
      </c>
      <c r="AB38" s="144">
        <f t="shared" si="15"/>
        <v>310.3267977</v>
      </c>
    </row>
    <row r="39" ht="15.75" customHeight="1">
      <c r="A39" s="175" t="s">
        <v>113</v>
      </c>
      <c r="B39" s="175" t="s">
        <v>96</v>
      </c>
      <c r="C39" s="177">
        <v>156.0</v>
      </c>
      <c r="D39" s="174">
        <v>2422.0</v>
      </c>
      <c r="E39" s="175">
        <v>800.0</v>
      </c>
      <c r="F39" s="178">
        <v>6999.0</v>
      </c>
      <c r="G39" s="175">
        <v>0.0</v>
      </c>
      <c r="H39" s="165">
        <f t="shared" si="1"/>
        <v>7799</v>
      </c>
      <c r="I39" s="67">
        <f t="shared" si="9"/>
        <v>2768</v>
      </c>
      <c r="J39" s="68">
        <f t="shared" si="3"/>
        <v>67.11411429</v>
      </c>
      <c r="K39" s="166">
        <f t="shared" si="4"/>
        <v>256.2120107</v>
      </c>
      <c r="L39" s="70">
        <f t="shared" si="5"/>
        <v>309.0389096</v>
      </c>
      <c r="M39" s="164">
        <v>400.0</v>
      </c>
      <c r="N39" s="84">
        <f t="shared" si="6"/>
        <v>90.9610904</v>
      </c>
      <c r="O39" s="175">
        <v>15.0</v>
      </c>
      <c r="P39" s="158">
        <v>12.0</v>
      </c>
      <c r="R39" s="170">
        <v>23.0</v>
      </c>
      <c r="S39" s="171">
        <v>25.0</v>
      </c>
      <c r="T39" s="172">
        <f t="shared" si="10"/>
        <v>25978</v>
      </c>
      <c r="U39" s="172">
        <f t="shared" si="11"/>
        <v>63829</v>
      </c>
      <c r="V39" s="172"/>
      <c r="W39" s="172"/>
      <c r="X39" s="181">
        <v>24600.0</v>
      </c>
      <c r="Y39" s="173">
        <f t="shared" si="12"/>
        <v>2390.431146</v>
      </c>
      <c r="Z39" s="143">
        <f t="shared" si="13"/>
        <v>525.8948522</v>
      </c>
      <c r="AA39" s="143">
        <f t="shared" si="14"/>
        <v>2916.325999</v>
      </c>
      <c r="AB39" s="144">
        <f t="shared" si="15"/>
        <v>301.9068734</v>
      </c>
    </row>
    <row r="40" ht="15.75" customHeight="1">
      <c r="A40" s="175" t="s">
        <v>113</v>
      </c>
      <c r="B40" s="175" t="s">
        <v>96</v>
      </c>
      <c r="C40" s="177">
        <v>126.0</v>
      </c>
      <c r="D40" s="174">
        <v>14120.0</v>
      </c>
      <c r="E40" s="175">
        <v>800.0</v>
      </c>
      <c r="F40" s="178">
        <v>24444.0</v>
      </c>
      <c r="G40" s="175">
        <v>0.0</v>
      </c>
      <c r="H40" s="165">
        <f t="shared" si="1"/>
        <v>25244</v>
      </c>
      <c r="I40" s="67">
        <f t="shared" si="9"/>
        <v>12286.35465</v>
      </c>
      <c r="J40" s="68">
        <f t="shared" si="3"/>
        <v>297.9002204</v>
      </c>
      <c r="K40" s="166">
        <f t="shared" si="4"/>
        <v>909.9770632</v>
      </c>
      <c r="L40" s="70">
        <f t="shared" si="5"/>
        <v>1094.474951</v>
      </c>
      <c r="M40" s="164">
        <v>1300.0</v>
      </c>
      <c r="N40" s="84">
        <f t="shared" si="6"/>
        <v>205.525049</v>
      </c>
      <c r="O40" s="175">
        <v>12.0</v>
      </c>
      <c r="P40" s="158">
        <v>13.0</v>
      </c>
      <c r="R40" s="145">
        <v>24.0</v>
      </c>
      <c r="S40" s="146">
        <v>27.0</v>
      </c>
      <c r="T40" s="142">
        <f t="shared" si="10"/>
        <v>17922</v>
      </c>
      <c r="U40" s="142">
        <f t="shared" si="11"/>
        <v>29929</v>
      </c>
      <c r="V40" s="142"/>
      <c r="W40" s="142"/>
      <c r="X40" s="175">
        <v>16200.0</v>
      </c>
      <c r="Y40" s="143">
        <f t="shared" si="12"/>
        <v>1329.892361</v>
      </c>
      <c r="Z40" s="143">
        <f t="shared" si="13"/>
        <v>292.5763194</v>
      </c>
      <c r="AA40" s="143">
        <f t="shared" si="14"/>
        <v>1622.46868</v>
      </c>
      <c r="AB40" s="144">
        <f t="shared" si="15"/>
        <v>781.6338693</v>
      </c>
    </row>
    <row r="41" ht="15.75" customHeight="1">
      <c r="A41" s="175" t="s">
        <v>113</v>
      </c>
      <c r="B41" s="175" t="s">
        <v>96</v>
      </c>
      <c r="C41" s="177">
        <v>155.0</v>
      </c>
      <c r="D41" s="174">
        <v>1050.0</v>
      </c>
      <c r="E41" s="175">
        <v>800.0</v>
      </c>
      <c r="F41" s="178">
        <v>4499.0</v>
      </c>
      <c r="G41" s="175">
        <v>0.0</v>
      </c>
      <c r="H41" s="165">
        <f t="shared" si="1"/>
        <v>5299</v>
      </c>
      <c r="I41" s="67">
        <f t="shared" si="9"/>
        <v>913.6453527</v>
      </c>
      <c r="J41" s="68">
        <f t="shared" si="3"/>
        <v>22.15263678</v>
      </c>
      <c r="K41" s="166">
        <f t="shared" si="4"/>
        <v>150.6344618</v>
      </c>
      <c r="L41" s="70">
        <f t="shared" si="5"/>
        <v>184.5919154</v>
      </c>
      <c r="M41" s="164">
        <v>170.0</v>
      </c>
      <c r="N41" s="84">
        <f t="shared" si="6"/>
        <v>-14.59191543</v>
      </c>
      <c r="O41" s="175">
        <v>12.0</v>
      </c>
      <c r="P41" s="158">
        <v>13.0</v>
      </c>
      <c r="R41" s="170">
        <v>25.0</v>
      </c>
      <c r="S41" s="179">
        <v>28.0</v>
      </c>
      <c r="T41" s="172">
        <f t="shared" si="10"/>
        <v>20506</v>
      </c>
      <c r="U41" s="172">
        <f t="shared" si="11"/>
        <v>29609</v>
      </c>
      <c r="V41" s="172"/>
      <c r="W41" s="172"/>
      <c r="X41" s="181">
        <v>16200.0</v>
      </c>
      <c r="Y41" s="173">
        <f t="shared" si="12"/>
        <v>1344.336479</v>
      </c>
      <c r="Z41" s="143">
        <f t="shared" si="13"/>
        <v>295.7540253</v>
      </c>
      <c r="AA41" s="143">
        <f t="shared" si="14"/>
        <v>1640.090504</v>
      </c>
      <c r="AB41" s="144">
        <f t="shared" si="15"/>
        <v>496.4273346</v>
      </c>
    </row>
    <row r="42" ht="15.75" customHeight="1">
      <c r="A42" s="175" t="s">
        <v>113</v>
      </c>
      <c r="B42" s="142" t="s">
        <v>98</v>
      </c>
      <c r="C42" s="159">
        <v>99.0</v>
      </c>
      <c r="D42" s="174">
        <v>760.0</v>
      </c>
      <c r="E42" s="142">
        <v>500.0</v>
      </c>
      <c r="F42" s="161">
        <v>10285.0</v>
      </c>
      <c r="G42" s="142">
        <v>860.0</v>
      </c>
      <c r="H42" s="165">
        <f t="shared" si="1"/>
        <v>11645</v>
      </c>
      <c r="I42" s="67">
        <f t="shared" si="9"/>
        <v>620.1013722</v>
      </c>
      <c r="J42" s="68">
        <f t="shared" si="3"/>
        <v>15.03524363</v>
      </c>
      <c r="K42" s="166">
        <f t="shared" si="4"/>
        <v>297.3849043</v>
      </c>
      <c r="L42" s="70">
        <f t="shared" si="5"/>
        <v>393.1634897</v>
      </c>
      <c r="M42" s="167">
        <v>650.0</v>
      </c>
      <c r="N42" s="84">
        <f t="shared" si="6"/>
        <v>256.8365103</v>
      </c>
      <c r="O42" s="175">
        <v>9.0</v>
      </c>
      <c r="P42" s="158">
        <v>14.0</v>
      </c>
      <c r="R42" s="145">
        <v>26.0</v>
      </c>
      <c r="S42" s="146">
        <v>29.0</v>
      </c>
      <c r="T42" s="142">
        <f t="shared" si="10"/>
        <v>17366</v>
      </c>
      <c r="U42" s="142">
        <f t="shared" si="11"/>
        <v>29403</v>
      </c>
      <c r="V42" s="142"/>
      <c r="W42" s="142"/>
      <c r="X42" s="175">
        <v>14400.0</v>
      </c>
      <c r="Y42" s="143">
        <f t="shared" si="12"/>
        <v>1251.12595</v>
      </c>
      <c r="Z42" s="143">
        <f t="shared" si="13"/>
        <v>275.247709</v>
      </c>
      <c r="AA42" s="143">
        <f t="shared" si="14"/>
        <v>1526.373659</v>
      </c>
      <c r="AB42" s="144">
        <f t="shared" si="15"/>
        <v>921.6990214</v>
      </c>
    </row>
    <row r="43" ht="15.75" customHeight="1">
      <c r="A43" s="175" t="s">
        <v>113</v>
      </c>
      <c r="B43" s="175" t="s">
        <v>109</v>
      </c>
      <c r="C43" s="177">
        <v>115.0</v>
      </c>
      <c r="D43" s="174">
        <v>2494.0</v>
      </c>
      <c r="E43" s="175">
        <v>500.0</v>
      </c>
      <c r="F43" s="178">
        <v>6062.0</v>
      </c>
      <c r="G43" s="175">
        <v>910.0</v>
      </c>
      <c r="H43" s="165">
        <f t="shared" si="1"/>
        <v>7472</v>
      </c>
      <c r="I43" s="67">
        <f t="shared" si="9"/>
        <v>2034.911608</v>
      </c>
      <c r="J43" s="68">
        <f t="shared" si="3"/>
        <v>49.33933896</v>
      </c>
      <c r="K43" s="166">
        <f t="shared" si="4"/>
        <v>230.5086532</v>
      </c>
      <c r="L43" s="70">
        <f t="shared" si="5"/>
        <v>286.960747</v>
      </c>
      <c r="M43" s="164">
        <v>350.0</v>
      </c>
      <c r="N43" s="84">
        <f t="shared" si="6"/>
        <v>63.03925296</v>
      </c>
      <c r="O43" s="175">
        <v>9.0</v>
      </c>
      <c r="P43" s="158">
        <v>14.0</v>
      </c>
      <c r="R43" s="170">
        <v>27.0</v>
      </c>
      <c r="S43" s="171">
        <v>30.0</v>
      </c>
      <c r="T43" s="172">
        <f t="shared" si="10"/>
        <v>9802</v>
      </c>
      <c r="U43" s="172">
        <f t="shared" si="11"/>
        <v>41280</v>
      </c>
      <c r="V43" s="172"/>
      <c r="W43" s="172"/>
      <c r="X43" s="175">
        <v>9000.0</v>
      </c>
      <c r="Y43" s="173">
        <f t="shared" si="12"/>
        <v>1304.220101</v>
      </c>
      <c r="Z43" s="143">
        <f t="shared" si="13"/>
        <v>286.9284222</v>
      </c>
      <c r="AA43" s="143">
        <f t="shared" si="14"/>
        <v>1591.148523</v>
      </c>
      <c r="AB43" s="144">
        <f t="shared" si="15"/>
        <v>-302.7208028</v>
      </c>
    </row>
    <row r="44" ht="15.75" customHeight="1">
      <c r="A44" s="175" t="s">
        <v>113</v>
      </c>
      <c r="B44" s="175" t="s">
        <v>110</v>
      </c>
      <c r="C44" s="177">
        <v>118.0</v>
      </c>
      <c r="D44" s="174">
        <v>6262.0</v>
      </c>
      <c r="E44" s="175">
        <v>500.0</v>
      </c>
      <c r="F44" s="178">
        <v>12.0</v>
      </c>
      <c r="G44" s="175">
        <v>1760.0</v>
      </c>
      <c r="H44" s="165">
        <f t="shared" si="1"/>
        <v>2272</v>
      </c>
      <c r="I44" s="67">
        <f t="shared" si="9"/>
        <v>5109.308938</v>
      </c>
      <c r="J44" s="68">
        <f t="shared" si="3"/>
        <v>123.8824942</v>
      </c>
      <c r="K44" s="166">
        <f t="shared" si="4"/>
        <v>178.9703799</v>
      </c>
      <c r="L44" s="70">
        <f t="shared" si="5"/>
        <v>179.0821294</v>
      </c>
      <c r="M44" s="164">
        <v>100.0</v>
      </c>
      <c r="N44" s="84">
        <f t="shared" si="6"/>
        <v>-79.08212937</v>
      </c>
      <c r="O44" s="175">
        <v>9.0</v>
      </c>
      <c r="P44" s="158">
        <v>14.0</v>
      </c>
      <c r="R44" s="145">
        <v>28.0</v>
      </c>
      <c r="S44" s="168">
        <v>31.0</v>
      </c>
      <c r="T44" s="142">
        <f t="shared" si="10"/>
        <v>12444</v>
      </c>
      <c r="U44" s="142">
        <f t="shared" si="11"/>
        <v>28297</v>
      </c>
      <c r="V44" s="142"/>
      <c r="W44" s="142"/>
      <c r="X44" s="175">
        <v>11400.0</v>
      </c>
      <c r="Y44" s="143">
        <f t="shared" si="12"/>
        <v>1017.024759</v>
      </c>
      <c r="Z44" s="143">
        <f t="shared" si="13"/>
        <v>223.7454469</v>
      </c>
      <c r="AA44" s="143">
        <f t="shared" si="14"/>
        <v>1240.770205</v>
      </c>
      <c r="AB44" s="144">
        <f t="shared" si="15"/>
        <v>445.6503178</v>
      </c>
    </row>
    <row r="45" ht="15.75" customHeight="1">
      <c r="A45" s="175" t="s">
        <v>113</v>
      </c>
      <c r="B45" s="175" t="s">
        <v>96</v>
      </c>
      <c r="C45" s="177">
        <v>131.0</v>
      </c>
      <c r="D45" s="174">
        <v>6410.0</v>
      </c>
      <c r="E45" s="175">
        <v>800.0</v>
      </c>
      <c r="F45" s="178">
        <v>10200.0</v>
      </c>
      <c r="G45" s="175">
        <v>0.0</v>
      </c>
      <c r="H45" s="165">
        <f t="shared" si="1"/>
        <v>11000</v>
      </c>
      <c r="I45" s="67">
        <f t="shared" si="9"/>
        <v>5230.065521</v>
      </c>
      <c r="J45" s="68">
        <f t="shared" si="3"/>
        <v>126.8104101</v>
      </c>
      <c r="K45" s="166">
        <f t="shared" si="4"/>
        <v>393.5211244</v>
      </c>
      <c r="L45" s="70">
        <f t="shared" si="5"/>
        <v>488.5081512</v>
      </c>
      <c r="M45" s="164">
        <v>800.0</v>
      </c>
      <c r="N45" s="84">
        <f t="shared" si="6"/>
        <v>311.4918488</v>
      </c>
      <c r="O45" s="175">
        <v>9.0</v>
      </c>
      <c r="P45" s="158">
        <v>14.0</v>
      </c>
      <c r="R45" s="182">
        <v>29.0</v>
      </c>
      <c r="S45" s="179">
        <v>32.0</v>
      </c>
      <c r="T45" s="172">
        <f t="shared" si="10"/>
        <v>0</v>
      </c>
      <c r="U45" s="172">
        <f t="shared" si="11"/>
        <v>0</v>
      </c>
      <c r="V45" s="172"/>
      <c r="W45" s="172"/>
      <c r="X45" s="175">
        <v>10800.0</v>
      </c>
      <c r="Y45" s="173">
        <f t="shared" si="12"/>
        <v>0</v>
      </c>
      <c r="Z45" s="143">
        <f t="shared" si="13"/>
        <v>0</v>
      </c>
      <c r="AA45" s="143">
        <f t="shared" si="14"/>
        <v>0</v>
      </c>
      <c r="AB45" s="144">
        <f t="shared" si="15"/>
        <v>0</v>
      </c>
    </row>
    <row r="46" ht="15.75" customHeight="1">
      <c r="A46" s="175" t="s">
        <v>113</v>
      </c>
      <c r="B46" s="175" t="s">
        <v>96</v>
      </c>
      <c r="C46" s="177">
        <v>153.0</v>
      </c>
      <c r="D46" s="174">
        <v>252.0</v>
      </c>
      <c r="E46" s="175">
        <v>800.0</v>
      </c>
      <c r="F46" s="178">
        <v>1200.0</v>
      </c>
      <c r="G46" s="175">
        <v>0.0</v>
      </c>
      <c r="H46" s="165">
        <f t="shared" si="1"/>
        <v>2000</v>
      </c>
      <c r="I46" s="67">
        <f t="shared" si="9"/>
        <v>205.6125603</v>
      </c>
      <c r="J46" s="68">
        <f t="shared" si="3"/>
        <v>4.985370256</v>
      </c>
      <c r="K46" s="166">
        <f t="shared" si="4"/>
        <v>53.4782274</v>
      </c>
      <c r="L46" s="70">
        <f t="shared" si="5"/>
        <v>64.65317173</v>
      </c>
      <c r="M46" s="164">
        <v>65.0</v>
      </c>
      <c r="N46" s="84">
        <f t="shared" si="6"/>
        <v>0.3468282684</v>
      </c>
      <c r="O46" s="175">
        <v>9.0</v>
      </c>
      <c r="P46" s="158">
        <v>14.0</v>
      </c>
      <c r="R46" s="183">
        <v>30.0</v>
      </c>
      <c r="S46" s="146">
        <v>33.0</v>
      </c>
      <c r="T46" s="142">
        <f t="shared" si="10"/>
        <v>0</v>
      </c>
      <c r="U46" s="142">
        <f t="shared" si="11"/>
        <v>0</v>
      </c>
      <c r="V46" s="142"/>
      <c r="W46" s="142"/>
      <c r="X46" s="175">
        <v>12600.0</v>
      </c>
      <c r="Y46" s="143">
        <f t="shared" si="12"/>
        <v>0</v>
      </c>
      <c r="Z46" s="143">
        <f t="shared" si="13"/>
        <v>0</v>
      </c>
      <c r="AA46" s="143">
        <f t="shared" si="14"/>
        <v>0</v>
      </c>
      <c r="AB46" s="144">
        <f t="shared" si="15"/>
        <v>0</v>
      </c>
    </row>
    <row r="47" ht="15.75" customHeight="1">
      <c r="A47" s="175" t="s">
        <v>113</v>
      </c>
      <c r="B47" s="175" t="s">
        <v>114</v>
      </c>
      <c r="C47" s="177">
        <v>133.0</v>
      </c>
      <c r="D47" s="174">
        <v>154.0</v>
      </c>
      <c r="E47" s="175">
        <v>800.0</v>
      </c>
      <c r="F47" s="178">
        <v>3500.0</v>
      </c>
      <c r="G47" s="175">
        <v>0.0</v>
      </c>
      <c r="H47" s="165">
        <f t="shared" si="1"/>
        <v>4300</v>
      </c>
      <c r="I47" s="67">
        <f t="shared" si="9"/>
        <v>150.6248868</v>
      </c>
      <c r="J47" s="68">
        <f t="shared" si="3"/>
        <v>3.652115559</v>
      </c>
      <c r="K47" s="166">
        <f t="shared" si="4"/>
        <v>107.9117584</v>
      </c>
      <c r="L47" s="70">
        <f t="shared" si="5"/>
        <v>134.3289817</v>
      </c>
      <c r="M47" s="164">
        <v>160.0</v>
      </c>
      <c r="N47" s="84">
        <f t="shared" si="6"/>
        <v>25.67101825</v>
      </c>
      <c r="O47" s="175">
        <v>14.0</v>
      </c>
      <c r="P47" s="158">
        <v>15.0</v>
      </c>
      <c r="R47" s="182">
        <v>31.0</v>
      </c>
      <c r="S47" s="171">
        <v>32.0</v>
      </c>
      <c r="T47" s="172">
        <f t="shared" si="10"/>
        <v>10616</v>
      </c>
      <c r="U47" s="172">
        <f t="shared" si="11"/>
        <v>21100</v>
      </c>
      <c r="V47" s="172"/>
      <c r="W47" s="172"/>
      <c r="X47" s="175">
        <v>9000.0</v>
      </c>
      <c r="Y47" s="173">
        <f t="shared" si="12"/>
        <v>855.8015208</v>
      </c>
      <c r="Z47" s="143">
        <f t="shared" si="13"/>
        <v>188.2763346</v>
      </c>
      <c r="AA47" s="143">
        <f t="shared" si="14"/>
        <v>1044.077855</v>
      </c>
      <c r="AB47" s="144">
        <f t="shared" si="15"/>
        <v>436.6640269</v>
      </c>
    </row>
    <row r="48" ht="15.75" customHeight="1">
      <c r="A48" s="175" t="s">
        <v>113</v>
      </c>
      <c r="B48" s="175" t="s">
        <v>96</v>
      </c>
      <c r="C48" s="177">
        <v>150.0</v>
      </c>
      <c r="D48" s="174">
        <v>4268.0</v>
      </c>
      <c r="E48" s="175">
        <v>800.0</v>
      </c>
      <c r="F48" s="178">
        <v>10000.0</v>
      </c>
      <c r="G48" s="175">
        <v>0.0</v>
      </c>
      <c r="H48" s="165">
        <f t="shared" si="1"/>
        <v>10800</v>
      </c>
      <c r="I48" s="67">
        <f t="shared" si="9"/>
        <v>4174.461148</v>
      </c>
      <c r="J48" s="68">
        <f t="shared" si="3"/>
        <v>101.2157741</v>
      </c>
      <c r="K48" s="166">
        <f t="shared" si="4"/>
        <v>363.0772026</v>
      </c>
      <c r="L48" s="70">
        <f t="shared" si="5"/>
        <v>438.5549836</v>
      </c>
      <c r="M48" s="164">
        <v>520.0</v>
      </c>
      <c r="N48" s="84">
        <f t="shared" si="6"/>
        <v>81.44501643</v>
      </c>
      <c r="O48" s="175">
        <v>14.0</v>
      </c>
      <c r="P48" s="158">
        <v>15.0</v>
      </c>
      <c r="R48" s="183">
        <v>32.0</v>
      </c>
      <c r="S48" s="168">
        <v>33.0</v>
      </c>
      <c r="T48" s="142">
        <f t="shared" si="10"/>
        <v>15454</v>
      </c>
      <c r="U48" s="142">
        <f t="shared" si="11"/>
        <v>29319</v>
      </c>
      <c r="V48" s="142"/>
      <c r="W48" s="142"/>
      <c r="X48" s="175">
        <v>13800.0</v>
      </c>
      <c r="Y48" s="143">
        <f t="shared" si="12"/>
        <v>1173.481873</v>
      </c>
      <c r="Z48" s="143">
        <f t="shared" si="13"/>
        <v>258.166012</v>
      </c>
      <c r="AA48" s="143">
        <f t="shared" si="14"/>
        <v>1431.647885</v>
      </c>
      <c r="AB48" s="144">
        <f t="shared" si="15"/>
        <v>397.0588095</v>
      </c>
    </row>
    <row r="49" ht="15.75" customHeight="1">
      <c r="A49" s="175" t="s">
        <v>113</v>
      </c>
      <c r="B49" s="175" t="s">
        <v>96</v>
      </c>
      <c r="C49" s="177">
        <v>154.0</v>
      </c>
      <c r="D49" s="174">
        <v>6620.0</v>
      </c>
      <c r="E49" s="175">
        <v>800.0</v>
      </c>
      <c r="F49" s="178">
        <v>15500.0</v>
      </c>
      <c r="G49" s="175">
        <v>0.0</v>
      </c>
      <c r="H49" s="165">
        <f t="shared" si="1"/>
        <v>16300</v>
      </c>
      <c r="I49" s="67">
        <f t="shared" si="9"/>
        <v>6474.913965</v>
      </c>
      <c r="J49" s="68">
        <f t="shared" si="3"/>
        <v>156.993539</v>
      </c>
      <c r="K49" s="166">
        <f t="shared" si="4"/>
        <v>552.2103247</v>
      </c>
      <c r="L49" s="70">
        <f t="shared" si="5"/>
        <v>669.2008851</v>
      </c>
      <c r="M49" s="164">
        <v>800.0</v>
      </c>
      <c r="N49" s="84">
        <f t="shared" si="6"/>
        <v>130.7991149</v>
      </c>
      <c r="O49" s="175">
        <v>14.0</v>
      </c>
      <c r="P49" s="158">
        <v>15.0</v>
      </c>
      <c r="R49" s="182">
        <v>33.0</v>
      </c>
      <c r="S49" s="171">
        <v>34.0</v>
      </c>
      <c r="T49" s="172">
        <f t="shared" si="10"/>
        <v>1294</v>
      </c>
      <c r="U49" s="172">
        <f t="shared" si="11"/>
        <v>29300</v>
      </c>
      <c r="V49" s="172"/>
      <c r="W49" s="172"/>
      <c r="X49" s="175">
        <v>12600.0</v>
      </c>
      <c r="Y49" s="173">
        <f t="shared" si="12"/>
        <v>814.9144281</v>
      </c>
      <c r="Z49" s="143">
        <f t="shared" si="13"/>
        <v>179.2811742</v>
      </c>
      <c r="AA49" s="143">
        <f t="shared" si="14"/>
        <v>994.1956023</v>
      </c>
      <c r="AB49" s="144">
        <f t="shared" si="15"/>
        <v>34.65449951</v>
      </c>
    </row>
    <row r="50" ht="15.75" customHeight="1">
      <c r="A50" s="175" t="s">
        <v>113</v>
      </c>
      <c r="B50" s="175" t="s">
        <v>96</v>
      </c>
      <c r="C50" s="177">
        <v>132.0</v>
      </c>
      <c r="D50" s="174">
        <v>10300.0</v>
      </c>
      <c r="E50" s="175">
        <v>800.0</v>
      </c>
      <c r="F50" s="178">
        <v>25555.0</v>
      </c>
      <c r="G50" s="175">
        <v>0.0</v>
      </c>
      <c r="H50" s="165">
        <f t="shared" si="1"/>
        <v>26355</v>
      </c>
      <c r="I50" s="67">
        <f t="shared" si="9"/>
        <v>9469.450297</v>
      </c>
      <c r="J50" s="68">
        <f t="shared" si="3"/>
        <v>229.6003502</v>
      </c>
      <c r="K50" s="166">
        <f t="shared" si="4"/>
        <v>868.6149752</v>
      </c>
      <c r="L50" s="70">
        <f t="shared" si="5"/>
        <v>1061.498444</v>
      </c>
      <c r="M50" s="164">
        <v>1300.0</v>
      </c>
      <c r="N50" s="84">
        <f t="shared" si="6"/>
        <v>238.5015556</v>
      </c>
      <c r="O50" s="175">
        <v>11.0</v>
      </c>
      <c r="P50" s="158">
        <v>16.0</v>
      </c>
      <c r="R50" s="183">
        <v>34.0</v>
      </c>
      <c r="S50" s="168">
        <v>35.0</v>
      </c>
      <c r="T50" s="142">
        <f t="shared" si="10"/>
        <v>16204</v>
      </c>
      <c r="U50" s="142">
        <f t="shared" si="11"/>
        <v>19345</v>
      </c>
      <c r="V50" s="142"/>
      <c r="W50" s="142"/>
      <c r="X50" s="175">
        <v>14400.0</v>
      </c>
      <c r="Y50" s="143">
        <f t="shared" si="12"/>
        <v>944.4485985</v>
      </c>
      <c r="Z50" s="143">
        <f t="shared" si="13"/>
        <v>207.7786917</v>
      </c>
      <c r="AA50" s="143">
        <f t="shared" si="14"/>
        <v>1152.22729</v>
      </c>
      <c r="AB50" s="144">
        <f t="shared" si="15"/>
        <v>-348.2390574</v>
      </c>
    </row>
    <row r="51" ht="15.75" customHeight="1">
      <c r="A51" s="175" t="s">
        <v>113</v>
      </c>
      <c r="B51" s="175" t="s">
        <v>112</v>
      </c>
      <c r="C51" s="177">
        <v>158.0</v>
      </c>
      <c r="D51" s="174">
        <v>142.0</v>
      </c>
      <c r="E51" s="175">
        <v>800.0</v>
      </c>
      <c r="F51" s="178">
        <v>3200.0</v>
      </c>
      <c r="G51" s="175">
        <v>0.0</v>
      </c>
      <c r="H51" s="165">
        <f t="shared" si="1"/>
        <v>4000</v>
      </c>
      <c r="I51" s="67">
        <f t="shared" si="9"/>
        <v>130.5497031</v>
      </c>
      <c r="J51" s="68">
        <f t="shared" si="3"/>
        <v>3.165364052</v>
      </c>
      <c r="K51" s="166">
        <f t="shared" si="4"/>
        <v>100.1510783</v>
      </c>
      <c r="L51" s="70">
        <f t="shared" si="5"/>
        <v>124.3039682</v>
      </c>
      <c r="M51" s="164">
        <f>K51</f>
        <v>100.1510783</v>
      </c>
      <c r="N51" s="84">
        <f t="shared" si="6"/>
        <v>-24.1528899</v>
      </c>
      <c r="O51" s="175">
        <v>11.0</v>
      </c>
      <c r="P51" s="158">
        <v>16.0</v>
      </c>
      <c r="R51" s="182">
        <v>35.0</v>
      </c>
      <c r="S51" s="171">
        <v>36.0</v>
      </c>
      <c r="T51" s="172">
        <f t="shared" si="10"/>
        <v>14420</v>
      </c>
      <c r="U51" s="172">
        <f t="shared" si="11"/>
        <v>35420</v>
      </c>
      <c r="V51" s="172"/>
      <c r="W51" s="172"/>
      <c r="X51" s="175">
        <v>11400.0</v>
      </c>
      <c r="Y51" s="173">
        <f t="shared" si="12"/>
        <v>1292.443334</v>
      </c>
      <c r="Z51" s="143">
        <f t="shared" si="13"/>
        <v>284.3375334</v>
      </c>
      <c r="AA51" s="143">
        <f t="shared" si="14"/>
        <v>1576.780867</v>
      </c>
      <c r="AB51" s="144">
        <f t="shared" si="15"/>
        <v>50.87683273</v>
      </c>
    </row>
    <row r="52" ht="15.75" customHeight="1">
      <c r="A52" s="175" t="s">
        <v>113</v>
      </c>
      <c r="B52" s="175" t="s">
        <v>96</v>
      </c>
      <c r="C52" s="177">
        <v>130.0</v>
      </c>
      <c r="D52" s="174">
        <v>10950.0</v>
      </c>
      <c r="E52" s="175">
        <v>800.0</v>
      </c>
      <c r="F52" s="178">
        <v>20777.0</v>
      </c>
      <c r="G52" s="175">
        <v>0.0</v>
      </c>
      <c r="H52" s="165">
        <f t="shared" si="1"/>
        <v>21577</v>
      </c>
      <c r="I52" s="67">
        <f t="shared" si="9"/>
        <v>9927.197802</v>
      </c>
      <c r="J52" s="68">
        <f t="shared" si="3"/>
        <v>240.6990924</v>
      </c>
      <c r="K52" s="166">
        <f t="shared" si="4"/>
        <v>763.8642817</v>
      </c>
      <c r="L52" s="70">
        <f t="shared" si="5"/>
        <v>920.6844672</v>
      </c>
      <c r="M52" s="164">
        <v>1100.0</v>
      </c>
      <c r="N52" s="84">
        <f t="shared" si="6"/>
        <v>179.3155328</v>
      </c>
      <c r="O52" s="175">
        <v>13.0</v>
      </c>
      <c r="P52" s="158">
        <v>17.0</v>
      </c>
      <c r="R52" s="183">
        <v>36.0</v>
      </c>
      <c r="S52" s="168">
        <v>37.0</v>
      </c>
      <c r="T52" s="142">
        <f t="shared" si="10"/>
        <v>17690</v>
      </c>
      <c r="U52" s="142">
        <f t="shared" si="11"/>
        <v>29000</v>
      </c>
      <c r="V52" s="142"/>
      <c r="W52" s="142"/>
      <c r="X52" s="175">
        <v>12600.0</v>
      </c>
      <c r="Y52" s="143">
        <f t="shared" si="12"/>
        <v>1177.171169</v>
      </c>
      <c r="Z52" s="143">
        <f t="shared" si="13"/>
        <v>258.9776572</v>
      </c>
      <c r="AA52" s="143">
        <f t="shared" si="14"/>
        <v>1436.148826</v>
      </c>
      <c r="AB52" s="144">
        <f t="shared" si="15"/>
        <v>144.9656088</v>
      </c>
    </row>
    <row r="53" ht="15.75" customHeight="1">
      <c r="A53" s="175" t="s">
        <v>113</v>
      </c>
      <c r="B53" s="175" t="s">
        <v>96</v>
      </c>
      <c r="C53" s="177">
        <v>159.0</v>
      </c>
      <c r="D53" s="174">
        <v>3610.0</v>
      </c>
      <c r="E53" s="175">
        <v>800.0</v>
      </c>
      <c r="F53" s="178">
        <v>7500.0</v>
      </c>
      <c r="G53" s="175">
        <v>0.0</v>
      </c>
      <c r="H53" s="165">
        <f t="shared" si="1"/>
        <v>8300</v>
      </c>
      <c r="I53" s="67">
        <f t="shared" si="9"/>
        <v>3272.802198</v>
      </c>
      <c r="J53" s="68">
        <f t="shared" si="3"/>
        <v>79.35376472</v>
      </c>
      <c r="K53" s="166">
        <f t="shared" si="4"/>
        <v>280.5991219</v>
      </c>
      <c r="L53" s="70">
        <f t="shared" si="5"/>
        <v>337.2074576</v>
      </c>
      <c r="M53" s="164">
        <v>500.0</v>
      </c>
      <c r="N53" s="84">
        <f t="shared" si="6"/>
        <v>162.7925424</v>
      </c>
      <c r="O53" s="175">
        <v>13.0</v>
      </c>
      <c r="P53" s="158">
        <v>17.0</v>
      </c>
      <c r="R53" s="182">
        <v>37.0</v>
      </c>
      <c r="S53" s="171">
        <v>38.0</v>
      </c>
      <c r="T53" s="172">
        <f t="shared" si="10"/>
        <v>13040</v>
      </c>
      <c r="U53" s="172">
        <f t="shared" si="11"/>
        <v>28132</v>
      </c>
      <c r="V53" s="172"/>
      <c r="W53" s="172"/>
      <c r="X53" s="181">
        <v>14400.0</v>
      </c>
      <c r="Y53" s="173">
        <f t="shared" si="12"/>
        <v>1065.123236</v>
      </c>
      <c r="Z53" s="143">
        <f t="shared" si="13"/>
        <v>234.3271119</v>
      </c>
      <c r="AA53" s="143">
        <f t="shared" si="14"/>
        <v>1299.450348</v>
      </c>
      <c r="AB53" s="144">
        <f t="shared" si="15"/>
        <v>438.215559</v>
      </c>
    </row>
    <row r="54" ht="15.75" customHeight="1">
      <c r="A54" s="175" t="s">
        <v>113</v>
      </c>
      <c r="B54" s="175" t="s">
        <v>96</v>
      </c>
      <c r="C54" s="177">
        <v>134.0</v>
      </c>
      <c r="D54" s="174">
        <v>1204.0</v>
      </c>
      <c r="E54" s="175">
        <v>800.0</v>
      </c>
      <c r="F54" s="178">
        <v>6666.0</v>
      </c>
      <c r="G54" s="175">
        <v>0.0</v>
      </c>
      <c r="H54" s="165">
        <f t="shared" si="1"/>
        <v>7466</v>
      </c>
      <c r="I54" s="67">
        <f t="shared" si="9"/>
        <v>1046.072161</v>
      </c>
      <c r="J54" s="68">
        <f t="shared" si="3"/>
        <v>25.36351394</v>
      </c>
      <c r="K54" s="166">
        <f t="shared" si="4"/>
        <v>206.3873497</v>
      </c>
      <c r="L54" s="70">
        <f t="shared" si="5"/>
        <v>256.7008384</v>
      </c>
      <c r="M54" s="164">
        <v>300.0</v>
      </c>
      <c r="N54" s="84">
        <f t="shared" si="6"/>
        <v>43.29916157</v>
      </c>
      <c r="O54" s="175">
        <v>16.0</v>
      </c>
      <c r="P54" s="158">
        <v>18.0</v>
      </c>
      <c r="R54" s="183">
        <v>38.0</v>
      </c>
      <c r="S54" s="168">
        <v>39.0</v>
      </c>
      <c r="T54" s="142">
        <f t="shared" si="10"/>
        <v>14920</v>
      </c>
      <c r="U54" s="142">
        <f t="shared" si="11"/>
        <v>16750</v>
      </c>
      <c r="V54" s="142"/>
      <c r="W54" s="142"/>
      <c r="X54" s="175">
        <v>11400.0</v>
      </c>
      <c r="Y54" s="143">
        <f t="shared" si="12"/>
        <v>806.5923915</v>
      </c>
      <c r="Z54" s="143">
        <f t="shared" si="13"/>
        <v>177.4503261</v>
      </c>
      <c r="AA54" s="143">
        <f t="shared" si="14"/>
        <v>984.0427176</v>
      </c>
      <c r="AB54" s="144">
        <f t="shared" si="15"/>
        <v>358.5319993</v>
      </c>
    </row>
    <row r="55" ht="15.75" customHeight="1">
      <c r="A55" s="175" t="s">
        <v>113</v>
      </c>
      <c r="B55" s="175" t="s">
        <v>96</v>
      </c>
      <c r="C55" s="177">
        <v>146.0</v>
      </c>
      <c r="D55" s="174">
        <v>2376.0</v>
      </c>
      <c r="E55" s="175">
        <v>800.0</v>
      </c>
      <c r="F55" s="178">
        <v>4980.0</v>
      </c>
      <c r="G55" s="175">
        <v>0.0</v>
      </c>
      <c r="H55" s="165">
        <f t="shared" si="1"/>
        <v>5780</v>
      </c>
      <c r="I55" s="67">
        <f t="shared" si="9"/>
        <v>2064.34174</v>
      </c>
      <c r="J55" s="68">
        <f t="shared" si="3"/>
        <v>50.05291455</v>
      </c>
      <c r="K55" s="166">
        <f t="shared" si="4"/>
        <v>190.1972717</v>
      </c>
      <c r="L55" s="70">
        <f t="shared" si="5"/>
        <v>227.7852066</v>
      </c>
      <c r="M55" s="164">
        <v>250.0</v>
      </c>
      <c r="N55" s="84">
        <f t="shared" si="6"/>
        <v>22.2147934</v>
      </c>
      <c r="O55" s="175">
        <v>16.0</v>
      </c>
      <c r="P55" s="158">
        <v>18.0</v>
      </c>
      <c r="R55" s="182">
        <v>39.0</v>
      </c>
      <c r="S55" s="171">
        <v>40.0</v>
      </c>
      <c r="T55" s="172">
        <f t="shared" si="10"/>
        <v>4990</v>
      </c>
      <c r="U55" s="172">
        <f t="shared" si="11"/>
        <v>16499</v>
      </c>
      <c r="V55" s="172"/>
      <c r="W55" s="172"/>
      <c r="X55" s="181">
        <v>12600.0</v>
      </c>
      <c r="Y55" s="173">
        <f t="shared" si="12"/>
        <v>619.3727254</v>
      </c>
      <c r="Z55" s="143">
        <f t="shared" si="13"/>
        <v>136.2619996</v>
      </c>
      <c r="AA55" s="143">
        <f t="shared" si="14"/>
        <v>755.6347249</v>
      </c>
      <c r="AB55" s="144">
        <f t="shared" si="15"/>
        <v>69.83448429</v>
      </c>
    </row>
    <row r="56" ht="15.75" customHeight="1">
      <c r="A56" s="175" t="s">
        <v>113</v>
      </c>
      <c r="B56" s="175" t="s">
        <v>92</v>
      </c>
      <c r="C56" s="177">
        <v>160.0</v>
      </c>
      <c r="D56" s="174">
        <v>6834.0</v>
      </c>
      <c r="E56" s="175">
        <v>500.0</v>
      </c>
      <c r="F56" s="178">
        <v>9000.0</v>
      </c>
      <c r="G56" s="175">
        <v>1620.0</v>
      </c>
      <c r="H56" s="165">
        <f t="shared" si="1"/>
        <v>11120</v>
      </c>
      <c r="I56" s="67">
        <f t="shared" si="9"/>
        <v>5937.588995</v>
      </c>
      <c r="J56" s="68">
        <f t="shared" si="3"/>
        <v>143.9653274</v>
      </c>
      <c r="K56" s="166">
        <f t="shared" si="4"/>
        <v>413.5856132</v>
      </c>
      <c r="L56" s="70">
        <f t="shared" si="5"/>
        <v>481.515616</v>
      </c>
      <c r="M56" s="164">
        <v>1000.0</v>
      </c>
      <c r="N56" s="84">
        <f t="shared" si="6"/>
        <v>518.484384</v>
      </c>
      <c r="O56" s="175">
        <v>16.0</v>
      </c>
      <c r="P56" s="158">
        <v>18.0</v>
      </c>
      <c r="R56" s="183">
        <v>40.0</v>
      </c>
      <c r="S56" s="184">
        <v>41.0</v>
      </c>
      <c r="T56" s="142">
        <f t="shared" si="10"/>
        <v>9476</v>
      </c>
      <c r="U56" s="142">
        <f t="shared" si="11"/>
        <v>19616</v>
      </c>
      <c r="V56" s="142"/>
      <c r="W56" s="142"/>
      <c r="X56" s="175">
        <v>9600.0</v>
      </c>
      <c r="Y56" s="143">
        <f t="shared" si="12"/>
        <v>761.4833357</v>
      </c>
      <c r="Z56" s="143">
        <f t="shared" si="13"/>
        <v>167.5263339</v>
      </c>
      <c r="AA56" s="143">
        <f t="shared" si="14"/>
        <v>929.0096696</v>
      </c>
      <c r="AB56" s="144">
        <f t="shared" si="15"/>
        <v>372.9331153</v>
      </c>
    </row>
    <row r="57" ht="15.75" customHeight="1">
      <c r="A57" s="175" t="s">
        <v>113</v>
      </c>
      <c r="B57" s="175" t="s">
        <v>96</v>
      </c>
      <c r="C57" s="177">
        <v>163.0</v>
      </c>
      <c r="D57" s="174">
        <v>6160.0</v>
      </c>
      <c r="E57" s="175">
        <v>500.0</v>
      </c>
      <c r="F57" s="178">
        <v>8400.0</v>
      </c>
      <c r="G57" s="175">
        <v>1980.0</v>
      </c>
      <c r="H57" s="165">
        <f t="shared" si="1"/>
        <v>10880</v>
      </c>
      <c r="I57" s="67">
        <f t="shared" si="9"/>
        <v>5351.997104</v>
      </c>
      <c r="J57" s="68">
        <f t="shared" si="3"/>
        <v>129.7668155</v>
      </c>
      <c r="K57" s="166">
        <f t="shared" si="4"/>
        <v>393.5679584</v>
      </c>
      <c r="L57" s="70">
        <f t="shared" si="5"/>
        <v>456.9692943</v>
      </c>
      <c r="M57" s="164">
        <v>700.0</v>
      </c>
      <c r="N57" s="84">
        <f t="shared" si="6"/>
        <v>243.0307057</v>
      </c>
      <c r="O57" s="175">
        <v>16.0</v>
      </c>
      <c r="P57" s="158">
        <v>18.0</v>
      </c>
      <c r="R57" s="182">
        <v>41.0</v>
      </c>
      <c r="S57" s="171">
        <v>42.0</v>
      </c>
      <c r="T57" s="172">
        <f t="shared" si="10"/>
        <v>8530</v>
      </c>
      <c r="U57" s="172">
        <f t="shared" si="11"/>
        <v>20800</v>
      </c>
      <c r="V57" s="172"/>
      <c r="W57" s="172"/>
      <c r="X57" s="181">
        <v>9000.0</v>
      </c>
      <c r="Y57" s="173">
        <f t="shared" si="12"/>
        <v>816.8621786</v>
      </c>
      <c r="Z57" s="143">
        <f t="shared" si="13"/>
        <v>179.7096793</v>
      </c>
      <c r="AA57" s="143">
        <f t="shared" si="14"/>
        <v>996.5718579</v>
      </c>
      <c r="AB57" s="144">
        <f t="shared" si="15"/>
        <v>316.4343578</v>
      </c>
    </row>
    <row r="58" ht="15.75" customHeight="1">
      <c r="A58" s="175" t="s">
        <v>115</v>
      </c>
      <c r="B58" s="175" t="s">
        <v>96</v>
      </c>
      <c r="C58" s="174">
        <v>151.0</v>
      </c>
      <c r="D58" s="174">
        <v>1480.0</v>
      </c>
      <c r="E58" s="175">
        <v>800.0</v>
      </c>
      <c r="F58" s="178">
        <v>3999.0</v>
      </c>
      <c r="G58" s="175">
        <v>0.0</v>
      </c>
      <c r="H58" s="165">
        <f t="shared" si="1"/>
        <v>4799</v>
      </c>
      <c r="I58" s="67">
        <f t="shared" si="9"/>
        <v>1252.147161</v>
      </c>
      <c r="J58" s="68">
        <f t="shared" si="3"/>
        <v>30.36009669</v>
      </c>
      <c r="K58" s="166">
        <f t="shared" si="4"/>
        <v>146.7187074</v>
      </c>
      <c r="L58" s="70">
        <f t="shared" si="5"/>
        <v>176.902272</v>
      </c>
      <c r="M58" s="164">
        <v>220.0</v>
      </c>
      <c r="N58" s="84">
        <f t="shared" si="6"/>
        <v>43.097728</v>
      </c>
      <c r="O58" s="175">
        <v>17.0</v>
      </c>
      <c r="P58" s="158">
        <v>19.0</v>
      </c>
      <c r="R58" s="183">
        <v>42.0</v>
      </c>
      <c r="S58" s="168">
        <v>44.0</v>
      </c>
      <c r="T58" s="142">
        <f t="shared" si="10"/>
        <v>8060</v>
      </c>
      <c r="U58" s="142">
        <f t="shared" si="11"/>
        <v>18888</v>
      </c>
      <c r="V58" s="142"/>
      <c r="W58" s="142"/>
      <c r="X58" s="175">
        <v>8300.0</v>
      </c>
      <c r="Y58" s="143">
        <f t="shared" si="12"/>
        <v>678.6090429</v>
      </c>
      <c r="Z58" s="143">
        <f t="shared" si="13"/>
        <v>149.2939894</v>
      </c>
      <c r="AA58" s="143">
        <f t="shared" si="14"/>
        <v>827.9030323</v>
      </c>
      <c r="AB58" s="144">
        <f t="shared" si="15"/>
        <v>79.53453507</v>
      </c>
    </row>
    <row r="59" ht="15.75" customHeight="1">
      <c r="A59" s="175" t="s">
        <v>115</v>
      </c>
      <c r="B59" s="185" t="s">
        <v>92</v>
      </c>
      <c r="C59" s="186">
        <v>161.0</v>
      </c>
      <c r="D59" s="186">
        <v>898.0</v>
      </c>
      <c r="E59" s="185">
        <v>800.0</v>
      </c>
      <c r="F59" s="187">
        <v>2200.0</v>
      </c>
      <c r="G59" s="185">
        <v>0.0</v>
      </c>
      <c r="H59" s="188">
        <f t="shared" si="1"/>
        <v>3000</v>
      </c>
      <c r="I59" s="67">
        <f t="shared" si="9"/>
        <v>759.7487502</v>
      </c>
      <c r="J59" s="189">
        <f t="shared" si="3"/>
        <v>18.4211938</v>
      </c>
      <c r="K59" s="190">
        <f t="shared" si="4"/>
        <v>91.16047952</v>
      </c>
      <c r="L59" s="70">
        <f t="shared" si="5"/>
        <v>107.7655913</v>
      </c>
      <c r="M59" s="191">
        <v>200.0</v>
      </c>
      <c r="N59" s="192">
        <f t="shared" si="6"/>
        <v>92.23440868</v>
      </c>
      <c r="O59" s="185">
        <v>17.0</v>
      </c>
      <c r="P59" s="193">
        <v>19.0</v>
      </c>
      <c r="R59" s="182">
        <v>43.0</v>
      </c>
      <c r="S59" s="171">
        <v>45.0</v>
      </c>
      <c r="T59" s="172">
        <f t="shared" si="10"/>
        <v>4625</v>
      </c>
      <c r="U59" s="172">
        <f t="shared" si="11"/>
        <v>18498</v>
      </c>
      <c r="V59" s="172"/>
      <c r="W59" s="172"/>
      <c r="X59" s="181">
        <v>6200.0</v>
      </c>
      <c r="Y59" s="173">
        <f t="shared" si="12"/>
        <v>657.0297214</v>
      </c>
      <c r="Z59" s="143">
        <f t="shared" si="13"/>
        <v>144.5465387</v>
      </c>
      <c r="AA59" s="143">
        <f t="shared" si="14"/>
        <v>801.5762601</v>
      </c>
      <c r="AB59" s="144">
        <f t="shared" si="15"/>
        <v>158.8049407</v>
      </c>
    </row>
    <row r="60" ht="15.75" customHeight="1">
      <c r="A60" s="175"/>
      <c r="B60" s="194" t="s">
        <v>109</v>
      </c>
      <c r="C60" s="195">
        <v>162.0</v>
      </c>
      <c r="D60" s="195">
        <v>7190.0</v>
      </c>
      <c r="E60" s="194">
        <v>500.0</v>
      </c>
      <c r="F60" s="196">
        <v>12500.0</v>
      </c>
      <c r="G60" s="194">
        <v>2120.0</v>
      </c>
      <c r="H60" s="197">
        <f t="shared" si="1"/>
        <v>15120</v>
      </c>
      <c r="I60" s="67">
        <f t="shared" si="9"/>
        <v>6083.066274</v>
      </c>
      <c r="J60" s="198">
        <f t="shared" si="3"/>
        <v>147.4926319</v>
      </c>
      <c r="K60" s="199">
        <f t="shared" si="4"/>
        <v>514.0986319</v>
      </c>
      <c r="L60" s="70">
        <f t="shared" si="5"/>
        <v>608.4458581</v>
      </c>
      <c r="M60" s="200">
        <v>750.0</v>
      </c>
      <c r="N60" s="201">
        <f t="shared" si="6"/>
        <v>141.5541419</v>
      </c>
      <c r="O60" s="194">
        <v>17.0</v>
      </c>
      <c r="P60" s="202">
        <v>19.0</v>
      </c>
      <c r="R60" s="203">
        <v>44.0</v>
      </c>
      <c r="S60" s="168">
        <v>46.0</v>
      </c>
      <c r="T60" s="142">
        <f t="shared" si="10"/>
        <v>10220</v>
      </c>
      <c r="U60" s="142">
        <f t="shared" si="11"/>
        <v>27646</v>
      </c>
      <c r="V60" s="142"/>
      <c r="W60" s="142"/>
      <c r="X60" s="175">
        <v>10200.0</v>
      </c>
      <c r="Y60" s="143">
        <f t="shared" si="12"/>
        <v>988.81785</v>
      </c>
      <c r="Z60" s="143">
        <f t="shared" si="13"/>
        <v>217.539927</v>
      </c>
      <c r="AA60" s="143">
        <f t="shared" si="14"/>
        <v>1206.357777</v>
      </c>
      <c r="AB60" s="144">
        <f t="shared" si="15"/>
        <v>294.9763498</v>
      </c>
    </row>
    <row r="61" ht="15.75" customHeight="1">
      <c r="A61" s="175"/>
      <c r="B61" s="175" t="s">
        <v>92</v>
      </c>
      <c r="C61" s="174">
        <v>166.0</v>
      </c>
      <c r="D61" s="174">
        <v>4628.0</v>
      </c>
      <c r="E61" s="175">
        <v>500.0</v>
      </c>
      <c r="F61" s="178">
        <v>3500.0</v>
      </c>
      <c r="G61" s="175">
        <v>1980.0</v>
      </c>
      <c r="H61" s="165">
        <f t="shared" si="1"/>
        <v>5980</v>
      </c>
      <c r="I61" s="67">
        <f t="shared" si="9"/>
        <v>3915.498013</v>
      </c>
      <c r="J61" s="68">
        <f t="shared" si="3"/>
        <v>94.9368429</v>
      </c>
      <c r="K61" s="166">
        <f t="shared" si="4"/>
        <v>239.9304858</v>
      </c>
      <c r="L61" s="70">
        <f t="shared" si="5"/>
        <v>266.3477091</v>
      </c>
      <c r="M61" s="164">
        <v>600.0</v>
      </c>
      <c r="N61" s="84">
        <f t="shared" si="6"/>
        <v>333.6522909</v>
      </c>
      <c r="O61" s="175">
        <v>17.0</v>
      </c>
      <c r="P61" s="158">
        <v>19.0</v>
      </c>
      <c r="R61" s="204">
        <v>45.0</v>
      </c>
      <c r="S61" s="171">
        <v>47.0</v>
      </c>
      <c r="T61" s="172">
        <f t="shared" si="10"/>
        <v>11559</v>
      </c>
      <c r="U61" s="172">
        <f t="shared" si="11"/>
        <v>59016</v>
      </c>
      <c r="V61" s="172"/>
      <c r="W61" s="172"/>
      <c r="X61" s="181">
        <v>10200.0</v>
      </c>
      <c r="Y61" s="173">
        <f t="shared" si="12"/>
        <v>1747.100657</v>
      </c>
      <c r="Z61" s="143">
        <f t="shared" si="13"/>
        <v>384.3621446</v>
      </c>
      <c r="AA61" s="143">
        <f t="shared" si="14"/>
        <v>2131.462802</v>
      </c>
      <c r="AB61" s="144">
        <f t="shared" si="15"/>
        <v>373.0975263</v>
      </c>
    </row>
    <row r="62" ht="15.75" customHeight="1">
      <c r="A62" s="175"/>
      <c r="B62" s="175" t="s">
        <v>116</v>
      </c>
      <c r="C62" s="174">
        <v>169.0</v>
      </c>
      <c r="D62" s="174">
        <v>98.0</v>
      </c>
      <c r="E62" s="175">
        <v>500.0</v>
      </c>
      <c r="F62" s="178">
        <v>2550.0</v>
      </c>
      <c r="G62" s="175">
        <v>450.0</v>
      </c>
      <c r="H62" s="165">
        <f t="shared" si="1"/>
        <v>3500</v>
      </c>
      <c r="I62" s="67">
        <f t="shared" si="9"/>
        <v>82.91244712</v>
      </c>
      <c r="J62" s="68">
        <f t="shared" si="3"/>
        <v>2.010330727</v>
      </c>
      <c r="K62" s="166">
        <f t="shared" si="4"/>
        <v>86.87283073</v>
      </c>
      <c r="L62" s="70">
        <f t="shared" si="5"/>
        <v>106.1196649</v>
      </c>
      <c r="M62" s="164">
        <v>0.0</v>
      </c>
      <c r="N62" s="84">
        <f t="shared" si="6"/>
        <v>-106.1196649</v>
      </c>
      <c r="O62" s="175">
        <v>17.0</v>
      </c>
      <c r="P62" s="158">
        <v>19.0</v>
      </c>
      <c r="R62" s="203">
        <v>46.0</v>
      </c>
      <c r="S62" s="168">
        <v>48.0</v>
      </c>
      <c r="T62" s="142">
        <f t="shared" si="10"/>
        <v>4002</v>
      </c>
      <c r="U62" s="142">
        <f t="shared" si="11"/>
        <v>17849</v>
      </c>
      <c r="V62" s="142"/>
      <c r="W62" s="142"/>
      <c r="X62" s="175">
        <v>5500.0</v>
      </c>
      <c r="Y62" s="143">
        <f t="shared" si="12"/>
        <v>617.0473607</v>
      </c>
      <c r="Z62" s="143">
        <f t="shared" si="13"/>
        <v>135.7504194</v>
      </c>
      <c r="AA62" s="143">
        <f t="shared" si="14"/>
        <v>752.7977801</v>
      </c>
      <c r="AB62" s="144">
        <f t="shared" si="15"/>
        <v>502.4819287</v>
      </c>
    </row>
    <row r="63" ht="15.75" customHeight="1">
      <c r="A63" s="175"/>
      <c r="B63" s="175" t="s">
        <v>117</v>
      </c>
      <c r="C63" s="174">
        <v>170.0</v>
      </c>
      <c r="D63" s="174">
        <v>414.0</v>
      </c>
      <c r="E63" s="175">
        <v>500.0</v>
      </c>
      <c r="F63" s="178">
        <v>1000.0</v>
      </c>
      <c r="G63" s="175">
        <v>810.0</v>
      </c>
      <c r="H63" s="165">
        <f t="shared" si="1"/>
        <v>2310</v>
      </c>
      <c r="I63" s="67">
        <f t="shared" si="9"/>
        <v>350.2627868</v>
      </c>
      <c r="J63" s="68">
        <f t="shared" si="3"/>
        <v>8.492621642</v>
      </c>
      <c r="K63" s="166">
        <f t="shared" si="4"/>
        <v>64.50187164</v>
      </c>
      <c r="L63" s="70">
        <f t="shared" si="5"/>
        <v>72.04964974</v>
      </c>
      <c r="M63" s="164">
        <v>150.0</v>
      </c>
      <c r="N63" s="84">
        <f t="shared" si="6"/>
        <v>77.95035026</v>
      </c>
      <c r="O63" s="175">
        <v>17.0</v>
      </c>
      <c r="P63" s="158">
        <v>19.0</v>
      </c>
      <c r="R63" s="204">
        <v>47.0</v>
      </c>
      <c r="S63" s="171">
        <v>49.0</v>
      </c>
      <c r="T63" s="172">
        <f t="shared" si="10"/>
        <v>5382</v>
      </c>
      <c r="U63" s="172">
        <f t="shared" si="11"/>
        <v>20471</v>
      </c>
      <c r="V63" s="172"/>
      <c r="W63" s="172"/>
      <c r="X63" s="181">
        <v>7600.0</v>
      </c>
      <c r="Y63" s="173">
        <f t="shared" si="12"/>
        <v>758.2100679</v>
      </c>
      <c r="Z63" s="143">
        <f t="shared" si="13"/>
        <v>166.8062149</v>
      </c>
      <c r="AA63" s="143">
        <f t="shared" si="14"/>
        <v>925.0162828</v>
      </c>
      <c r="AB63" s="144">
        <f t="shared" si="15"/>
        <v>300.4731518</v>
      </c>
    </row>
    <row r="64" ht="15.75" customHeight="1">
      <c r="A64" s="175"/>
      <c r="B64" s="175" t="s">
        <v>118</v>
      </c>
      <c r="C64" s="174">
        <v>172.0</v>
      </c>
      <c r="D64" s="174">
        <v>894.0</v>
      </c>
      <c r="E64" s="175">
        <v>800.0</v>
      </c>
      <c r="F64" s="178">
        <v>3700.0</v>
      </c>
      <c r="G64" s="175">
        <v>0.0</v>
      </c>
      <c r="H64" s="165">
        <f t="shared" si="1"/>
        <v>4500</v>
      </c>
      <c r="I64" s="67">
        <f t="shared" si="9"/>
        <v>756.3645686</v>
      </c>
      <c r="J64" s="68">
        <f t="shared" si="3"/>
        <v>18.33913949</v>
      </c>
      <c r="K64" s="166">
        <f t="shared" si="4"/>
        <v>127.4480681</v>
      </c>
      <c r="L64" s="70">
        <f t="shared" si="5"/>
        <v>155.374847</v>
      </c>
      <c r="M64" s="164">
        <v>260.0</v>
      </c>
      <c r="N64" s="84">
        <f t="shared" si="6"/>
        <v>104.625153</v>
      </c>
      <c r="O64" s="175">
        <v>17.0</v>
      </c>
      <c r="P64" s="158">
        <v>19.0</v>
      </c>
      <c r="R64" s="203">
        <v>48.0</v>
      </c>
      <c r="S64" s="168">
        <v>50.0</v>
      </c>
      <c r="T64" s="142">
        <f t="shared" si="10"/>
        <v>12828</v>
      </c>
      <c r="U64" s="142">
        <f t="shared" si="11"/>
        <v>50977</v>
      </c>
      <c r="V64" s="142"/>
      <c r="W64" s="142"/>
      <c r="X64" s="175">
        <v>12000.0</v>
      </c>
      <c r="Y64" s="143">
        <f t="shared" si="12"/>
        <v>1573.924853</v>
      </c>
      <c r="Z64" s="143">
        <f t="shared" si="13"/>
        <v>346.2634676</v>
      </c>
      <c r="AA64" s="143">
        <f t="shared" si="14"/>
        <v>1920.18832</v>
      </c>
      <c r="AB64" s="144">
        <f t="shared" si="15"/>
        <v>170.1570477</v>
      </c>
    </row>
    <row r="65" ht="15.75" customHeight="1">
      <c r="A65" s="175"/>
      <c r="B65" s="175" t="s">
        <v>109</v>
      </c>
      <c r="C65" s="174">
        <v>165.0</v>
      </c>
      <c r="D65" s="174">
        <v>4122.0</v>
      </c>
      <c r="E65" s="175">
        <v>800.0</v>
      </c>
      <c r="F65" s="178">
        <v>11111.0</v>
      </c>
      <c r="G65" s="175">
        <v>0.0</v>
      </c>
      <c r="H65" s="165">
        <f t="shared" si="1"/>
        <v>11911</v>
      </c>
      <c r="I65" s="67">
        <f t="shared" si="9"/>
        <v>3156.952331</v>
      </c>
      <c r="J65" s="68">
        <f t="shared" si="3"/>
        <v>76.54481919</v>
      </c>
      <c r="K65" s="166">
        <f t="shared" si="4"/>
        <v>365.3440299</v>
      </c>
      <c r="L65" s="70">
        <f t="shared" si="5"/>
        <v>449.2073923</v>
      </c>
      <c r="M65" s="164">
        <v>1080.0</v>
      </c>
      <c r="N65" s="84">
        <f t="shared" si="6"/>
        <v>630.7926077</v>
      </c>
      <c r="O65" s="175">
        <v>18.0</v>
      </c>
      <c r="P65" s="158">
        <v>20.0</v>
      </c>
      <c r="R65" s="204">
        <v>49.0</v>
      </c>
      <c r="S65" s="171">
        <v>51.0</v>
      </c>
      <c r="T65" s="172">
        <f t="shared" si="10"/>
        <v>21900</v>
      </c>
      <c r="U65" s="172">
        <f t="shared" si="11"/>
        <v>39017</v>
      </c>
      <c r="V65" s="172"/>
      <c r="W65" s="172"/>
      <c r="X65" s="181">
        <v>14400.0</v>
      </c>
      <c r="Y65" s="173">
        <f t="shared" si="12"/>
        <v>1480.002</v>
      </c>
      <c r="Z65" s="143">
        <f t="shared" si="13"/>
        <v>325.60044</v>
      </c>
      <c r="AA65" s="143">
        <f t="shared" si="14"/>
        <v>1805.60244</v>
      </c>
      <c r="AB65" s="144">
        <f t="shared" si="15"/>
        <v>489.9059021</v>
      </c>
    </row>
    <row r="66" ht="15.75" customHeight="1">
      <c r="A66" s="175"/>
      <c r="B66" s="175" t="s">
        <v>92</v>
      </c>
      <c r="C66" s="174">
        <v>167.0</v>
      </c>
      <c r="D66" s="174">
        <v>6030.0</v>
      </c>
      <c r="E66" s="175">
        <v>500.0</v>
      </c>
      <c r="F66" s="178">
        <v>4300.0</v>
      </c>
      <c r="G66" s="175">
        <v>1620.0</v>
      </c>
      <c r="H66" s="165">
        <f t="shared" si="1"/>
        <v>6420</v>
      </c>
      <c r="I66" s="67">
        <f t="shared" si="9"/>
        <v>4618.249043</v>
      </c>
      <c r="J66" s="68">
        <f t="shared" si="3"/>
        <v>111.9760455</v>
      </c>
      <c r="K66" s="166">
        <f t="shared" si="4"/>
        <v>267.638117</v>
      </c>
      <c r="L66" s="70">
        <f t="shared" si="5"/>
        <v>300.0935628</v>
      </c>
      <c r="M66" s="164">
        <v>850.0</v>
      </c>
      <c r="N66" s="84">
        <f t="shared" si="6"/>
        <v>549.9064372</v>
      </c>
      <c r="O66" s="175">
        <v>18.0</v>
      </c>
      <c r="P66" s="158">
        <v>20.0</v>
      </c>
      <c r="R66" s="203">
        <v>50.0</v>
      </c>
      <c r="S66" s="168">
        <v>52.0</v>
      </c>
      <c r="T66" s="142">
        <f t="shared" si="10"/>
        <v>7000</v>
      </c>
      <c r="U66" s="142">
        <f t="shared" si="11"/>
        <v>15980</v>
      </c>
      <c r="V66" s="142"/>
      <c r="W66" s="142"/>
      <c r="X66" s="175">
        <v>6900.0</v>
      </c>
      <c r="Y66" s="143">
        <f t="shared" si="12"/>
        <v>648.8344286</v>
      </c>
      <c r="Z66" s="143">
        <f t="shared" si="13"/>
        <v>142.7435743</v>
      </c>
      <c r="AA66" s="143">
        <f t="shared" si="14"/>
        <v>791.5780029</v>
      </c>
      <c r="AB66" s="144">
        <f t="shared" si="15"/>
        <v>637.8085032</v>
      </c>
    </row>
    <row r="67" ht="15.75" customHeight="1">
      <c r="A67" s="175"/>
      <c r="B67" s="175" t="s">
        <v>92</v>
      </c>
      <c r="C67" s="174">
        <v>168.0</v>
      </c>
      <c r="D67" s="174">
        <v>4916.0</v>
      </c>
      <c r="E67" s="175">
        <v>500.0</v>
      </c>
      <c r="F67" s="178">
        <v>6700.0</v>
      </c>
      <c r="G67" s="175">
        <v>1620.0</v>
      </c>
      <c r="H67" s="165">
        <f t="shared" si="1"/>
        <v>8820</v>
      </c>
      <c r="I67" s="67">
        <f t="shared" si="9"/>
        <v>3765.060082</v>
      </c>
      <c r="J67" s="68">
        <f t="shared" si="3"/>
        <v>91.28926034</v>
      </c>
      <c r="K67" s="166">
        <f t="shared" si="4"/>
        <v>305.1427603</v>
      </c>
      <c r="L67" s="70">
        <f t="shared" si="5"/>
        <v>355.7128736</v>
      </c>
      <c r="M67" s="164">
        <v>800.0</v>
      </c>
      <c r="N67" s="84">
        <f t="shared" si="6"/>
        <v>444.2871264</v>
      </c>
      <c r="O67" s="175">
        <v>18.0</v>
      </c>
      <c r="P67" s="158">
        <v>20.0</v>
      </c>
      <c r="R67" s="204">
        <v>51.0</v>
      </c>
      <c r="S67" s="171">
        <v>53.0</v>
      </c>
      <c r="T67" s="172">
        <f t="shared" si="10"/>
        <v>1600</v>
      </c>
      <c r="U67" s="172">
        <f t="shared" si="11"/>
        <v>10900</v>
      </c>
      <c r="V67" s="172"/>
      <c r="W67" s="172"/>
      <c r="X67" s="181">
        <v>4100.0</v>
      </c>
      <c r="Y67" s="173">
        <f t="shared" si="12"/>
        <v>403.3845372</v>
      </c>
      <c r="Z67" s="143">
        <f t="shared" si="13"/>
        <v>88.74459819</v>
      </c>
      <c r="AA67" s="143">
        <f t="shared" si="14"/>
        <v>492.1291354</v>
      </c>
      <c r="AB67" s="144">
        <f t="shared" si="15"/>
        <v>-574.3999166</v>
      </c>
    </row>
    <row r="68" ht="15.75" customHeight="1">
      <c r="A68" s="175"/>
      <c r="B68" s="175" t="s">
        <v>92</v>
      </c>
      <c r="C68" s="174">
        <v>171.0</v>
      </c>
      <c r="D68" s="174">
        <v>7091.0</v>
      </c>
      <c r="E68" s="175">
        <v>500.0</v>
      </c>
      <c r="F68" s="178">
        <v>4950.0</v>
      </c>
      <c r="G68" s="175">
        <v>2010.0</v>
      </c>
      <c r="H68" s="165">
        <f t="shared" si="1"/>
        <v>7460</v>
      </c>
      <c r="I68" s="67">
        <f t="shared" si="9"/>
        <v>5430.846428</v>
      </c>
      <c r="J68" s="68">
        <f t="shared" si="3"/>
        <v>131.67863</v>
      </c>
      <c r="K68" s="166">
        <f t="shared" si="4"/>
        <v>312.5569871</v>
      </c>
      <c r="L68" s="70">
        <f t="shared" si="5"/>
        <v>349.9184887</v>
      </c>
      <c r="M68" s="164">
        <v>1100.0</v>
      </c>
      <c r="N68" s="84">
        <f t="shared" si="6"/>
        <v>750.0815113</v>
      </c>
      <c r="O68" s="175">
        <v>18.0</v>
      </c>
      <c r="P68" s="158">
        <v>20.0</v>
      </c>
      <c r="R68" s="203">
        <v>52.0</v>
      </c>
      <c r="S68" s="168">
        <v>54.0</v>
      </c>
      <c r="T68" s="142">
        <f t="shared" si="10"/>
        <v>6300</v>
      </c>
      <c r="U68" s="142">
        <f t="shared" si="11"/>
        <v>18833</v>
      </c>
      <c r="V68" s="142"/>
      <c r="W68" s="142"/>
      <c r="X68" s="175">
        <v>7600.0</v>
      </c>
      <c r="Y68" s="143">
        <f t="shared" si="12"/>
        <v>679.7001321</v>
      </c>
      <c r="Z68" s="143">
        <f t="shared" si="13"/>
        <v>149.5340291</v>
      </c>
      <c r="AA68" s="143">
        <f t="shared" si="14"/>
        <v>829.2341612</v>
      </c>
      <c r="AB68" s="144">
        <f t="shared" si="15"/>
        <v>-971.3814661</v>
      </c>
    </row>
    <row r="69" ht="15.75" customHeight="1">
      <c r="A69" s="175"/>
      <c r="B69" s="175" t="s">
        <v>119</v>
      </c>
      <c r="C69" s="174">
        <v>175.0</v>
      </c>
      <c r="D69" s="174">
        <v>560.0</v>
      </c>
      <c r="E69" s="175">
        <v>800.0</v>
      </c>
      <c r="F69" s="178">
        <v>2888.0</v>
      </c>
      <c r="G69" s="175">
        <v>0.0</v>
      </c>
      <c r="H69" s="165">
        <f t="shared" si="1"/>
        <v>3688</v>
      </c>
      <c r="I69" s="67">
        <f t="shared" si="9"/>
        <v>428.8921167</v>
      </c>
      <c r="J69" s="68">
        <f t="shared" si="3"/>
        <v>10.39910207</v>
      </c>
      <c r="K69" s="166">
        <f t="shared" si="4"/>
        <v>99.81993064</v>
      </c>
      <c r="L69" s="70">
        <f t="shared" si="5"/>
        <v>121.6179138</v>
      </c>
      <c r="M69" s="164">
        <v>190.0</v>
      </c>
      <c r="N69" s="84">
        <f t="shared" si="6"/>
        <v>68.38208622</v>
      </c>
      <c r="O69" s="175">
        <v>18.0</v>
      </c>
      <c r="P69" s="158">
        <v>20.0</v>
      </c>
      <c r="R69" s="204">
        <v>53.0</v>
      </c>
      <c r="S69" s="171">
        <v>55.0</v>
      </c>
      <c r="T69" s="172">
        <f t="shared" si="10"/>
        <v>7790</v>
      </c>
      <c r="U69" s="172">
        <f t="shared" si="11"/>
        <v>20900</v>
      </c>
      <c r="V69" s="172"/>
      <c r="W69" s="172"/>
      <c r="X69" s="181">
        <v>8300.0</v>
      </c>
      <c r="Y69" s="173">
        <f t="shared" si="12"/>
        <v>763.7625</v>
      </c>
      <c r="Z69" s="143">
        <f t="shared" si="13"/>
        <v>168.02775</v>
      </c>
      <c r="AA69" s="143">
        <f t="shared" si="14"/>
        <v>931.79025</v>
      </c>
      <c r="AB69" s="144">
        <f t="shared" si="15"/>
        <v>-1089.538812</v>
      </c>
    </row>
    <row r="70" ht="15.75" customHeight="1">
      <c r="A70" s="175"/>
      <c r="B70" s="175" t="s">
        <v>120</v>
      </c>
      <c r="C70" s="174">
        <v>177.0</v>
      </c>
      <c r="D70" s="174">
        <v>3348.0</v>
      </c>
      <c r="E70" s="175">
        <v>500.0</v>
      </c>
      <c r="F70" s="178">
        <v>580.0</v>
      </c>
      <c r="G70" s="175">
        <v>750.0</v>
      </c>
      <c r="H70" s="165">
        <f t="shared" si="1"/>
        <v>1830</v>
      </c>
      <c r="I70" s="67">
        <f t="shared" si="9"/>
        <v>3041.076535</v>
      </c>
      <c r="J70" s="68">
        <f t="shared" si="3"/>
        <v>73.73524498</v>
      </c>
      <c r="K70" s="166">
        <f t="shared" si="4"/>
        <v>118.1062093</v>
      </c>
      <c r="L70" s="70">
        <f t="shared" si="5"/>
        <v>122.4839206</v>
      </c>
      <c r="M70" s="164">
        <v>400.0</v>
      </c>
      <c r="N70" s="84">
        <f t="shared" si="6"/>
        <v>277.5160794</v>
      </c>
      <c r="O70" s="175">
        <v>20.0</v>
      </c>
      <c r="P70" s="158">
        <v>21.0</v>
      </c>
      <c r="R70" s="203">
        <v>54.0</v>
      </c>
      <c r="S70" s="168">
        <v>56.0</v>
      </c>
      <c r="T70" s="142">
        <f t="shared" si="10"/>
        <v>14800</v>
      </c>
      <c r="U70" s="142">
        <f t="shared" si="11"/>
        <v>19980</v>
      </c>
      <c r="V70" s="142"/>
      <c r="W70" s="142"/>
      <c r="X70" s="175">
        <v>12600.0</v>
      </c>
      <c r="Y70" s="143">
        <f t="shared" si="12"/>
        <v>887.9042143</v>
      </c>
      <c r="Z70" s="143">
        <f t="shared" si="13"/>
        <v>195.3389271</v>
      </c>
      <c r="AA70" s="143">
        <f t="shared" si="14"/>
        <v>1083.243141</v>
      </c>
      <c r="AB70" s="144">
        <f t="shared" si="15"/>
        <v>-1234.047748</v>
      </c>
    </row>
    <row r="71" ht="15.75" customHeight="1">
      <c r="A71" s="175"/>
      <c r="B71" s="175" t="s">
        <v>96</v>
      </c>
      <c r="C71" s="174">
        <v>180.0</v>
      </c>
      <c r="D71" s="174">
        <v>2206.0</v>
      </c>
      <c r="E71" s="175">
        <v>800.0</v>
      </c>
      <c r="F71" s="178">
        <v>11999.0</v>
      </c>
      <c r="G71" s="175">
        <v>0.0</v>
      </c>
      <c r="H71" s="165">
        <f t="shared" si="1"/>
        <v>12799</v>
      </c>
      <c r="I71" s="67">
        <f t="shared" si="9"/>
        <v>2003.767872</v>
      </c>
      <c r="J71" s="68">
        <f t="shared" si="3"/>
        <v>48.58421459</v>
      </c>
      <c r="K71" s="166">
        <f t="shared" si="4"/>
        <v>358.9142539</v>
      </c>
      <c r="L71" s="70">
        <f t="shared" si="5"/>
        <v>449.4800432</v>
      </c>
      <c r="M71" s="164">
        <v>500.0</v>
      </c>
      <c r="N71" s="84">
        <f t="shared" si="6"/>
        <v>50.51995678</v>
      </c>
      <c r="O71" s="175">
        <v>20.0</v>
      </c>
      <c r="P71" s="158">
        <v>21.0</v>
      </c>
      <c r="R71" s="204">
        <v>55.0</v>
      </c>
      <c r="S71" s="171">
        <v>57.0</v>
      </c>
      <c r="T71" s="172">
        <f t="shared" si="10"/>
        <v>9090</v>
      </c>
      <c r="U71" s="172">
        <f t="shared" si="11"/>
        <v>18350</v>
      </c>
      <c r="V71" s="172"/>
      <c r="W71" s="172"/>
      <c r="X71" s="181">
        <v>9600.0</v>
      </c>
      <c r="Y71" s="173">
        <f t="shared" si="12"/>
        <v>738.0612857</v>
      </c>
      <c r="Z71" s="143">
        <f t="shared" si="13"/>
        <v>162.3734829</v>
      </c>
      <c r="AA71" s="143">
        <f t="shared" si="14"/>
        <v>900.4347686</v>
      </c>
      <c r="AB71" s="144">
        <f t="shared" si="15"/>
        <v>-1038.936497</v>
      </c>
    </row>
    <row r="72" ht="15.75" customHeight="1">
      <c r="A72" s="175"/>
      <c r="B72" s="175" t="s">
        <v>96</v>
      </c>
      <c r="C72" s="174">
        <v>181.0</v>
      </c>
      <c r="D72" s="174">
        <v>4020.0</v>
      </c>
      <c r="E72" s="175">
        <v>800.0</v>
      </c>
      <c r="F72" s="178">
        <v>30000.0</v>
      </c>
      <c r="G72" s="175">
        <v>0.0</v>
      </c>
      <c r="H72" s="165">
        <f t="shared" si="1"/>
        <v>30800</v>
      </c>
      <c r="I72" s="67">
        <f t="shared" si="9"/>
        <v>3651.471825</v>
      </c>
      <c r="J72" s="68">
        <f t="shared" si="3"/>
        <v>88.53515079</v>
      </c>
      <c r="K72" s="166">
        <f t="shared" si="4"/>
        <v>835.3251508</v>
      </c>
      <c r="L72" s="70">
        <f t="shared" si="5"/>
        <v>1061.758494</v>
      </c>
      <c r="M72" s="164">
        <v>1490.0</v>
      </c>
      <c r="N72" s="84">
        <f t="shared" si="6"/>
        <v>428.2415064</v>
      </c>
      <c r="O72" s="175">
        <v>20.0</v>
      </c>
      <c r="P72" s="158">
        <v>21.0</v>
      </c>
      <c r="R72" s="203">
        <v>56.0</v>
      </c>
      <c r="S72" s="168">
        <v>58.0</v>
      </c>
      <c r="T72" s="142">
        <f t="shared" si="10"/>
        <v>12280</v>
      </c>
      <c r="U72" s="142">
        <f t="shared" si="11"/>
        <v>22110</v>
      </c>
      <c r="V72" s="142"/>
      <c r="W72" s="142"/>
      <c r="X72" s="175">
        <v>10800.0</v>
      </c>
      <c r="Y72" s="143">
        <f t="shared" si="12"/>
        <v>846.9762429</v>
      </c>
      <c r="Z72" s="143">
        <f t="shared" si="13"/>
        <v>186.3347734</v>
      </c>
      <c r="AA72" s="143">
        <f t="shared" si="14"/>
        <v>1033.311016</v>
      </c>
      <c r="AB72" s="144">
        <f t="shared" si="15"/>
        <v>-1200.19239</v>
      </c>
    </row>
    <row r="73" ht="15.75" customHeight="1">
      <c r="A73" s="175"/>
      <c r="B73" s="175" t="s">
        <v>96</v>
      </c>
      <c r="C73" s="174">
        <v>185.0</v>
      </c>
      <c r="D73" s="174">
        <v>2316.0</v>
      </c>
      <c r="E73" s="175">
        <v>800.0</v>
      </c>
      <c r="F73" s="178">
        <v>4500.0</v>
      </c>
      <c r="G73" s="175">
        <v>0.0</v>
      </c>
      <c r="H73" s="165">
        <f t="shared" si="1"/>
        <v>5300</v>
      </c>
      <c r="I73" s="67">
        <f t="shared" si="9"/>
        <v>2103.683768</v>
      </c>
      <c r="J73" s="68">
        <f t="shared" si="3"/>
        <v>51.00681821</v>
      </c>
      <c r="K73" s="166">
        <f t="shared" si="4"/>
        <v>179.5128896</v>
      </c>
      <c r="L73" s="70">
        <f t="shared" si="5"/>
        <v>213.4778911</v>
      </c>
      <c r="M73" s="164">
        <v>300.0</v>
      </c>
      <c r="N73" s="84">
        <f t="shared" si="6"/>
        <v>86.52210893</v>
      </c>
      <c r="O73" s="175">
        <v>20.0</v>
      </c>
      <c r="P73" s="158">
        <v>21.0</v>
      </c>
      <c r="R73" s="204">
        <v>57.0</v>
      </c>
      <c r="S73" s="171">
        <v>59.0</v>
      </c>
      <c r="T73" s="172">
        <f t="shared" si="10"/>
        <v>10080</v>
      </c>
      <c r="U73" s="172">
        <f t="shared" si="11"/>
        <v>15999</v>
      </c>
      <c r="V73" s="172"/>
      <c r="W73" s="172"/>
      <c r="X73" s="181">
        <v>10200.0</v>
      </c>
      <c r="Y73" s="173">
        <f t="shared" si="12"/>
        <v>654.629325</v>
      </c>
      <c r="Z73" s="143">
        <f t="shared" si="13"/>
        <v>144.0184515</v>
      </c>
      <c r="AA73" s="143">
        <f t="shared" si="14"/>
        <v>798.6477765</v>
      </c>
      <c r="AB73" s="144">
        <f t="shared" si="15"/>
        <v>-919.4046782</v>
      </c>
    </row>
    <row r="74" ht="15.75" customHeight="1">
      <c r="A74" s="175"/>
      <c r="B74" s="175" t="s">
        <v>92</v>
      </c>
      <c r="C74" s="174">
        <v>174.0</v>
      </c>
      <c r="D74" s="174">
        <v>13830.0</v>
      </c>
      <c r="E74" s="175">
        <v>500.0</v>
      </c>
      <c r="F74" s="178">
        <v>20350.0</v>
      </c>
      <c r="G74" s="175">
        <v>1210.0</v>
      </c>
      <c r="H74" s="165">
        <f t="shared" si="1"/>
        <v>22060</v>
      </c>
      <c r="I74" s="67">
        <f t="shared" si="9"/>
        <v>11620.49247</v>
      </c>
      <c r="J74" s="68">
        <f t="shared" si="3"/>
        <v>281.7554407</v>
      </c>
      <c r="K74" s="166">
        <f t="shared" si="4"/>
        <v>816.631655</v>
      </c>
      <c r="L74" s="70">
        <f t="shared" si="5"/>
        <v>970.2289392</v>
      </c>
      <c r="M74" s="164">
        <v>1200.0</v>
      </c>
      <c r="N74" s="84">
        <f t="shared" si="6"/>
        <v>229.7710608</v>
      </c>
      <c r="O74" s="175">
        <v>19.0</v>
      </c>
      <c r="P74" s="158">
        <v>22.0</v>
      </c>
      <c r="R74" s="203">
        <v>58.0</v>
      </c>
      <c r="S74" s="168">
        <v>60.0</v>
      </c>
      <c r="T74" s="142">
        <f t="shared" si="10"/>
        <v>9460</v>
      </c>
      <c r="U74" s="142">
        <f t="shared" si="11"/>
        <v>39499</v>
      </c>
      <c r="V74" s="142"/>
      <c r="W74" s="142"/>
      <c r="X74" s="175">
        <v>9600.0</v>
      </c>
      <c r="Y74" s="143">
        <f t="shared" si="12"/>
        <v>1263.214682</v>
      </c>
      <c r="Z74" s="143">
        <f t="shared" si="13"/>
        <v>277.9072301</v>
      </c>
      <c r="AA74" s="143">
        <f t="shared" si="14"/>
        <v>1541.121912</v>
      </c>
      <c r="AB74" s="144">
        <f t="shared" si="15"/>
        <v>-1839.251599</v>
      </c>
    </row>
    <row r="75" ht="15.75" customHeight="1">
      <c r="A75" s="175"/>
      <c r="B75" s="175" t="s">
        <v>121</v>
      </c>
      <c r="C75" s="174">
        <v>176.0</v>
      </c>
      <c r="D75" s="174">
        <v>3308.0</v>
      </c>
      <c r="E75" s="175">
        <v>500.0</v>
      </c>
      <c r="F75" s="178">
        <v>8825.0</v>
      </c>
      <c r="G75" s="175">
        <v>902.0</v>
      </c>
      <c r="H75" s="165">
        <f t="shared" si="1"/>
        <v>10227</v>
      </c>
      <c r="I75" s="67">
        <f t="shared" si="9"/>
        <v>2779.507527</v>
      </c>
      <c r="J75" s="68">
        <f t="shared" si="3"/>
        <v>67.39313072</v>
      </c>
      <c r="K75" s="166">
        <f t="shared" si="4"/>
        <v>315.3613557</v>
      </c>
      <c r="L75" s="70">
        <f t="shared" si="5"/>
        <v>381.9704974</v>
      </c>
      <c r="M75" s="164">
        <v>550.0</v>
      </c>
      <c r="N75" s="84">
        <f t="shared" si="6"/>
        <v>168.0295026</v>
      </c>
      <c r="O75" s="175">
        <v>19.0</v>
      </c>
      <c r="P75" s="158">
        <v>22.0</v>
      </c>
      <c r="R75" s="204">
        <v>59.0</v>
      </c>
      <c r="S75" s="205"/>
      <c r="T75" s="172">
        <f t="shared" si="10"/>
        <v>0</v>
      </c>
      <c r="U75" s="172">
        <f t="shared" si="11"/>
        <v>0</v>
      </c>
      <c r="V75" s="172"/>
      <c r="W75" s="172"/>
      <c r="X75" s="172"/>
      <c r="Y75" s="173">
        <f t="shared" si="12"/>
        <v>0</v>
      </c>
      <c r="Z75" s="143">
        <f t="shared" si="13"/>
        <v>0</v>
      </c>
      <c r="AA75" s="143">
        <f t="shared" si="14"/>
        <v>0</v>
      </c>
      <c r="AB75" s="144">
        <f t="shared" si="15"/>
        <v>0</v>
      </c>
    </row>
    <row r="76" ht="15.75" customHeight="1">
      <c r="A76" s="175"/>
      <c r="B76" s="175" t="s">
        <v>109</v>
      </c>
      <c r="C76" s="174">
        <v>184.0</v>
      </c>
      <c r="D76" s="174">
        <v>1566.0</v>
      </c>
      <c r="E76" s="175">
        <v>800.0</v>
      </c>
      <c r="F76" s="178">
        <v>10500.0</v>
      </c>
      <c r="G76" s="175">
        <v>0.0</v>
      </c>
      <c r="H76" s="165">
        <f t="shared" si="1"/>
        <v>11300</v>
      </c>
      <c r="I76" s="67">
        <f t="shared" si="9"/>
        <v>1228.095698</v>
      </c>
      <c r="J76" s="68">
        <f t="shared" si="3"/>
        <v>29.77693462</v>
      </c>
      <c r="K76" s="166">
        <f t="shared" si="4"/>
        <v>303.7615775</v>
      </c>
      <c r="L76" s="70">
        <f t="shared" si="5"/>
        <v>383.0132475</v>
      </c>
      <c r="M76" s="164">
        <v>500.0</v>
      </c>
      <c r="N76" s="84">
        <f t="shared" si="6"/>
        <v>116.9867525</v>
      </c>
      <c r="O76" s="175">
        <v>21.0</v>
      </c>
      <c r="P76" s="158">
        <v>23.0</v>
      </c>
      <c r="R76" s="203">
        <v>60.0</v>
      </c>
      <c r="S76" s="141"/>
      <c r="T76" s="142">
        <f t="shared" si="10"/>
        <v>0</v>
      </c>
      <c r="U76" s="142">
        <f t="shared" si="11"/>
        <v>0</v>
      </c>
      <c r="V76" s="142"/>
      <c r="W76" s="142"/>
      <c r="X76" s="142"/>
      <c r="Y76" s="143">
        <f t="shared" si="12"/>
        <v>0</v>
      </c>
      <c r="Z76" s="143">
        <f t="shared" si="13"/>
        <v>0</v>
      </c>
      <c r="AA76" s="143">
        <f t="shared" si="14"/>
        <v>0</v>
      </c>
      <c r="AB76" s="144">
        <f t="shared" si="15"/>
        <v>0</v>
      </c>
    </row>
    <row r="77" ht="15.75" customHeight="1">
      <c r="A77" s="175"/>
      <c r="B77" s="175" t="s">
        <v>121</v>
      </c>
      <c r="C77" s="174">
        <v>186.0</v>
      </c>
      <c r="D77" s="174">
        <v>6136.0</v>
      </c>
      <c r="E77" s="175">
        <v>500.0</v>
      </c>
      <c r="F77" s="178">
        <v>6025.0</v>
      </c>
      <c r="G77" s="175">
        <v>2440.0</v>
      </c>
      <c r="H77" s="165">
        <f t="shared" si="1"/>
        <v>8965</v>
      </c>
      <c r="I77" s="67">
        <f t="shared" si="9"/>
        <v>4812.002046</v>
      </c>
      <c r="J77" s="68">
        <f t="shared" si="3"/>
        <v>116.6738639</v>
      </c>
      <c r="K77" s="166">
        <f t="shared" si="4"/>
        <v>334.043096</v>
      </c>
      <c r="L77" s="70">
        <f t="shared" si="5"/>
        <v>379.518459</v>
      </c>
      <c r="M77" s="164">
        <v>750.0</v>
      </c>
      <c r="N77" s="84">
        <f t="shared" si="6"/>
        <v>370.481541</v>
      </c>
      <c r="O77" s="175">
        <v>21.0</v>
      </c>
      <c r="P77" s="158">
        <v>23.0</v>
      </c>
      <c r="R77" s="204">
        <v>61.0</v>
      </c>
      <c r="S77" s="205"/>
      <c r="T77" s="172">
        <f t="shared" si="10"/>
        <v>0</v>
      </c>
      <c r="U77" s="172">
        <f t="shared" si="11"/>
        <v>0</v>
      </c>
      <c r="V77" s="172"/>
      <c r="W77" s="172"/>
      <c r="X77" s="172"/>
      <c r="Y77" s="173">
        <f t="shared" si="12"/>
        <v>0</v>
      </c>
      <c r="Z77" s="143">
        <f t="shared" si="13"/>
        <v>0</v>
      </c>
      <c r="AA77" s="143">
        <f t="shared" si="14"/>
        <v>0</v>
      </c>
      <c r="AB77" s="144">
        <f t="shared" si="15"/>
        <v>0</v>
      </c>
    </row>
    <row r="78" ht="15.75" customHeight="1">
      <c r="A78" s="175"/>
      <c r="B78" s="175" t="s">
        <v>121</v>
      </c>
      <c r="C78" s="174">
        <v>187.0</v>
      </c>
      <c r="D78" s="174">
        <v>6147.0</v>
      </c>
      <c r="E78" s="175">
        <v>500.0</v>
      </c>
      <c r="F78" s="178">
        <v>10051.0</v>
      </c>
      <c r="G78" s="175">
        <v>2440.0</v>
      </c>
      <c r="H78" s="165">
        <f t="shared" si="1"/>
        <v>12991</v>
      </c>
      <c r="I78" s="67">
        <f t="shared" si="9"/>
        <v>4820.628516</v>
      </c>
      <c r="J78" s="68">
        <f t="shared" si="3"/>
        <v>116.883025</v>
      </c>
      <c r="K78" s="166">
        <f t="shared" si="4"/>
        <v>431.8683786</v>
      </c>
      <c r="L78" s="70">
        <f t="shared" si="5"/>
        <v>507.7310962</v>
      </c>
      <c r="M78" s="164">
        <v>1000.0</v>
      </c>
      <c r="N78" s="84">
        <f t="shared" si="6"/>
        <v>492.2689038</v>
      </c>
      <c r="O78" s="175">
        <v>21.0</v>
      </c>
      <c r="P78" s="158">
        <v>23.0</v>
      </c>
      <c r="R78" s="203">
        <v>62.0</v>
      </c>
      <c r="S78" s="141"/>
      <c r="T78" s="142">
        <f t="shared" si="10"/>
        <v>0</v>
      </c>
      <c r="U78" s="142">
        <f t="shared" si="11"/>
        <v>0</v>
      </c>
      <c r="V78" s="142"/>
      <c r="W78" s="142"/>
      <c r="X78" s="142"/>
      <c r="Y78" s="143">
        <f t="shared" si="12"/>
        <v>0</v>
      </c>
      <c r="Z78" s="143">
        <f t="shared" si="13"/>
        <v>0</v>
      </c>
      <c r="AA78" s="143">
        <f t="shared" si="14"/>
        <v>0</v>
      </c>
      <c r="AB78" s="144">
        <f t="shared" si="15"/>
        <v>0</v>
      </c>
    </row>
    <row r="79" ht="15.75" customHeight="1">
      <c r="A79" s="175"/>
      <c r="B79" s="175" t="s">
        <v>110</v>
      </c>
      <c r="C79" s="174">
        <v>195.0</v>
      </c>
      <c r="D79" s="174">
        <v>3748.0</v>
      </c>
      <c r="E79" s="175">
        <v>500.0</v>
      </c>
      <c r="F79" s="178">
        <v>990.0</v>
      </c>
      <c r="G79" s="175">
        <v>2260.0</v>
      </c>
      <c r="H79" s="165">
        <f t="shared" si="1"/>
        <v>3750</v>
      </c>
      <c r="I79" s="67">
        <f t="shared" si="9"/>
        <v>2939.27374</v>
      </c>
      <c r="J79" s="68">
        <f t="shared" si="3"/>
        <v>71.26689078</v>
      </c>
      <c r="K79" s="166">
        <f t="shared" si="4"/>
        <v>162.1909979</v>
      </c>
      <c r="L79" s="70">
        <f t="shared" si="5"/>
        <v>169.6632982</v>
      </c>
      <c r="M79" s="164">
        <v>100.0</v>
      </c>
      <c r="N79" s="84">
        <f t="shared" si="6"/>
        <v>-69.66329824</v>
      </c>
      <c r="O79" s="175">
        <v>21.0</v>
      </c>
      <c r="P79" s="158">
        <v>23.0</v>
      </c>
      <c r="R79" s="204">
        <v>63.0</v>
      </c>
      <c r="S79" s="205"/>
      <c r="T79" s="172">
        <f t="shared" si="10"/>
        <v>0</v>
      </c>
      <c r="U79" s="172">
        <f t="shared" si="11"/>
        <v>0</v>
      </c>
      <c r="V79" s="172"/>
      <c r="W79" s="172"/>
      <c r="X79" s="172"/>
      <c r="Y79" s="173">
        <f t="shared" si="12"/>
        <v>0</v>
      </c>
      <c r="Z79" s="143">
        <f t="shared" si="13"/>
        <v>0</v>
      </c>
      <c r="AA79" s="143">
        <f t="shared" si="14"/>
        <v>0</v>
      </c>
      <c r="AB79" s="144">
        <f t="shared" si="15"/>
        <v>0</v>
      </c>
    </row>
    <row r="80" ht="15.75" customHeight="1">
      <c r="A80" s="175"/>
      <c r="B80" s="175" t="s">
        <v>96</v>
      </c>
      <c r="C80" s="174">
        <v>183.0</v>
      </c>
      <c r="D80" s="174">
        <v>7160.0</v>
      </c>
      <c r="E80" s="175">
        <v>800.0</v>
      </c>
      <c r="F80" s="178">
        <v>13999.0</v>
      </c>
      <c r="G80" s="175">
        <v>0.0</v>
      </c>
      <c r="H80" s="165">
        <f t="shared" si="1"/>
        <v>14799</v>
      </c>
      <c r="I80" s="67">
        <f t="shared" si="9"/>
        <v>6249.376559</v>
      </c>
      <c r="J80" s="68">
        <f t="shared" si="3"/>
        <v>151.5250623</v>
      </c>
      <c r="K80" s="166">
        <f t="shared" si="4"/>
        <v>510.3479588</v>
      </c>
      <c r="L80" s="70">
        <f t="shared" si="5"/>
        <v>616.0093043</v>
      </c>
      <c r="M80" s="164">
        <v>1000.0</v>
      </c>
      <c r="N80" s="84">
        <f t="shared" si="6"/>
        <v>383.9906957</v>
      </c>
      <c r="O80" s="175">
        <v>22.0</v>
      </c>
      <c r="P80" s="158">
        <v>24.0</v>
      </c>
      <c r="R80" s="203">
        <v>64.0</v>
      </c>
      <c r="S80" s="141"/>
      <c r="T80" s="142">
        <f t="shared" si="10"/>
        <v>0</v>
      </c>
      <c r="U80" s="142">
        <f t="shared" si="11"/>
        <v>0</v>
      </c>
      <c r="V80" s="142"/>
      <c r="W80" s="142"/>
      <c r="X80" s="142"/>
      <c r="Y80" s="143">
        <f t="shared" si="12"/>
        <v>0</v>
      </c>
      <c r="Z80" s="143">
        <f t="shared" si="13"/>
        <v>0</v>
      </c>
      <c r="AA80" s="143">
        <f t="shared" si="14"/>
        <v>0</v>
      </c>
      <c r="AB80" s="144">
        <f t="shared" si="15"/>
        <v>0</v>
      </c>
    </row>
    <row r="81" ht="15.75" customHeight="1">
      <c r="A81" s="175"/>
      <c r="B81" s="175" t="s">
        <v>122</v>
      </c>
      <c r="C81" s="174">
        <v>188.0</v>
      </c>
      <c r="D81" s="174">
        <v>6046.0</v>
      </c>
      <c r="E81" s="175">
        <v>500.0</v>
      </c>
      <c r="F81" s="178">
        <v>12000.0</v>
      </c>
      <c r="G81" s="175">
        <v>2570.0</v>
      </c>
      <c r="H81" s="165">
        <f t="shared" si="1"/>
        <v>15070</v>
      </c>
      <c r="I81" s="67">
        <f t="shared" si="9"/>
        <v>5277.057357</v>
      </c>
      <c r="J81" s="68">
        <f t="shared" si="3"/>
        <v>127.9497943</v>
      </c>
      <c r="K81" s="166">
        <f t="shared" si="4"/>
        <v>493.3434728</v>
      </c>
      <c r="L81" s="70">
        <f t="shared" si="5"/>
        <v>583.91681</v>
      </c>
      <c r="M81" s="164">
        <v>635.0</v>
      </c>
      <c r="N81" s="84">
        <f t="shared" si="6"/>
        <v>51.08319003</v>
      </c>
      <c r="O81" s="175">
        <v>22.0</v>
      </c>
      <c r="P81" s="158">
        <v>24.0</v>
      </c>
      <c r="R81" s="204">
        <v>65.0</v>
      </c>
      <c r="S81" s="205"/>
      <c r="T81" s="172">
        <f t="shared" si="10"/>
        <v>0</v>
      </c>
      <c r="U81" s="172">
        <f t="shared" si="11"/>
        <v>0</v>
      </c>
      <c r="V81" s="172"/>
      <c r="W81" s="172"/>
      <c r="X81" s="172"/>
      <c r="Y81" s="173">
        <f t="shared" si="12"/>
        <v>0</v>
      </c>
      <c r="Z81" s="143">
        <f t="shared" si="13"/>
        <v>0</v>
      </c>
      <c r="AA81" s="143">
        <f t="shared" si="14"/>
        <v>0</v>
      </c>
      <c r="AB81" s="144">
        <f t="shared" si="15"/>
        <v>0</v>
      </c>
    </row>
    <row r="82" ht="15.75" customHeight="1">
      <c r="A82" s="175"/>
      <c r="B82" s="175" t="s">
        <v>96</v>
      </c>
      <c r="C82" s="174">
        <v>203.0</v>
      </c>
      <c r="D82" s="174">
        <v>1230.0</v>
      </c>
      <c r="E82" s="175">
        <v>800.0</v>
      </c>
      <c r="F82" s="178">
        <v>4000.0</v>
      </c>
      <c r="G82" s="175">
        <v>0.0</v>
      </c>
      <c r="H82" s="165">
        <f t="shared" si="1"/>
        <v>4800</v>
      </c>
      <c r="I82" s="67">
        <f t="shared" si="9"/>
        <v>1073.566085</v>
      </c>
      <c r="J82" s="68">
        <f t="shared" si="3"/>
        <v>26.03014339</v>
      </c>
      <c r="K82" s="166">
        <f t="shared" si="4"/>
        <v>142.4130005</v>
      </c>
      <c r="L82" s="70">
        <f t="shared" si="5"/>
        <v>172.6041129</v>
      </c>
      <c r="M82" s="164">
        <v>300.0</v>
      </c>
      <c r="N82" s="84">
        <f t="shared" si="6"/>
        <v>127.3958871</v>
      </c>
      <c r="O82" s="175">
        <v>22.0</v>
      </c>
      <c r="P82" s="158">
        <v>24.0</v>
      </c>
      <c r="R82" s="203">
        <v>66.0</v>
      </c>
      <c r="S82" s="141"/>
      <c r="T82" s="142">
        <f t="shared" si="10"/>
        <v>0</v>
      </c>
      <c r="U82" s="142">
        <f t="shared" si="11"/>
        <v>0</v>
      </c>
      <c r="V82" s="142"/>
      <c r="W82" s="142"/>
      <c r="X82" s="142"/>
      <c r="Y82" s="143">
        <f t="shared" si="12"/>
        <v>0</v>
      </c>
      <c r="Z82" s="143">
        <f t="shared" si="13"/>
        <v>0</v>
      </c>
      <c r="AA82" s="143">
        <f t="shared" si="14"/>
        <v>0</v>
      </c>
      <c r="AB82" s="144">
        <f t="shared" si="15"/>
        <v>0</v>
      </c>
    </row>
    <row r="83" ht="15.75" customHeight="1">
      <c r="A83" s="175"/>
      <c r="B83" s="175" t="s">
        <v>96</v>
      </c>
      <c r="C83" s="174">
        <v>182.0</v>
      </c>
      <c r="D83" s="174">
        <v>1962.0</v>
      </c>
      <c r="E83" s="175">
        <v>800.0</v>
      </c>
      <c r="F83" s="178">
        <v>10500.0</v>
      </c>
      <c r="G83" s="175">
        <v>0.0</v>
      </c>
      <c r="H83" s="165">
        <f t="shared" si="1"/>
        <v>11300</v>
      </c>
      <c r="I83" s="67">
        <f t="shared" si="9"/>
        <v>1857.925937</v>
      </c>
      <c r="J83" s="68">
        <f t="shared" si="3"/>
        <v>45.04806853</v>
      </c>
      <c r="K83" s="166">
        <f t="shared" si="4"/>
        <v>319.0327114</v>
      </c>
      <c r="L83" s="70">
        <f t="shared" si="5"/>
        <v>398.2843814</v>
      </c>
      <c r="M83" s="164">
        <v>650.0</v>
      </c>
      <c r="N83" s="84">
        <f t="shared" si="6"/>
        <v>251.7156186</v>
      </c>
      <c r="O83" s="175">
        <v>23.0</v>
      </c>
      <c r="P83" s="158">
        <v>25.0</v>
      </c>
      <c r="R83" s="204">
        <v>67.0</v>
      </c>
      <c r="S83" s="205"/>
      <c r="T83" s="172">
        <f t="shared" si="10"/>
        <v>0</v>
      </c>
      <c r="U83" s="172">
        <f t="shared" si="11"/>
        <v>0</v>
      </c>
      <c r="V83" s="172"/>
      <c r="W83" s="172"/>
      <c r="X83" s="172"/>
      <c r="Y83" s="173">
        <f t="shared" si="12"/>
        <v>0</v>
      </c>
      <c r="Z83" s="143">
        <f t="shared" si="13"/>
        <v>0</v>
      </c>
      <c r="AA83" s="143">
        <f t="shared" si="14"/>
        <v>0</v>
      </c>
      <c r="AB83" s="144">
        <f t="shared" si="15"/>
        <v>0</v>
      </c>
    </row>
    <row r="84" ht="15.75" customHeight="1">
      <c r="A84" s="175"/>
      <c r="B84" s="175" t="s">
        <v>96</v>
      </c>
      <c r="C84" s="174">
        <v>200.0</v>
      </c>
      <c r="D84" s="174">
        <v>21720.0</v>
      </c>
      <c r="E84" s="175">
        <v>500.0</v>
      </c>
      <c r="F84" s="178">
        <v>46599.0</v>
      </c>
      <c r="G84" s="175">
        <v>7260.0</v>
      </c>
      <c r="H84" s="165">
        <f t="shared" si="1"/>
        <v>54359</v>
      </c>
      <c r="I84" s="67">
        <f t="shared" si="9"/>
        <v>20567.86512</v>
      </c>
      <c r="J84" s="68">
        <f t="shared" si="3"/>
        <v>498.6972724</v>
      </c>
      <c r="K84" s="166">
        <f t="shared" si="4"/>
        <v>1816.708883</v>
      </c>
      <c r="L84" s="70">
        <f t="shared" si="5"/>
        <v>2168.427795</v>
      </c>
      <c r="M84" s="164">
        <v>2600.0</v>
      </c>
      <c r="N84" s="84">
        <f t="shared" si="6"/>
        <v>431.5722055</v>
      </c>
      <c r="O84" s="175">
        <v>23.0</v>
      </c>
      <c r="P84" s="158">
        <v>25.0</v>
      </c>
      <c r="R84" s="203">
        <v>68.0</v>
      </c>
      <c r="S84" s="141"/>
      <c r="T84" s="142">
        <f t="shared" si="10"/>
        <v>0</v>
      </c>
      <c r="U84" s="142">
        <f t="shared" si="11"/>
        <v>0</v>
      </c>
      <c r="V84" s="142"/>
      <c r="W84" s="142"/>
      <c r="X84" s="142"/>
      <c r="Y84" s="143">
        <f t="shared" si="12"/>
        <v>0</v>
      </c>
      <c r="Z84" s="143">
        <f t="shared" si="13"/>
        <v>0</v>
      </c>
      <c r="AA84" s="143">
        <f t="shared" si="14"/>
        <v>0</v>
      </c>
      <c r="AB84" s="144">
        <f t="shared" si="15"/>
        <v>0</v>
      </c>
    </row>
    <row r="85" ht="15.75" customHeight="1">
      <c r="A85" s="175"/>
      <c r="B85" s="175" t="s">
        <v>109</v>
      </c>
      <c r="C85" s="174">
        <v>204.0</v>
      </c>
      <c r="D85" s="174">
        <v>1322.0</v>
      </c>
      <c r="E85" s="175">
        <v>800.0</v>
      </c>
      <c r="F85" s="178">
        <v>4280.0</v>
      </c>
      <c r="G85" s="175">
        <v>0.0</v>
      </c>
      <c r="H85" s="165">
        <f t="shared" si="1"/>
        <v>5080</v>
      </c>
      <c r="I85" s="67">
        <f t="shared" si="9"/>
        <v>1251.874663</v>
      </c>
      <c r="J85" s="68">
        <f t="shared" si="3"/>
        <v>30.3534896</v>
      </c>
      <c r="K85" s="166">
        <f t="shared" si="4"/>
        <v>153.5253467</v>
      </c>
      <c r="L85" s="70">
        <f t="shared" si="5"/>
        <v>185.829837</v>
      </c>
      <c r="M85" s="164">
        <v>250.0</v>
      </c>
      <c r="N85" s="84">
        <f t="shared" si="6"/>
        <v>64.17016301</v>
      </c>
      <c r="O85" s="175">
        <v>23.0</v>
      </c>
      <c r="P85" s="158">
        <v>25.0</v>
      </c>
      <c r="R85" s="204">
        <v>69.0</v>
      </c>
      <c r="S85" s="205"/>
      <c r="T85" s="172">
        <f t="shared" si="10"/>
        <v>0</v>
      </c>
      <c r="U85" s="172">
        <f t="shared" si="11"/>
        <v>0</v>
      </c>
      <c r="V85" s="172"/>
      <c r="W85" s="172"/>
      <c r="X85" s="172"/>
      <c r="Y85" s="173">
        <f t="shared" si="12"/>
        <v>0</v>
      </c>
      <c r="Z85" s="143">
        <f t="shared" si="13"/>
        <v>0</v>
      </c>
      <c r="AA85" s="143">
        <f t="shared" si="14"/>
        <v>0</v>
      </c>
      <c r="AB85" s="144">
        <f t="shared" si="15"/>
        <v>0</v>
      </c>
    </row>
    <row r="86" ht="15.75" customHeight="1">
      <c r="A86" s="175"/>
      <c r="B86" s="175" t="s">
        <v>96</v>
      </c>
      <c r="C86" s="174">
        <v>205.0</v>
      </c>
      <c r="D86" s="174">
        <v>974.0</v>
      </c>
      <c r="E86" s="175">
        <v>800.0</v>
      </c>
      <c r="F86" s="178">
        <v>2450.0</v>
      </c>
      <c r="G86" s="175">
        <v>0.0</v>
      </c>
      <c r="H86" s="165">
        <f t="shared" si="1"/>
        <v>3250</v>
      </c>
      <c r="I86" s="67">
        <f t="shared" si="9"/>
        <v>922.3342829</v>
      </c>
      <c r="J86" s="68">
        <f t="shared" si="3"/>
        <v>22.36331231</v>
      </c>
      <c r="K86" s="166">
        <f t="shared" si="4"/>
        <v>101.1642052</v>
      </c>
      <c r="L86" s="70">
        <f t="shared" si="5"/>
        <v>119.6562615</v>
      </c>
      <c r="M86" s="164">
        <v>200.0</v>
      </c>
      <c r="N86" s="84">
        <f t="shared" si="6"/>
        <v>80.3437385</v>
      </c>
      <c r="O86" s="175">
        <v>23.0</v>
      </c>
      <c r="P86" s="158">
        <v>25.0</v>
      </c>
      <c r="R86" s="203">
        <v>70.0</v>
      </c>
      <c r="S86" s="141"/>
      <c r="T86" s="142">
        <f t="shared" si="10"/>
        <v>0</v>
      </c>
      <c r="U86" s="142">
        <f t="shared" si="11"/>
        <v>0</v>
      </c>
      <c r="V86" s="142"/>
      <c r="W86" s="142"/>
      <c r="X86" s="142"/>
      <c r="Y86" s="143">
        <f t="shared" si="12"/>
        <v>0</v>
      </c>
      <c r="Z86" s="143">
        <f t="shared" si="13"/>
        <v>0</v>
      </c>
      <c r="AA86" s="143">
        <f t="shared" si="14"/>
        <v>0</v>
      </c>
      <c r="AB86" s="144">
        <f t="shared" si="15"/>
        <v>0</v>
      </c>
    </row>
    <row r="87" ht="15.75" customHeight="1">
      <c r="A87" s="175"/>
      <c r="B87" s="175" t="s">
        <v>92</v>
      </c>
      <c r="C87" s="174">
        <v>202.0</v>
      </c>
      <c r="D87" s="174">
        <v>202.0</v>
      </c>
      <c r="E87" s="175">
        <v>800.0</v>
      </c>
      <c r="F87" s="178">
        <v>799.0</v>
      </c>
      <c r="G87" s="175">
        <v>0.0</v>
      </c>
      <c r="H87" s="165">
        <f t="shared" si="1"/>
        <v>1599</v>
      </c>
      <c r="I87" s="67">
        <f t="shared" si="9"/>
        <v>182.5912287</v>
      </c>
      <c r="J87" s="68">
        <f t="shared" si="3"/>
        <v>4.427185183</v>
      </c>
      <c r="K87" s="166">
        <f t="shared" si="4"/>
        <v>43.19722447</v>
      </c>
      <c r="L87" s="70">
        <f t="shared" si="5"/>
        <v>49.22789917</v>
      </c>
      <c r="M87" s="164">
        <v>80.0</v>
      </c>
      <c r="N87" s="84">
        <f t="shared" si="6"/>
        <v>30.77210083</v>
      </c>
      <c r="O87" s="175">
        <v>24.0</v>
      </c>
      <c r="P87" s="158">
        <v>27.0</v>
      </c>
      <c r="R87" s="204">
        <v>71.0</v>
      </c>
      <c r="S87" s="205"/>
      <c r="T87" s="172">
        <f t="shared" si="10"/>
        <v>0</v>
      </c>
      <c r="U87" s="172">
        <f t="shared" si="11"/>
        <v>0</v>
      </c>
      <c r="V87" s="172"/>
      <c r="W87" s="172"/>
      <c r="X87" s="172"/>
      <c r="Y87" s="173">
        <f t="shared" si="12"/>
        <v>0</v>
      </c>
      <c r="Z87" s="143">
        <f t="shared" si="13"/>
        <v>0</v>
      </c>
      <c r="AA87" s="143">
        <f t="shared" si="14"/>
        <v>0</v>
      </c>
      <c r="AB87" s="144">
        <f t="shared" si="15"/>
        <v>0</v>
      </c>
    </row>
    <row r="88" ht="15.75" customHeight="1">
      <c r="A88" s="175"/>
      <c r="B88" s="175" t="s">
        <v>109</v>
      </c>
      <c r="C88" s="174">
        <v>213.0</v>
      </c>
      <c r="D88" s="174">
        <v>2380.0</v>
      </c>
      <c r="E88" s="175">
        <v>800.0</v>
      </c>
      <c r="F88" s="178">
        <v>4880.0</v>
      </c>
      <c r="G88" s="175">
        <v>0.0</v>
      </c>
      <c r="H88" s="165">
        <f t="shared" si="1"/>
        <v>5680</v>
      </c>
      <c r="I88" s="67">
        <f t="shared" si="9"/>
        <v>2151.322397</v>
      </c>
      <c r="J88" s="68">
        <f t="shared" si="3"/>
        <v>52.16188483</v>
      </c>
      <c r="K88" s="166">
        <f t="shared" si="4"/>
        <v>189.8815991</v>
      </c>
      <c r="L88" s="70">
        <f t="shared" si="5"/>
        <v>226.7147562</v>
      </c>
      <c r="M88" s="164">
        <v>350.0</v>
      </c>
      <c r="N88" s="84">
        <f t="shared" si="6"/>
        <v>123.2852438</v>
      </c>
      <c r="O88" s="175">
        <v>24.0</v>
      </c>
      <c r="P88" s="206">
        <v>27.0</v>
      </c>
      <c r="R88" s="203">
        <v>72.0</v>
      </c>
      <c r="S88" s="141"/>
      <c r="T88" s="142">
        <f t="shared" si="10"/>
        <v>0</v>
      </c>
      <c r="U88" s="142">
        <f t="shared" si="11"/>
        <v>0</v>
      </c>
      <c r="V88" s="142"/>
      <c r="W88" s="142"/>
      <c r="X88" s="142"/>
      <c r="Y88" s="143">
        <f t="shared" si="12"/>
        <v>0</v>
      </c>
      <c r="Z88" s="143">
        <f t="shared" si="13"/>
        <v>0</v>
      </c>
      <c r="AA88" s="143">
        <f t="shared" si="14"/>
        <v>0</v>
      </c>
      <c r="AB88" s="144">
        <f t="shared" si="15"/>
        <v>0</v>
      </c>
    </row>
    <row r="89" ht="15.75" customHeight="1">
      <c r="A89" s="175"/>
      <c r="B89" s="175" t="s">
        <v>96</v>
      </c>
      <c r="C89" s="174">
        <v>214.0</v>
      </c>
      <c r="D89" s="174">
        <v>6700.0</v>
      </c>
      <c r="E89" s="175">
        <v>500.0</v>
      </c>
      <c r="F89" s="178">
        <v>12000.0</v>
      </c>
      <c r="G89" s="175">
        <v>2380.0</v>
      </c>
      <c r="H89" s="161">
        <f t="shared" si="1"/>
        <v>14880</v>
      </c>
      <c r="I89" s="67">
        <f t="shared" si="9"/>
        <v>6056.243723</v>
      </c>
      <c r="J89" s="207">
        <f t="shared" si="3"/>
        <v>146.8422808</v>
      </c>
      <c r="K89" s="208">
        <f t="shared" si="4"/>
        <v>507.629138</v>
      </c>
      <c r="L89" s="70">
        <f t="shared" si="5"/>
        <v>598.2024751</v>
      </c>
      <c r="M89" s="164">
        <v>700.0</v>
      </c>
      <c r="N89" s="84">
        <f t="shared" si="6"/>
        <v>101.7975249</v>
      </c>
      <c r="O89" s="175">
        <v>24.0</v>
      </c>
      <c r="P89" s="206">
        <v>27.0</v>
      </c>
      <c r="R89" s="204">
        <v>73.0</v>
      </c>
      <c r="S89" s="205"/>
      <c r="T89" s="172">
        <f t="shared" si="10"/>
        <v>0</v>
      </c>
      <c r="U89" s="172">
        <f t="shared" si="11"/>
        <v>0</v>
      </c>
      <c r="V89" s="172"/>
      <c r="W89" s="172"/>
      <c r="X89" s="172"/>
      <c r="Y89" s="173">
        <f t="shared" si="12"/>
        <v>0</v>
      </c>
      <c r="Z89" s="143">
        <f t="shared" si="13"/>
        <v>0</v>
      </c>
      <c r="AA89" s="143">
        <f t="shared" si="14"/>
        <v>0</v>
      </c>
      <c r="AB89" s="144">
        <f t="shared" si="15"/>
        <v>0</v>
      </c>
    </row>
    <row r="90" ht="15.75" customHeight="1">
      <c r="A90" s="175"/>
      <c r="B90" s="175" t="s">
        <v>92</v>
      </c>
      <c r="C90" s="174">
        <v>228.0</v>
      </c>
      <c r="D90" s="174">
        <v>1324.0</v>
      </c>
      <c r="E90" s="175">
        <v>500.0</v>
      </c>
      <c r="F90" s="178">
        <v>2200.0</v>
      </c>
      <c r="G90" s="175">
        <v>1620.0</v>
      </c>
      <c r="H90" s="161">
        <f t="shared" si="1"/>
        <v>4320</v>
      </c>
      <c r="I90" s="67">
        <f t="shared" si="9"/>
        <v>1196.786073</v>
      </c>
      <c r="J90" s="207">
        <f t="shared" si="3"/>
        <v>29.01778803</v>
      </c>
      <c r="K90" s="208">
        <f t="shared" si="4"/>
        <v>133.7623595</v>
      </c>
      <c r="L90" s="70">
        <f t="shared" si="5"/>
        <v>150.3674713</v>
      </c>
      <c r="M90" s="164">
        <v>500.0</v>
      </c>
      <c r="N90" s="84">
        <f t="shared" si="6"/>
        <v>349.6325287</v>
      </c>
      <c r="O90" s="175">
        <v>24.0</v>
      </c>
      <c r="P90" s="206">
        <v>27.0</v>
      </c>
      <c r="R90" s="203">
        <v>74.0</v>
      </c>
      <c r="S90" s="141"/>
      <c r="T90" s="142">
        <f t="shared" si="10"/>
        <v>0</v>
      </c>
      <c r="U90" s="142">
        <f t="shared" si="11"/>
        <v>0</v>
      </c>
      <c r="V90" s="142"/>
      <c r="W90" s="142"/>
      <c r="X90" s="142"/>
      <c r="Y90" s="143">
        <f t="shared" si="12"/>
        <v>0</v>
      </c>
      <c r="Z90" s="143">
        <f t="shared" si="13"/>
        <v>0</v>
      </c>
      <c r="AA90" s="143">
        <f t="shared" si="14"/>
        <v>0</v>
      </c>
      <c r="AB90" s="144">
        <f t="shared" si="15"/>
        <v>0</v>
      </c>
    </row>
    <row r="91" ht="15.75" customHeight="1">
      <c r="A91" s="175"/>
      <c r="B91" s="175" t="s">
        <v>92</v>
      </c>
      <c r="C91" s="174">
        <v>232.0</v>
      </c>
      <c r="D91" s="174">
        <v>7316.0</v>
      </c>
      <c r="E91" s="175">
        <v>500.0</v>
      </c>
      <c r="F91" s="178">
        <v>10050.0</v>
      </c>
      <c r="G91" s="175">
        <v>1620.0</v>
      </c>
      <c r="H91" s="161">
        <f t="shared" si="1"/>
        <v>12170</v>
      </c>
      <c r="I91" s="67">
        <f t="shared" si="9"/>
        <v>6613.056579</v>
      </c>
      <c r="J91" s="207">
        <f t="shared" si="3"/>
        <v>160.343004</v>
      </c>
      <c r="K91" s="208">
        <f t="shared" si="4"/>
        <v>455.4220397</v>
      </c>
      <c r="L91" s="70">
        <f t="shared" si="5"/>
        <v>531.2772095</v>
      </c>
      <c r="M91" s="164">
        <v>1000.0</v>
      </c>
      <c r="N91" s="84">
        <f t="shared" si="6"/>
        <v>468.7227905</v>
      </c>
      <c r="O91" s="175">
        <v>24.0</v>
      </c>
      <c r="P91" s="206">
        <v>27.0</v>
      </c>
      <c r="R91" s="204">
        <v>75.0</v>
      </c>
      <c r="S91" s="205"/>
      <c r="T91" s="172">
        <f t="shared" si="10"/>
        <v>0</v>
      </c>
      <c r="U91" s="172">
        <f t="shared" si="11"/>
        <v>0</v>
      </c>
      <c r="V91" s="172"/>
      <c r="W91" s="172"/>
      <c r="X91" s="172"/>
      <c r="Y91" s="173">
        <f t="shared" si="12"/>
        <v>0</v>
      </c>
      <c r="Z91" s="143">
        <f t="shared" si="13"/>
        <v>0</v>
      </c>
      <c r="AA91" s="143">
        <f t="shared" si="14"/>
        <v>0</v>
      </c>
      <c r="AB91" s="144">
        <f t="shared" si="15"/>
        <v>0</v>
      </c>
    </row>
    <row r="92" ht="15.75" customHeight="1">
      <c r="A92" s="175"/>
      <c r="B92" s="175" t="s">
        <v>92</v>
      </c>
      <c r="C92" s="174">
        <v>220.0</v>
      </c>
      <c r="D92" s="174">
        <v>1018.0</v>
      </c>
      <c r="E92" s="175">
        <v>500.0</v>
      </c>
      <c r="F92" s="178">
        <v>1105.0</v>
      </c>
      <c r="G92" s="175">
        <v>1620.0</v>
      </c>
      <c r="H92" s="161">
        <f t="shared" si="1"/>
        <v>3225</v>
      </c>
      <c r="I92" s="67">
        <f t="shared" si="9"/>
        <v>920.1874791</v>
      </c>
      <c r="J92" s="207">
        <f t="shared" si="3"/>
        <v>22.31125998</v>
      </c>
      <c r="K92" s="208">
        <f t="shared" si="4"/>
        <v>100.5059921</v>
      </c>
      <c r="L92" s="70">
        <f t="shared" si="5"/>
        <v>108.8462869</v>
      </c>
      <c r="M92" s="164">
        <v>150.0</v>
      </c>
      <c r="N92" s="84">
        <f t="shared" si="6"/>
        <v>41.15371308</v>
      </c>
      <c r="O92" s="175">
        <v>25.0</v>
      </c>
      <c r="P92" s="206">
        <v>28.0</v>
      </c>
      <c r="R92" s="203">
        <v>76.0</v>
      </c>
      <c r="S92" s="141"/>
      <c r="T92" s="142">
        <f t="shared" si="10"/>
        <v>0</v>
      </c>
      <c r="U92" s="142">
        <f t="shared" si="11"/>
        <v>0</v>
      </c>
      <c r="V92" s="142"/>
      <c r="W92" s="142"/>
      <c r="X92" s="142"/>
      <c r="Y92" s="143">
        <f t="shared" si="12"/>
        <v>0</v>
      </c>
      <c r="Z92" s="143">
        <f t="shared" si="13"/>
        <v>0</v>
      </c>
      <c r="AA92" s="143">
        <f t="shared" si="14"/>
        <v>0</v>
      </c>
      <c r="AB92" s="144">
        <f t="shared" si="15"/>
        <v>0</v>
      </c>
    </row>
    <row r="93" ht="15.75" customHeight="1">
      <c r="A93" s="175"/>
      <c r="B93" s="175" t="s">
        <v>109</v>
      </c>
      <c r="C93" s="174">
        <v>223.0</v>
      </c>
      <c r="D93" s="174">
        <v>8050.0</v>
      </c>
      <c r="E93" s="175">
        <v>500.0</v>
      </c>
      <c r="F93" s="178">
        <v>13421.0</v>
      </c>
      <c r="G93" s="175">
        <v>1760.0</v>
      </c>
      <c r="H93" s="161">
        <f t="shared" si="1"/>
        <v>15681</v>
      </c>
      <c r="I93" s="67">
        <f t="shared" si="9"/>
        <v>7276.531637</v>
      </c>
      <c r="J93" s="207">
        <f t="shared" si="3"/>
        <v>176.4299046</v>
      </c>
      <c r="K93" s="208">
        <f t="shared" si="4"/>
        <v>556.638151</v>
      </c>
      <c r="L93" s="70">
        <f t="shared" si="5"/>
        <v>657.9368808</v>
      </c>
      <c r="M93" s="164">
        <v>850.0</v>
      </c>
      <c r="N93" s="84">
        <f t="shared" si="6"/>
        <v>192.0631192</v>
      </c>
      <c r="O93" s="175">
        <v>25.0</v>
      </c>
      <c r="P93" s="206">
        <v>28.0</v>
      </c>
      <c r="R93" s="204">
        <v>77.0</v>
      </c>
      <c r="S93" s="205"/>
      <c r="T93" s="172">
        <f t="shared" si="10"/>
        <v>0</v>
      </c>
      <c r="U93" s="172">
        <f t="shared" si="11"/>
        <v>0</v>
      </c>
      <c r="V93" s="172"/>
      <c r="W93" s="172"/>
      <c r="X93" s="172"/>
      <c r="Y93" s="173">
        <f t="shared" si="12"/>
        <v>0</v>
      </c>
      <c r="Z93" s="143">
        <f t="shared" si="13"/>
        <v>0</v>
      </c>
      <c r="AA93" s="143">
        <f t="shared" si="14"/>
        <v>0</v>
      </c>
      <c r="AB93" s="144">
        <f t="shared" si="15"/>
        <v>0</v>
      </c>
    </row>
    <row r="94" ht="15.75" customHeight="1">
      <c r="A94" s="175"/>
      <c r="B94" s="175" t="s">
        <v>92</v>
      </c>
      <c r="C94" s="174">
        <v>233.0</v>
      </c>
      <c r="D94" s="174">
        <v>9140.0</v>
      </c>
      <c r="E94" s="175">
        <v>500.0</v>
      </c>
      <c r="F94" s="178">
        <v>9750.0</v>
      </c>
      <c r="G94" s="175">
        <v>1620.0</v>
      </c>
      <c r="H94" s="161">
        <f t="shared" si="1"/>
        <v>11870</v>
      </c>
      <c r="I94" s="67">
        <f t="shared" si="9"/>
        <v>8261.801138</v>
      </c>
      <c r="J94" s="207">
        <f t="shared" si="3"/>
        <v>200.3191712</v>
      </c>
      <c r="K94" s="208">
        <f t="shared" si="4"/>
        <v>488.1242783</v>
      </c>
      <c r="L94" s="70">
        <f t="shared" si="5"/>
        <v>561.7151147</v>
      </c>
      <c r="M94" s="164">
        <v>1000.0</v>
      </c>
      <c r="N94" s="84">
        <f t="shared" si="6"/>
        <v>438.2848853</v>
      </c>
      <c r="O94" s="175">
        <v>25.0</v>
      </c>
      <c r="P94" s="206">
        <v>28.0</v>
      </c>
      <c r="R94" s="203">
        <v>78.0</v>
      </c>
      <c r="S94" s="141"/>
      <c r="T94" s="142">
        <f t="shared" si="10"/>
        <v>0</v>
      </c>
      <c r="U94" s="142">
        <f t="shared" si="11"/>
        <v>0</v>
      </c>
      <c r="V94" s="142"/>
      <c r="W94" s="142"/>
      <c r="X94" s="142"/>
      <c r="Y94" s="143">
        <f t="shared" si="12"/>
        <v>0</v>
      </c>
      <c r="Z94" s="143">
        <f t="shared" si="13"/>
        <v>0</v>
      </c>
      <c r="AA94" s="143">
        <f t="shared" si="14"/>
        <v>0</v>
      </c>
      <c r="AB94" s="144">
        <f t="shared" si="15"/>
        <v>0</v>
      </c>
    </row>
    <row r="95" ht="15.75" customHeight="1">
      <c r="A95" s="175"/>
      <c r="B95" s="175" t="s">
        <v>96</v>
      </c>
      <c r="C95" s="174">
        <v>240.0</v>
      </c>
      <c r="D95" s="174">
        <v>2298.0</v>
      </c>
      <c r="E95" s="175">
        <v>800.0</v>
      </c>
      <c r="F95" s="178">
        <v>5333.0</v>
      </c>
      <c r="G95" s="175">
        <v>0.0</v>
      </c>
      <c r="H95" s="161">
        <f t="shared" si="1"/>
        <v>6133</v>
      </c>
      <c r="I95" s="67">
        <f t="shared" si="9"/>
        <v>2077.201205</v>
      </c>
      <c r="J95" s="207">
        <f t="shared" si="3"/>
        <v>50.36471065</v>
      </c>
      <c r="K95" s="208">
        <f t="shared" si="4"/>
        <v>199.0680571</v>
      </c>
      <c r="L95" s="70">
        <f t="shared" si="5"/>
        <v>239.3203577</v>
      </c>
      <c r="M95" s="164">
        <v>360.0</v>
      </c>
      <c r="N95" s="84">
        <f t="shared" si="6"/>
        <v>120.6796423</v>
      </c>
      <c r="O95" s="175">
        <v>25.0</v>
      </c>
      <c r="P95" s="206">
        <v>28.0</v>
      </c>
      <c r="R95" s="204">
        <v>79.0</v>
      </c>
      <c r="S95" s="205"/>
      <c r="T95" s="172">
        <f t="shared" si="10"/>
        <v>0</v>
      </c>
      <c r="U95" s="172">
        <f t="shared" si="11"/>
        <v>0</v>
      </c>
      <c r="V95" s="172"/>
      <c r="W95" s="172"/>
      <c r="X95" s="172"/>
      <c r="Y95" s="173">
        <f t="shared" si="12"/>
        <v>0</v>
      </c>
      <c r="Z95" s="143">
        <f t="shared" si="13"/>
        <v>0</v>
      </c>
      <c r="AA95" s="143">
        <f t="shared" si="14"/>
        <v>0</v>
      </c>
      <c r="AB95" s="144">
        <f t="shared" si="15"/>
        <v>0</v>
      </c>
    </row>
    <row r="96" ht="15.75" customHeight="1">
      <c r="A96" s="175"/>
      <c r="B96" s="175" t="s">
        <v>92</v>
      </c>
      <c r="C96" s="174">
        <v>218.0</v>
      </c>
      <c r="D96" s="174">
        <v>14700.0</v>
      </c>
      <c r="E96" s="175">
        <v>500.0</v>
      </c>
      <c r="F96" s="178">
        <v>23091.0</v>
      </c>
      <c r="G96" s="175">
        <v>2180.0</v>
      </c>
      <c r="H96" s="161">
        <f t="shared" si="1"/>
        <v>25771</v>
      </c>
      <c r="I96" s="67">
        <f t="shared" si="9"/>
        <v>13287.57951</v>
      </c>
      <c r="J96" s="207">
        <f t="shared" si="3"/>
        <v>322.1763475</v>
      </c>
      <c r="K96" s="208">
        <f t="shared" si="4"/>
        <v>947.0310582</v>
      </c>
      <c r="L96" s="70">
        <f t="shared" si="5"/>
        <v>1121.316802</v>
      </c>
      <c r="M96" s="164">
        <v>2000.0</v>
      </c>
      <c r="N96" s="84">
        <f t="shared" si="6"/>
        <v>878.6831978</v>
      </c>
      <c r="O96" s="175">
        <v>26.0</v>
      </c>
      <c r="P96" s="206">
        <v>29.0</v>
      </c>
      <c r="R96" s="203">
        <v>80.0</v>
      </c>
      <c r="S96" s="141"/>
      <c r="T96" s="142">
        <f t="shared" si="10"/>
        <v>0</v>
      </c>
      <c r="U96" s="142">
        <f t="shared" si="11"/>
        <v>0</v>
      </c>
      <c r="V96" s="142"/>
      <c r="W96" s="142"/>
      <c r="X96" s="142"/>
      <c r="Y96" s="143">
        <f t="shared" si="12"/>
        <v>0</v>
      </c>
      <c r="Z96" s="143">
        <f t="shared" si="13"/>
        <v>0</v>
      </c>
      <c r="AA96" s="143">
        <f t="shared" si="14"/>
        <v>0</v>
      </c>
      <c r="AB96" s="144">
        <f t="shared" si="15"/>
        <v>0</v>
      </c>
    </row>
    <row r="97" ht="15.75" customHeight="1">
      <c r="A97" s="175"/>
      <c r="B97" s="185" t="s">
        <v>92</v>
      </c>
      <c r="C97" s="186">
        <v>248.0</v>
      </c>
      <c r="D97" s="186">
        <v>620.0</v>
      </c>
      <c r="E97" s="185">
        <v>500.0</v>
      </c>
      <c r="F97" s="187">
        <v>1300.0</v>
      </c>
      <c r="G97" s="185">
        <v>750.0</v>
      </c>
      <c r="H97" s="209">
        <f t="shared" si="1"/>
        <v>2550</v>
      </c>
      <c r="I97" s="67">
        <f t="shared" si="9"/>
        <v>560.4285236</v>
      </c>
      <c r="J97" s="210">
        <f t="shared" si="3"/>
        <v>13.58839017</v>
      </c>
      <c r="K97" s="211">
        <f t="shared" si="4"/>
        <v>75.41678302</v>
      </c>
      <c r="L97" s="70">
        <f t="shared" si="5"/>
        <v>85.22889455</v>
      </c>
      <c r="M97" s="191">
        <v>200.0</v>
      </c>
      <c r="N97" s="192">
        <f t="shared" si="6"/>
        <v>114.7711055</v>
      </c>
      <c r="O97" s="185">
        <v>26.0</v>
      </c>
      <c r="P97" s="212">
        <v>29.0</v>
      </c>
      <c r="R97" s="204">
        <v>81.0</v>
      </c>
      <c r="S97" s="205"/>
      <c r="T97" s="172">
        <f t="shared" si="10"/>
        <v>0</v>
      </c>
      <c r="U97" s="172">
        <f t="shared" si="11"/>
        <v>0</v>
      </c>
      <c r="V97" s="172"/>
      <c r="W97" s="172"/>
      <c r="X97" s="172"/>
      <c r="Y97" s="173">
        <f t="shared" si="12"/>
        <v>0</v>
      </c>
      <c r="Z97" s="143">
        <f t="shared" si="13"/>
        <v>0</v>
      </c>
      <c r="AA97" s="143">
        <f t="shared" si="14"/>
        <v>0</v>
      </c>
      <c r="AB97" s="144">
        <f t="shared" si="15"/>
        <v>0</v>
      </c>
    </row>
    <row r="98" ht="15.75" customHeight="1">
      <c r="A98" s="175"/>
      <c r="B98" s="194" t="s">
        <v>92</v>
      </c>
      <c r="C98" s="195">
        <v>254.0</v>
      </c>
      <c r="D98" s="195">
        <v>1018.0</v>
      </c>
      <c r="E98" s="194">
        <v>500.0</v>
      </c>
      <c r="F98" s="196">
        <v>3135.0</v>
      </c>
      <c r="G98" s="194">
        <v>0.0</v>
      </c>
      <c r="H98" s="197">
        <f t="shared" si="1"/>
        <v>3635</v>
      </c>
      <c r="I98" s="67">
        <f t="shared" si="9"/>
        <v>920.1874791</v>
      </c>
      <c r="J98" s="198">
        <f t="shared" si="3"/>
        <v>22.31125998</v>
      </c>
      <c r="K98" s="199">
        <f t="shared" si="4"/>
        <v>110.4470278</v>
      </c>
      <c r="L98" s="70">
        <f t="shared" si="5"/>
        <v>134.1093122</v>
      </c>
      <c r="M98" s="200">
        <v>250.0</v>
      </c>
      <c r="N98" s="201">
        <f t="shared" si="6"/>
        <v>115.8906878</v>
      </c>
      <c r="O98" s="194">
        <v>26.0</v>
      </c>
      <c r="P98" s="202">
        <v>29.0</v>
      </c>
    </row>
    <row r="99" ht="15.75" customHeight="1">
      <c r="A99" s="175"/>
      <c r="B99" s="175" t="s">
        <v>96</v>
      </c>
      <c r="C99" s="174">
        <v>273.0</v>
      </c>
      <c r="D99" s="174">
        <v>508.0</v>
      </c>
      <c r="E99" s="175">
        <v>500.0</v>
      </c>
      <c r="F99" s="178">
        <v>1100.0</v>
      </c>
      <c r="G99" s="175">
        <v>770.0</v>
      </c>
      <c r="H99" s="161">
        <f t="shared" si="1"/>
        <v>2370</v>
      </c>
      <c r="I99" s="67">
        <f t="shared" si="9"/>
        <v>459.1898226</v>
      </c>
      <c r="J99" s="207">
        <f t="shared" si="3"/>
        <v>11.13371323</v>
      </c>
      <c r="K99" s="208">
        <f t="shared" si="4"/>
        <v>68.59774895</v>
      </c>
      <c r="L99" s="70">
        <f t="shared" si="5"/>
        <v>76.90030485</v>
      </c>
      <c r="M99" s="164">
        <v>100.0</v>
      </c>
      <c r="N99" s="84">
        <f t="shared" si="6"/>
        <v>23.09969515</v>
      </c>
      <c r="O99" s="175">
        <v>26.0</v>
      </c>
      <c r="P99" s="206">
        <v>29.0</v>
      </c>
    </row>
    <row r="100" ht="15.75" customHeight="1">
      <c r="A100" s="175"/>
      <c r="B100" s="175" t="s">
        <v>110</v>
      </c>
      <c r="C100" s="174">
        <v>277.0</v>
      </c>
      <c r="D100" s="174">
        <v>520.0</v>
      </c>
      <c r="E100" s="175">
        <v>800.0</v>
      </c>
      <c r="F100" s="178">
        <v>777.0</v>
      </c>
      <c r="G100" s="175">
        <v>0.0</v>
      </c>
      <c r="H100" s="161">
        <f t="shared" si="1"/>
        <v>1577</v>
      </c>
      <c r="I100" s="67">
        <f t="shared" si="9"/>
        <v>470.0368262</v>
      </c>
      <c r="J100" s="207">
        <f t="shared" si="3"/>
        <v>11.39671433</v>
      </c>
      <c r="K100" s="208">
        <f t="shared" si="4"/>
        <v>49.63333219</v>
      </c>
      <c r="L100" s="70">
        <f t="shared" si="5"/>
        <v>55.49795577</v>
      </c>
      <c r="M100" s="164">
        <v>120.0</v>
      </c>
      <c r="N100" s="84">
        <f t="shared" si="6"/>
        <v>64.50204423</v>
      </c>
      <c r="O100" s="175">
        <v>26.0</v>
      </c>
      <c r="P100" s="206">
        <v>29.0</v>
      </c>
    </row>
    <row r="101" ht="15.75" customHeight="1">
      <c r="A101" s="175"/>
      <c r="B101" s="175" t="s">
        <v>96</v>
      </c>
      <c r="C101" s="174">
        <v>278.0</v>
      </c>
      <c r="D101" s="174">
        <v>1010.0</v>
      </c>
      <c r="E101" s="175">
        <v>800.0</v>
      </c>
      <c r="F101" s="178">
        <v>2000.0</v>
      </c>
      <c r="G101" s="175">
        <v>0.0</v>
      </c>
      <c r="H101" s="161">
        <f t="shared" si="1"/>
        <v>2800</v>
      </c>
      <c r="I101" s="67">
        <f t="shared" si="9"/>
        <v>912.9561433</v>
      </c>
      <c r="J101" s="207">
        <f t="shared" si="3"/>
        <v>22.13592592</v>
      </c>
      <c r="K101" s="208">
        <f t="shared" si="4"/>
        <v>90.02592592</v>
      </c>
      <c r="L101" s="70">
        <f t="shared" si="5"/>
        <v>105.1214821</v>
      </c>
      <c r="M101" s="164">
        <v>200.0</v>
      </c>
      <c r="N101" s="84">
        <f t="shared" si="6"/>
        <v>94.87851789</v>
      </c>
      <c r="O101" s="175">
        <v>27.0</v>
      </c>
      <c r="P101" s="206">
        <v>30.0</v>
      </c>
    </row>
    <row r="102" ht="15.75" customHeight="1">
      <c r="A102" s="175"/>
      <c r="B102" s="175" t="s">
        <v>120</v>
      </c>
      <c r="C102" s="174">
        <v>280.0</v>
      </c>
      <c r="D102" s="174">
        <v>5318.0</v>
      </c>
      <c r="E102" s="175">
        <v>500.0</v>
      </c>
      <c r="F102" s="178">
        <v>1280.0</v>
      </c>
      <c r="G102" s="175">
        <v>750.0</v>
      </c>
      <c r="H102" s="161">
        <f t="shared" si="1"/>
        <v>2530</v>
      </c>
      <c r="I102" s="67">
        <f t="shared" si="9"/>
        <v>4807.030465</v>
      </c>
      <c r="J102" s="207">
        <f t="shared" si="3"/>
        <v>116.5533208</v>
      </c>
      <c r="K102" s="208">
        <f t="shared" si="4"/>
        <v>177.8967851</v>
      </c>
      <c r="L102" s="70">
        <f t="shared" si="5"/>
        <v>187.5579411</v>
      </c>
      <c r="M102" s="164">
        <v>200.0</v>
      </c>
      <c r="N102" s="84">
        <f t="shared" si="6"/>
        <v>12.44205893</v>
      </c>
      <c r="O102" s="175">
        <v>27.0</v>
      </c>
      <c r="P102" s="206">
        <v>30.0</v>
      </c>
    </row>
    <row r="103" ht="15.75" customHeight="1">
      <c r="A103" s="175"/>
      <c r="B103" s="175" t="s">
        <v>123</v>
      </c>
      <c r="C103" s="174">
        <v>281.0</v>
      </c>
      <c r="D103" s="174">
        <v>3282.0</v>
      </c>
      <c r="E103" s="175">
        <v>800.0</v>
      </c>
      <c r="F103" s="178">
        <v>35000.0</v>
      </c>
      <c r="G103" s="175">
        <v>0.0</v>
      </c>
      <c r="H103" s="161">
        <f t="shared" si="1"/>
        <v>35800</v>
      </c>
      <c r="I103" s="67">
        <f t="shared" si="9"/>
        <v>2966.655507</v>
      </c>
      <c r="J103" s="207">
        <f t="shared" si="3"/>
        <v>71.93080085</v>
      </c>
      <c r="K103" s="208">
        <f t="shared" si="4"/>
        <v>939.9529437</v>
      </c>
      <c r="L103" s="70">
        <f t="shared" si="5"/>
        <v>1204.125177</v>
      </c>
      <c r="M103" s="164">
        <v>1080.0</v>
      </c>
      <c r="N103" s="84">
        <f t="shared" si="6"/>
        <v>-124.125177</v>
      </c>
      <c r="O103" s="175">
        <v>27.0</v>
      </c>
      <c r="P103" s="206">
        <v>30.0</v>
      </c>
    </row>
    <row r="104" ht="15.75" customHeight="1">
      <c r="A104" s="175"/>
      <c r="B104" s="175" t="s">
        <v>123</v>
      </c>
      <c r="C104" s="174">
        <v>283.0</v>
      </c>
      <c r="D104" s="174">
        <v>192.0</v>
      </c>
      <c r="E104" s="175">
        <v>800.0</v>
      </c>
      <c r="F104" s="178">
        <v>3000.0</v>
      </c>
      <c r="G104" s="175">
        <v>0.0</v>
      </c>
      <c r="H104" s="161">
        <f t="shared" si="1"/>
        <v>3800</v>
      </c>
      <c r="I104" s="67">
        <f t="shared" si="9"/>
        <v>173.5520589</v>
      </c>
      <c r="J104" s="207">
        <f t="shared" si="3"/>
        <v>4.2080176</v>
      </c>
      <c r="K104" s="208">
        <f t="shared" si="4"/>
        <v>96.34444617</v>
      </c>
      <c r="L104" s="70">
        <f t="shared" si="5"/>
        <v>118.9877805</v>
      </c>
      <c r="M104" s="164">
        <v>120.0</v>
      </c>
      <c r="N104" s="84">
        <f t="shared" si="6"/>
        <v>1.012219546</v>
      </c>
      <c r="O104" s="175">
        <v>27.0</v>
      </c>
      <c r="P104" s="206">
        <v>30.0</v>
      </c>
    </row>
    <row r="105" ht="15.75" customHeight="1">
      <c r="A105" s="175"/>
      <c r="B105" s="175" t="s">
        <v>96</v>
      </c>
      <c r="C105" s="174">
        <v>250.0</v>
      </c>
      <c r="D105" s="174">
        <v>2410.0</v>
      </c>
      <c r="E105" s="175">
        <v>800.0</v>
      </c>
      <c r="F105" s="178">
        <v>6299.0</v>
      </c>
      <c r="G105" s="175">
        <v>0.0</v>
      </c>
      <c r="H105" s="161">
        <f t="shared" si="1"/>
        <v>7099</v>
      </c>
      <c r="I105" s="67">
        <f t="shared" si="9"/>
        <v>2178.439906</v>
      </c>
      <c r="J105" s="207">
        <f t="shared" si="3"/>
        <v>52.81938758</v>
      </c>
      <c r="K105" s="208">
        <f t="shared" si="4"/>
        <v>224.944784</v>
      </c>
      <c r="L105" s="70">
        <f t="shared" si="5"/>
        <v>272.4882382</v>
      </c>
      <c r="M105" s="164">
        <v>350.0</v>
      </c>
      <c r="N105" s="84">
        <f t="shared" si="6"/>
        <v>77.51176177</v>
      </c>
      <c r="O105" s="175">
        <v>28.0</v>
      </c>
      <c r="P105" s="206">
        <v>31.0</v>
      </c>
    </row>
    <row r="106" ht="15.75" customHeight="1">
      <c r="A106" s="175"/>
      <c r="B106" s="175" t="s">
        <v>109</v>
      </c>
      <c r="C106" s="174">
        <v>251.0</v>
      </c>
      <c r="D106" s="174">
        <v>4690.0</v>
      </c>
      <c r="E106" s="175">
        <v>800.0</v>
      </c>
      <c r="F106" s="178">
        <v>7999.0</v>
      </c>
      <c r="G106" s="175">
        <v>0.0</v>
      </c>
      <c r="H106" s="161">
        <f t="shared" si="1"/>
        <v>8799</v>
      </c>
      <c r="I106" s="67">
        <f t="shared" si="9"/>
        <v>4239.370606</v>
      </c>
      <c r="J106" s="207">
        <f t="shared" si="3"/>
        <v>102.7895966</v>
      </c>
      <c r="K106" s="208">
        <f t="shared" si="4"/>
        <v>316.1339216</v>
      </c>
      <c r="L106" s="70">
        <f t="shared" si="5"/>
        <v>376.5085986</v>
      </c>
      <c r="M106" s="164">
        <v>700.0</v>
      </c>
      <c r="N106" s="84">
        <f t="shared" si="6"/>
        <v>323.4914014</v>
      </c>
      <c r="O106" s="175">
        <v>28.0</v>
      </c>
      <c r="P106" s="206">
        <v>31.0</v>
      </c>
    </row>
    <row r="107" ht="15.75" customHeight="1">
      <c r="A107" s="175"/>
      <c r="B107" s="175" t="s">
        <v>96</v>
      </c>
      <c r="C107" s="174">
        <v>284.0</v>
      </c>
      <c r="D107" s="174">
        <v>5344.0</v>
      </c>
      <c r="E107" s="175">
        <v>800.0</v>
      </c>
      <c r="F107" s="178">
        <v>13999.0</v>
      </c>
      <c r="G107" s="175">
        <v>0.0</v>
      </c>
      <c r="H107" s="161">
        <f t="shared" si="1"/>
        <v>14799</v>
      </c>
      <c r="I107" s="67">
        <f t="shared" si="9"/>
        <v>4830.532307</v>
      </c>
      <c r="J107" s="207">
        <f t="shared" si="3"/>
        <v>117.1231565</v>
      </c>
      <c r="K107" s="208">
        <f t="shared" si="4"/>
        <v>475.946053</v>
      </c>
      <c r="L107" s="70">
        <f t="shared" si="5"/>
        <v>581.6073985</v>
      </c>
      <c r="M107" s="164">
        <v>850.0</v>
      </c>
      <c r="N107" s="84">
        <f t="shared" si="6"/>
        <v>268.3926015</v>
      </c>
      <c r="O107" s="175">
        <v>28.0</v>
      </c>
      <c r="P107" s="206">
        <v>31.0</v>
      </c>
    </row>
    <row r="108" ht="15.75" customHeight="1">
      <c r="A108" s="175"/>
      <c r="B108" s="175" t="s">
        <v>96</v>
      </c>
      <c r="C108" s="174">
        <v>289.0</v>
      </c>
      <c r="D108" s="174">
        <v>10300.0</v>
      </c>
      <c r="E108" s="175">
        <v>500.0</v>
      </c>
      <c r="F108" s="178">
        <v>18800.0</v>
      </c>
      <c r="G108" s="175">
        <v>3300.0</v>
      </c>
      <c r="H108" s="161">
        <f t="shared" si="1"/>
        <v>22600</v>
      </c>
      <c r="I108" s="67">
        <f t="shared" si="9"/>
        <v>9310.344828</v>
      </c>
      <c r="J108" s="207">
        <f t="shared" si="3"/>
        <v>225.7426108</v>
      </c>
      <c r="K108" s="208">
        <f t="shared" si="4"/>
        <v>773.7118966</v>
      </c>
      <c r="L108" s="70">
        <f t="shared" si="5"/>
        <v>915.6101247</v>
      </c>
      <c r="M108" s="164">
        <v>1500.0</v>
      </c>
      <c r="N108" s="84">
        <f t="shared" si="6"/>
        <v>584.3898753</v>
      </c>
      <c r="O108" s="213">
        <f t="shared" ref="O108:O128" si="16">P108-1</f>
        <v>31</v>
      </c>
      <c r="P108" s="206">
        <v>32.0</v>
      </c>
    </row>
    <row r="109" ht="15.75" customHeight="1">
      <c r="A109" s="175"/>
      <c r="B109" s="214" t="s">
        <v>124</v>
      </c>
      <c r="C109" s="215">
        <v>342.0</v>
      </c>
      <c r="D109" s="215">
        <v>316.0</v>
      </c>
      <c r="E109" s="214">
        <v>800.0</v>
      </c>
      <c r="F109" s="216">
        <v>2300.0</v>
      </c>
      <c r="G109" s="214">
        <v>0.0</v>
      </c>
      <c r="H109" s="217">
        <f t="shared" si="1"/>
        <v>3100</v>
      </c>
      <c r="I109" s="67">
        <f t="shared" si="9"/>
        <v>285.6377636</v>
      </c>
      <c r="J109" s="218">
        <f t="shared" si="3"/>
        <v>6.925695633</v>
      </c>
      <c r="K109" s="219">
        <f t="shared" si="4"/>
        <v>82.0896242</v>
      </c>
      <c r="L109" s="220">
        <f t="shared" si="5"/>
        <v>99.44951382</v>
      </c>
      <c r="M109" s="221">
        <v>140.0</v>
      </c>
      <c r="N109" s="222">
        <f t="shared" si="6"/>
        <v>40.55048618</v>
      </c>
      <c r="O109" s="223">
        <f t="shared" si="16"/>
        <v>31</v>
      </c>
      <c r="P109" s="224">
        <v>32.0</v>
      </c>
    </row>
    <row r="110" ht="15.75" customHeight="1">
      <c r="A110" s="175"/>
      <c r="B110" s="225" t="s">
        <v>96</v>
      </c>
      <c r="C110" s="226">
        <v>291.0</v>
      </c>
      <c r="D110" s="226">
        <v>2940.0</v>
      </c>
      <c r="E110" s="225">
        <v>500.0</v>
      </c>
      <c r="F110" s="227">
        <v>5995.0</v>
      </c>
      <c r="G110" s="225">
        <v>910.0</v>
      </c>
      <c r="H110" s="165">
        <f t="shared" si="1"/>
        <v>7405</v>
      </c>
      <c r="I110" s="67">
        <f t="shared" si="9"/>
        <v>2657.515902</v>
      </c>
      <c r="J110" s="70">
        <f t="shared" si="3"/>
        <v>64.4352695</v>
      </c>
      <c r="K110" s="166">
        <f t="shared" si="4"/>
        <v>243.9800731</v>
      </c>
      <c r="L110" s="70">
        <f t="shared" si="5"/>
        <v>289.2290027</v>
      </c>
      <c r="M110" s="228">
        <v>500.0</v>
      </c>
      <c r="N110" s="229">
        <f t="shared" si="6"/>
        <v>210.7709973</v>
      </c>
      <c r="O110" s="213">
        <f t="shared" si="16"/>
        <v>32</v>
      </c>
      <c r="P110" s="158">
        <v>33.0</v>
      </c>
    </row>
    <row r="111" ht="15.75" customHeight="1">
      <c r="A111" s="175"/>
      <c r="B111" s="175" t="s">
        <v>96</v>
      </c>
      <c r="C111" s="174">
        <v>297.0</v>
      </c>
      <c r="D111" s="174">
        <v>7650.0</v>
      </c>
      <c r="E111" s="175">
        <v>500.0</v>
      </c>
      <c r="F111" s="178">
        <v>16324.0</v>
      </c>
      <c r="G111" s="175">
        <v>1500.0</v>
      </c>
      <c r="H111" s="161">
        <f t="shared" si="1"/>
        <v>18324</v>
      </c>
      <c r="I111" s="67">
        <f t="shared" si="9"/>
        <v>6914.964848</v>
      </c>
      <c r="J111" s="207">
        <f t="shared" si="3"/>
        <v>167.6632013</v>
      </c>
      <c r="K111" s="208">
        <f t="shared" si="4"/>
        <v>611.9547584</v>
      </c>
      <c r="L111" s="70">
        <f t="shared" si="5"/>
        <v>735.164688</v>
      </c>
      <c r="M111" s="164">
        <v>1050.0</v>
      </c>
      <c r="N111" s="84">
        <f t="shared" si="6"/>
        <v>314.835312</v>
      </c>
      <c r="O111" s="213">
        <f t="shared" si="16"/>
        <v>32</v>
      </c>
      <c r="P111" s="206">
        <v>33.0</v>
      </c>
    </row>
    <row r="112" ht="15.75" customHeight="1">
      <c r="A112" s="175"/>
      <c r="B112" s="175" t="s">
        <v>96</v>
      </c>
      <c r="C112" s="174">
        <v>301.0</v>
      </c>
      <c r="D112" s="174">
        <v>4864.0</v>
      </c>
      <c r="E112" s="175">
        <v>500.0</v>
      </c>
      <c r="F112" s="178">
        <v>7000.0</v>
      </c>
      <c r="G112" s="175">
        <v>1200.0</v>
      </c>
      <c r="H112" s="161">
        <f t="shared" si="1"/>
        <v>8700</v>
      </c>
      <c r="I112" s="67">
        <f t="shared" si="9"/>
        <v>4396.652159</v>
      </c>
      <c r="J112" s="207">
        <f t="shared" si="3"/>
        <v>106.6031125</v>
      </c>
      <c r="K112" s="208">
        <f t="shared" si="4"/>
        <v>317.5470411</v>
      </c>
      <c r="L112" s="70">
        <f t="shared" si="5"/>
        <v>370.3814878</v>
      </c>
      <c r="M112" s="164">
        <v>500.0</v>
      </c>
      <c r="N112" s="84">
        <f t="shared" si="6"/>
        <v>129.6185122</v>
      </c>
      <c r="O112" s="213">
        <f t="shared" si="16"/>
        <v>32</v>
      </c>
      <c r="P112" s="206">
        <v>33.0</v>
      </c>
    </row>
    <row r="113" ht="15.75" customHeight="1">
      <c r="A113" s="175"/>
      <c r="B113" s="175" t="s">
        <v>96</v>
      </c>
      <c r="C113" s="174">
        <v>326.0</v>
      </c>
      <c r="D113" s="174">
        <v>758.0</v>
      </c>
      <c r="E113" s="175">
        <v>500.0</v>
      </c>
      <c r="F113" s="178">
        <v>27500.0</v>
      </c>
      <c r="G113" s="175">
        <v>1840.0</v>
      </c>
      <c r="H113" s="161">
        <f t="shared" si="1"/>
        <v>29840</v>
      </c>
      <c r="I113" s="67">
        <f t="shared" si="9"/>
        <v>685.169066</v>
      </c>
      <c r="J113" s="207">
        <f t="shared" si="3"/>
        <v>16.61290282</v>
      </c>
      <c r="K113" s="208">
        <f t="shared" si="4"/>
        <v>740.1263314</v>
      </c>
      <c r="L113" s="70">
        <f t="shared" si="5"/>
        <v>947.690229</v>
      </c>
      <c r="M113" s="164">
        <v>1100.0</v>
      </c>
      <c r="N113" s="84">
        <f t="shared" si="6"/>
        <v>152.309771</v>
      </c>
      <c r="O113" s="213">
        <f t="shared" si="16"/>
        <v>33</v>
      </c>
      <c r="P113" s="206">
        <v>34.0</v>
      </c>
    </row>
    <row r="114" ht="15.75" customHeight="1">
      <c r="A114" s="175"/>
      <c r="B114" s="175" t="s">
        <v>96</v>
      </c>
      <c r="C114" s="174">
        <v>333.0</v>
      </c>
      <c r="D114" s="174">
        <v>536.0</v>
      </c>
      <c r="E114" s="175">
        <v>800.0</v>
      </c>
      <c r="F114" s="178">
        <v>1800.0</v>
      </c>
      <c r="G114" s="175">
        <v>0.0</v>
      </c>
      <c r="H114" s="161">
        <f t="shared" si="1"/>
        <v>2600</v>
      </c>
      <c r="I114" s="67">
        <f t="shared" si="9"/>
        <v>484.4994978</v>
      </c>
      <c r="J114" s="207">
        <f t="shared" si="3"/>
        <v>11.74738247</v>
      </c>
      <c r="K114" s="208">
        <f t="shared" si="4"/>
        <v>74.78809675</v>
      </c>
      <c r="L114" s="70">
        <f t="shared" si="5"/>
        <v>88.37409732</v>
      </c>
      <c r="M114" s="164">
        <v>150.0</v>
      </c>
      <c r="N114" s="84">
        <f t="shared" si="6"/>
        <v>61.62590268</v>
      </c>
      <c r="O114" s="213">
        <f t="shared" si="16"/>
        <v>33</v>
      </c>
      <c r="P114" s="206">
        <v>34.0</v>
      </c>
    </row>
    <row r="115" ht="15.75" customHeight="1">
      <c r="A115" s="175"/>
      <c r="B115" s="175" t="s">
        <v>96</v>
      </c>
      <c r="C115" s="174">
        <v>303.0</v>
      </c>
      <c r="D115" s="174">
        <v>6554.0</v>
      </c>
      <c r="E115" s="175">
        <v>500.0</v>
      </c>
      <c r="F115" s="178">
        <v>9295.0</v>
      </c>
      <c r="G115" s="175">
        <v>1760.0</v>
      </c>
      <c r="H115" s="161">
        <f t="shared" si="1"/>
        <v>11555</v>
      </c>
      <c r="I115" s="67">
        <f t="shared" si="9"/>
        <v>5924.271845</v>
      </c>
      <c r="J115" s="207">
        <f t="shared" si="3"/>
        <v>143.6424341</v>
      </c>
      <c r="K115" s="208">
        <f t="shared" si="4"/>
        <v>423.8099163</v>
      </c>
      <c r="L115" s="70">
        <f t="shared" si="5"/>
        <v>493.9665136</v>
      </c>
      <c r="M115" s="164">
        <v>850.0</v>
      </c>
      <c r="N115" s="84">
        <f t="shared" si="6"/>
        <v>356.0334864</v>
      </c>
      <c r="O115" s="213">
        <f t="shared" si="16"/>
        <v>34</v>
      </c>
      <c r="P115" s="206">
        <v>35.0</v>
      </c>
    </row>
    <row r="116" ht="15.75" customHeight="1">
      <c r="A116" s="175"/>
      <c r="B116" s="175" t="s">
        <v>96</v>
      </c>
      <c r="C116" s="174">
        <v>339.0</v>
      </c>
      <c r="D116" s="174">
        <v>9650.0</v>
      </c>
      <c r="E116" s="175">
        <v>500.0</v>
      </c>
      <c r="F116" s="178">
        <v>10050.0</v>
      </c>
      <c r="G116" s="175">
        <v>2200.0</v>
      </c>
      <c r="H116" s="161">
        <f t="shared" si="1"/>
        <v>12750</v>
      </c>
      <c r="I116" s="67">
        <f t="shared" si="9"/>
        <v>8722.798795</v>
      </c>
      <c r="J116" s="207">
        <f t="shared" si="3"/>
        <v>211.4967179</v>
      </c>
      <c r="K116" s="208">
        <f t="shared" si="4"/>
        <v>520.6386822</v>
      </c>
      <c r="L116" s="70">
        <f t="shared" si="5"/>
        <v>596.4938521</v>
      </c>
      <c r="M116" s="164">
        <v>100.0</v>
      </c>
      <c r="N116" s="84">
        <f t="shared" si="6"/>
        <v>-496.4938521</v>
      </c>
      <c r="O116" s="213">
        <f t="shared" si="16"/>
        <v>34</v>
      </c>
      <c r="P116" s="206">
        <v>35.0</v>
      </c>
    </row>
    <row r="117" ht="15.75" customHeight="1">
      <c r="A117" s="175"/>
      <c r="B117" s="175" t="s">
        <v>125</v>
      </c>
      <c r="C117" s="174">
        <v>288.0</v>
      </c>
      <c r="D117" s="174">
        <v>92.0</v>
      </c>
      <c r="E117" s="175">
        <v>800.0</v>
      </c>
      <c r="F117" s="178">
        <v>1350.0</v>
      </c>
      <c r="G117" s="175">
        <v>0.0</v>
      </c>
      <c r="H117" s="161">
        <f t="shared" si="1"/>
        <v>2150</v>
      </c>
      <c r="I117" s="67">
        <f t="shared" si="9"/>
        <v>83.16036157</v>
      </c>
      <c r="J117" s="207">
        <f t="shared" si="3"/>
        <v>2.016341767</v>
      </c>
      <c r="K117" s="208">
        <f t="shared" si="4"/>
        <v>54.1461632</v>
      </c>
      <c r="L117" s="70">
        <f t="shared" si="5"/>
        <v>64.33566362</v>
      </c>
      <c r="M117" s="164">
        <v>95.0</v>
      </c>
      <c r="N117" s="84">
        <f t="shared" si="6"/>
        <v>30.66433638</v>
      </c>
      <c r="O117" s="213">
        <f t="shared" si="16"/>
        <v>35</v>
      </c>
      <c r="P117" s="206">
        <v>36.0</v>
      </c>
    </row>
    <row r="118" ht="15.75" customHeight="1">
      <c r="A118" s="175"/>
      <c r="B118" s="175" t="s">
        <v>96</v>
      </c>
      <c r="C118" s="174">
        <v>302.0</v>
      </c>
      <c r="D118" s="174">
        <v>12990.0</v>
      </c>
      <c r="E118" s="175">
        <v>500.0</v>
      </c>
      <c r="F118" s="178">
        <v>31570.0</v>
      </c>
      <c r="G118" s="175">
        <v>1500.0</v>
      </c>
      <c r="H118" s="161">
        <f t="shared" si="1"/>
        <v>33570</v>
      </c>
      <c r="I118" s="67">
        <f t="shared" si="9"/>
        <v>11741.88149</v>
      </c>
      <c r="J118" s="207">
        <f t="shared" si="3"/>
        <v>284.6986908</v>
      </c>
      <c r="K118" s="208">
        <f t="shared" si="4"/>
        <v>1098.651298</v>
      </c>
      <c r="L118" s="70">
        <f t="shared" si="5"/>
        <v>1336.934652</v>
      </c>
      <c r="M118" s="164">
        <v>1500.0</v>
      </c>
      <c r="N118" s="84">
        <f t="shared" si="6"/>
        <v>163.0653477</v>
      </c>
      <c r="O118" s="213">
        <f t="shared" si="16"/>
        <v>35</v>
      </c>
      <c r="P118" s="206">
        <v>36.0</v>
      </c>
    </row>
    <row r="119" ht="15.75" customHeight="1">
      <c r="A119" s="175"/>
      <c r="B119" s="175" t="s">
        <v>96</v>
      </c>
      <c r="C119" s="174">
        <v>335.0</v>
      </c>
      <c r="D119" s="174">
        <v>1338.0</v>
      </c>
      <c r="E119" s="175">
        <v>500.0</v>
      </c>
      <c r="F119" s="178">
        <v>2500.0</v>
      </c>
      <c r="G119" s="175">
        <v>1550.0</v>
      </c>
      <c r="H119" s="161">
        <f t="shared" si="1"/>
        <v>4550</v>
      </c>
      <c r="I119" s="67">
        <f t="shared" si="9"/>
        <v>1209.440911</v>
      </c>
      <c r="J119" s="207">
        <f t="shared" si="3"/>
        <v>29.32462265</v>
      </c>
      <c r="K119" s="208">
        <f t="shared" si="4"/>
        <v>139.6458727</v>
      </c>
      <c r="L119" s="70">
        <f t="shared" si="5"/>
        <v>158.5153179</v>
      </c>
      <c r="M119" s="164">
        <v>300.0</v>
      </c>
      <c r="N119" s="84">
        <f t="shared" si="6"/>
        <v>141.4846821</v>
      </c>
      <c r="O119" s="213">
        <f t="shared" si="16"/>
        <v>35</v>
      </c>
      <c r="P119" s="206">
        <v>36.0</v>
      </c>
    </row>
    <row r="120" ht="15.75" customHeight="1">
      <c r="A120" s="175"/>
      <c r="B120" s="175" t="s">
        <v>96</v>
      </c>
      <c r="C120" s="174">
        <v>313.0</v>
      </c>
      <c r="D120" s="174">
        <v>11380.0</v>
      </c>
      <c r="E120" s="175">
        <v>500.0</v>
      </c>
      <c r="F120" s="178">
        <v>17000.0</v>
      </c>
      <c r="G120" s="175">
        <v>2260.0</v>
      </c>
      <c r="H120" s="161">
        <f t="shared" si="1"/>
        <v>19760</v>
      </c>
      <c r="I120" s="67">
        <f t="shared" si="9"/>
        <v>10286.57516</v>
      </c>
      <c r="J120" s="207">
        <f t="shared" si="3"/>
        <v>249.4127098</v>
      </c>
      <c r="K120" s="208">
        <f t="shared" si="4"/>
        <v>728.5221384</v>
      </c>
      <c r="L120" s="70">
        <f t="shared" si="5"/>
        <v>856.834366</v>
      </c>
      <c r="M120" s="164">
        <v>1000.0</v>
      </c>
      <c r="N120" s="84">
        <f t="shared" si="6"/>
        <v>143.165634</v>
      </c>
      <c r="O120" s="213">
        <f t="shared" si="16"/>
        <v>36</v>
      </c>
      <c r="P120" s="206">
        <v>37.0</v>
      </c>
    </row>
    <row r="121" ht="15.75" customHeight="1">
      <c r="A121" s="175"/>
      <c r="B121" s="175" t="s">
        <v>96</v>
      </c>
      <c r="C121" s="174">
        <v>332.0</v>
      </c>
      <c r="D121" s="174">
        <v>6310.0</v>
      </c>
      <c r="E121" s="175">
        <v>800.0</v>
      </c>
      <c r="F121" s="178">
        <v>12000.0</v>
      </c>
      <c r="G121" s="175">
        <v>0.0</v>
      </c>
      <c r="H121" s="161">
        <f t="shared" si="1"/>
        <v>12800</v>
      </c>
      <c r="I121" s="67">
        <f t="shared" si="9"/>
        <v>5703.716103</v>
      </c>
      <c r="J121" s="207">
        <f t="shared" si="3"/>
        <v>138.2947451</v>
      </c>
      <c r="K121" s="208">
        <f t="shared" si="4"/>
        <v>448.6490308</v>
      </c>
      <c r="L121" s="70">
        <f t="shared" si="5"/>
        <v>539.2223679</v>
      </c>
      <c r="M121" s="164">
        <v>800.0</v>
      </c>
      <c r="N121" s="84">
        <f t="shared" si="6"/>
        <v>260.7776321</v>
      </c>
      <c r="O121" s="213">
        <f t="shared" si="16"/>
        <v>36</v>
      </c>
      <c r="P121" s="206">
        <v>37.0</v>
      </c>
    </row>
    <row r="122" ht="15.75" customHeight="1">
      <c r="A122" s="175"/>
      <c r="B122" s="175" t="s">
        <v>96</v>
      </c>
      <c r="C122" s="174">
        <v>319.0</v>
      </c>
      <c r="D122" s="174">
        <v>10900.0</v>
      </c>
      <c r="E122" s="175">
        <v>500.0</v>
      </c>
      <c r="F122" s="178">
        <v>17021.0</v>
      </c>
      <c r="G122" s="175">
        <v>2710.0</v>
      </c>
      <c r="H122" s="161">
        <f t="shared" si="1"/>
        <v>20231</v>
      </c>
      <c r="I122" s="67">
        <f t="shared" si="9"/>
        <v>9852.695012</v>
      </c>
      <c r="J122" s="207">
        <f t="shared" si="3"/>
        <v>238.8926658</v>
      </c>
      <c r="K122" s="208">
        <f t="shared" si="4"/>
        <v>729.4221623</v>
      </c>
      <c r="L122" s="70">
        <f t="shared" si="5"/>
        <v>857.8928932</v>
      </c>
      <c r="M122" s="164">
        <v>1500.0</v>
      </c>
      <c r="N122" s="84">
        <f t="shared" si="6"/>
        <v>642.1071068</v>
      </c>
      <c r="O122" s="213">
        <f t="shared" si="16"/>
        <v>37</v>
      </c>
      <c r="P122" s="206">
        <v>38.0</v>
      </c>
    </row>
    <row r="123" ht="15.75" customHeight="1">
      <c r="A123" s="175"/>
      <c r="B123" s="175" t="s">
        <v>96</v>
      </c>
      <c r="C123" s="174">
        <v>340.0</v>
      </c>
      <c r="D123" s="174">
        <v>2140.0</v>
      </c>
      <c r="E123" s="175">
        <v>800.0</v>
      </c>
      <c r="F123" s="178">
        <v>11111.0</v>
      </c>
      <c r="G123" s="175">
        <v>0.0</v>
      </c>
      <c r="H123" s="161">
        <f t="shared" si="1"/>
        <v>11911</v>
      </c>
      <c r="I123" s="67">
        <f t="shared" si="9"/>
        <v>1934.382323</v>
      </c>
      <c r="J123" s="207">
        <f t="shared" si="3"/>
        <v>46.90186283</v>
      </c>
      <c r="K123" s="208">
        <f t="shared" si="4"/>
        <v>335.7010735</v>
      </c>
      <c r="L123" s="70">
        <f t="shared" si="5"/>
        <v>419.564436</v>
      </c>
      <c r="M123" s="164">
        <v>450.0</v>
      </c>
      <c r="N123" s="84">
        <f t="shared" si="6"/>
        <v>30.43556405</v>
      </c>
      <c r="O123" s="213">
        <f t="shared" si="16"/>
        <v>37</v>
      </c>
      <c r="P123" s="206">
        <v>38.0</v>
      </c>
    </row>
    <row r="124" ht="15.75" customHeight="1">
      <c r="A124" s="175"/>
      <c r="B124" s="175" t="s">
        <v>96</v>
      </c>
      <c r="C124" s="174">
        <v>295.0</v>
      </c>
      <c r="D124" s="174">
        <v>7820.0</v>
      </c>
      <c r="E124" s="175">
        <v>500.0</v>
      </c>
      <c r="F124" s="178">
        <v>8750.0</v>
      </c>
      <c r="G124" s="175">
        <v>1000.0</v>
      </c>
      <c r="H124" s="161">
        <f t="shared" si="1"/>
        <v>10250</v>
      </c>
      <c r="I124" s="67">
        <f t="shared" si="9"/>
        <v>7068.630733</v>
      </c>
      <c r="J124" s="207">
        <f t="shared" si="3"/>
        <v>171.3890502</v>
      </c>
      <c r="K124" s="208">
        <f t="shared" si="4"/>
        <v>419.914943</v>
      </c>
      <c r="L124" s="70">
        <f t="shared" si="5"/>
        <v>485.9580014</v>
      </c>
      <c r="M124" s="164">
        <v>900.0</v>
      </c>
      <c r="N124" s="84">
        <f t="shared" si="6"/>
        <v>414.0419986</v>
      </c>
      <c r="O124" s="213">
        <f t="shared" si="16"/>
        <v>38</v>
      </c>
      <c r="P124" s="206">
        <v>39.0</v>
      </c>
    </row>
    <row r="125" ht="15.75" customHeight="1">
      <c r="A125" s="175"/>
      <c r="B125" s="175" t="s">
        <v>96</v>
      </c>
      <c r="C125" s="174">
        <v>334.0</v>
      </c>
      <c r="D125" s="174">
        <v>7000.0</v>
      </c>
      <c r="E125" s="175">
        <v>800.0</v>
      </c>
      <c r="F125" s="178">
        <v>7700.0</v>
      </c>
      <c r="G125" s="175">
        <v>0.0</v>
      </c>
      <c r="H125" s="161">
        <f t="shared" si="1"/>
        <v>8500</v>
      </c>
      <c r="I125" s="67">
        <f t="shared" si="9"/>
        <v>6327.418815</v>
      </c>
      <c r="J125" s="207">
        <f t="shared" si="3"/>
        <v>153.4173083</v>
      </c>
      <c r="K125" s="208">
        <f t="shared" si="4"/>
        <v>359.5119512</v>
      </c>
      <c r="L125" s="70">
        <f t="shared" si="5"/>
        <v>417.6298425</v>
      </c>
      <c r="M125" s="164">
        <v>540.0</v>
      </c>
      <c r="N125" s="84">
        <f t="shared" si="6"/>
        <v>122.3701575</v>
      </c>
      <c r="O125" s="213">
        <f t="shared" si="16"/>
        <v>38</v>
      </c>
      <c r="P125" s="206">
        <v>39.0</v>
      </c>
    </row>
    <row r="126" ht="15.75" customHeight="1">
      <c r="A126" s="142"/>
      <c r="B126" s="230" t="s">
        <v>120</v>
      </c>
      <c r="C126" s="231">
        <v>359.0</v>
      </c>
      <c r="D126" s="230">
        <v>100.0</v>
      </c>
      <c r="E126" s="230">
        <v>500.0</v>
      </c>
      <c r="F126" s="230">
        <v>300.0</v>
      </c>
      <c r="G126" s="230">
        <v>230.0</v>
      </c>
      <c r="H126" s="161">
        <f t="shared" si="1"/>
        <v>1030</v>
      </c>
      <c r="I126" s="67">
        <f t="shared" si="9"/>
        <v>90.39169736</v>
      </c>
      <c r="J126" s="207">
        <f t="shared" si="3"/>
        <v>2.191675833</v>
      </c>
      <c r="K126" s="208">
        <f t="shared" si="4"/>
        <v>27.16549726</v>
      </c>
      <c r="L126" s="70">
        <f t="shared" si="5"/>
        <v>29.42983069</v>
      </c>
      <c r="M126" s="164">
        <v>29.0</v>
      </c>
      <c r="N126" s="84">
        <f t="shared" si="6"/>
        <v>-0.4298306902</v>
      </c>
      <c r="O126" s="213">
        <f t="shared" si="16"/>
        <v>38</v>
      </c>
      <c r="P126" s="206">
        <v>39.0</v>
      </c>
    </row>
    <row r="127" ht="15.75" customHeight="1">
      <c r="A127" s="175"/>
      <c r="B127" s="175" t="s">
        <v>96</v>
      </c>
      <c r="C127" s="174">
        <v>331.0</v>
      </c>
      <c r="D127" s="174">
        <v>3790.0</v>
      </c>
      <c r="E127" s="175">
        <v>800.0</v>
      </c>
      <c r="F127" s="178">
        <v>10499.0</v>
      </c>
      <c r="G127" s="175">
        <v>0.0</v>
      </c>
      <c r="H127" s="161">
        <f t="shared" si="1"/>
        <v>11299</v>
      </c>
      <c r="I127" s="67">
        <f t="shared" si="9"/>
        <v>3425.84533</v>
      </c>
      <c r="J127" s="207">
        <f t="shared" si="3"/>
        <v>83.06451408</v>
      </c>
      <c r="K127" s="208">
        <f t="shared" si="4"/>
        <v>357.0249105</v>
      </c>
      <c r="L127" s="70">
        <f t="shared" si="5"/>
        <v>436.2690327</v>
      </c>
      <c r="M127" s="164">
        <v>400.0</v>
      </c>
      <c r="N127" s="84">
        <f t="shared" si="6"/>
        <v>-36.26903272</v>
      </c>
      <c r="O127" s="213">
        <f t="shared" si="16"/>
        <v>39</v>
      </c>
      <c r="P127" s="206">
        <v>40.0</v>
      </c>
    </row>
    <row r="128" ht="15.75" customHeight="1">
      <c r="A128" s="175"/>
      <c r="B128" s="175" t="s">
        <v>109</v>
      </c>
      <c r="C128" s="174">
        <v>358.0</v>
      </c>
      <c r="D128" s="174">
        <v>1200.0</v>
      </c>
      <c r="E128" s="175">
        <v>500.0</v>
      </c>
      <c r="F128" s="178">
        <v>6000.0</v>
      </c>
      <c r="G128" s="175">
        <v>1290.0</v>
      </c>
      <c r="H128" s="161">
        <f t="shared" si="1"/>
        <v>7790</v>
      </c>
      <c r="I128" s="67">
        <f t="shared" ref="I128:I148" si="17">(LOOKUP(O128,$R$16:$R$100,$X$16:$X$100)*D128)/LOOKUP(O128,$R$16:$R$100,$T$16:$T$100)</f>
        <v>3030.06012</v>
      </c>
      <c r="J128" s="207">
        <f t="shared" si="3"/>
        <v>73.46813627</v>
      </c>
      <c r="K128" s="208">
        <f t="shared" si="4"/>
        <v>262.3478148</v>
      </c>
      <c r="L128" s="70">
        <f t="shared" si="5"/>
        <v>307.6344834</v>
      </c>
      <c r="M128" s="164">
        <v>550.0</v>
      </c>
      <c r="N128" s="84">
        <f t="shared" si="6"/>
        <v>242.3655166</v>
      </c>
      <c r="O128" s="213">
        <f t="shared" si="16"/>
        <v>39</v>
      </c>
      <c r="P128" s="206">
        <v>40.0</v>
      </c>
    </row>
    <row r="129" ht="15.75" customHeight="1">
      <c r="A129" s="185" t="s">
        <v>126</v>
      </c>
      <c r="B129" s="175" t="s">
        <v>96</v>
      </c>
      <c r="C129" s="174">
        <v>426.0</v>
      </c>
      <c r="D129" s="174">
        <v>9476.0</v>
      </c>
      <c r="E129" s="175">
        <v>500.0</v>
      </c>
      <c r="F129" s="178">
        <v>19616.0</v>
      </c>
      <c r="G129" s="175">
        <v>1690.0</v>
      </c>
      <c r="H129" s="161">
        <f t="shared" si="1"/>
        <v>21806</v>
      </c>
      <c r="I129" s="67">
        <f t="shared" si="17"/>
        <v>9600</v>
      </c>
      <c r="J129" s="207">
        <f t="shared" si="3"/>
        <v>232.7657143</v>
      </c>
      <c r="K129" s="208">
        <f t="shared" si="4"/>
        <v>761.4833357</v>
      </c>
      <c r="L129" s="207">
        <f t="shared" si="5"/>
        <v>909.5405508</v>
      </c>
      <c r="M129" s="167">
        <f>29*50</f>
        <v>1450</v>
      </c>
      <c r="N129" s="232">
        <f t="shared" si="6"/>
        <v>540.4594492</v>
      </c>
      <c r="O129" s="175">
        <v>40.0</v>
      </c>
      <c r="P129" s="206">
        <v>41.0</v>
      </c>
    </row>
    <row r="130" ht="15.75" customHeight="1">
      <c r="A130" s="233" t="s">
        <v>126</v>
      </c>
      <c r="B130" s="233" t="s">
        <v>96</v>
      </c>
      <c r="C130" s="234">
        <v>387.0</v>
      </c>
      <c r="D130" s="234">
        <v>1076.0</v>
      </c>
      <c r="E130" s="233">
        <v>800.0</v>
      </c>
      <c r="F130" s="235">
        <v>3300.0</v>
      </c>
      <c r="G130" s="233">
        <v>0.0</v>
      </c>
      <c r="H130" s="236">
        <f t="shared" si="1"/>
        <v>4100</v>
      </c>
      <c r="I130" s="67">
        <f t="shared" si="17"/>
        <v>1135.287222</v>
      </c>
      <c r="J130" s="237">
        <f t="shared" si="3"/>
        <v>27.52666053</v>
      </c>
      <c r="K130" s="238">
        <f t="shared" si="4"/>
        <v>126.9370177</v>
      </c>
      <c r="L130" s="237">
        <f t="shared" si="5"/>
        <v>151.8446854</v>
      </c>
      <c r="M130" s="239">
        <v>170.0</v>
      </c>
      <c r="N130" s="240">
        <f t="shared" si="6"/>
        <v>18.15531462</v>
      </c>
      <c r="O130" s="175">
        <v>41.0</v>
      </c>
      <c r="P130" s="241">
        <v>42.0</v>
      </c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</row>
    <row r="131" ht="15.75" customHeight="1">
      <c r="A131" s="225" t="s">
        <v>126</v>
      </c>
      <c r="B131" s="225" t="s">
        <v>127</v>
      </c>
      <c r="C131" s="226">
        <v>389.0</v>
      </c>
      <c r="D131" s="226">
        <v>234.0</v>
      </c>
      <c r="E131" s="225">
        <v>500.0</v>
      </c>
      <c r="F131" s="227">
        <v>5400.0</v>
      </c>
      <c r="G131" s="225">
        <v>880.0</v>
      </c>
      <c r="H131" s="165">
        <f t="shared" si="1"/>
        <v>6780</v>
      </c>
      <c r="I131" s="67">
        <f t="shared" si="17"/>
        <v>246.8933177</v>
      </c>
      <c r="J131" s="70">
        <f t="shared" si="3"/>
        <v>5.986281192</v>
      </c>
      <c r="K131" s="166">
        <f t="shared" si="4"/>
        <v>170.3770669</v>
      </c>
      <c r="L131" s="70">
        <f t="shared" si="5"/>
        <v>211.1350686</v>
      </c>
      <c r="M131" s="228">
        <v>250.0</v>
      </c>
      <c r="N131" s="229">
        <f t="shared" si="6"/>
        <v>38.86493138</v>
      </c>
      <c r="O131" s="225">
        <v>41.0</v>
      </c>
      <c r="P131" s="158">
        <v>42.0</v>
      </c>
    </row>
    <row r="132" ht="15.75" customHeight="1">
      <c r="A132" s="175" t="s">
        <v>126</v>
      </c>
      <c r="B132" s="175" t="s">
        <v>96</v>
      </c>
      <c r="C132" s="174">
        <v>417.0</v>
      </c>
      <c r="D132" s="174">
        <v>7220.0</v>
      </c>
      <c r="E132" s="175">
        <v>500.0</v>
      </c>
      <c r="F132" s="178">
        <v>12100.0</v>
      </c>
      <c r="G132" s="175">
        <v>1210.0</v>
      </c>
      <c r="H132" s="161">
        <f t="shared" si="1"/>
        <v>13810</v>
      </c>
      <c r="I132" s="67">
        <f t="shared" si="17"/>
        <v>7617.819461</v>
      </c>
      <c r="J132" s="207">
        <f t="shared" si="3"/>
        <v>184.7049154</v>
      </c>
      <c r="K132" s="208">
        <f t="shared" si="4"/>
        <v>519.548094</v>
      </c>
      <c r="L132" s="207">
        <f t="shared" si="5"/>
        <v>610.8762089</v>
      </c>
      <c r="M132" s="167">
        <f>21*50</f>
        <v>1050</v>
      </c>
      <c r="N132" s="232">
        <f t="shared" si="6"/>
        <v>439.1237911</v>
      </c>
      <c r="O132" s="175">
        <v>41.0</v>
      </c>
      <c r="P132" s="206">
        <v>42.0</v>
      </c>
    </row>
    <row r="133" ht="15.75" customHeight="1">
      <c r="A133" s="175" t="s">
        <v>126</v>
      </c>
      <c r="B133" s="175" t="s">
        <v>96</v>
      </c>
      <c r="C133" s="174">
        <v>433.0</v>
      </c>
      <c r="D133" s="174">
        <v>8060.0</v>
      </c>
      <c r="E133" s="175">
        <v>800.0</v>
      </c>
      <c r="F133" s="178">
        <v>18888.0</v>
      </c>
      <c r="G133" s="175">
        <v>0.0</v>
      </c>
      <c r="H133" s="161">
        <f t="shared" si="1"/>
        <v>19688</v>
      </c>
      <c r="I133" s="67">
        <f t="shared" si="17"/>
        <v>8300</v>
      </c>
      <c r="J133" s="207">
        <f t="shared" si="3"/>
        <v>201.2453571</v>
      </c>
      <c r="K133" s="208">
        <f t="shared" si="4"/>
        <v>678.6090429</v>
      </c>
      <c r="L133" s="207">
        <f t="shared" si="5"/>
        <v>821.1714755</v>
      </c>
      <c r="M133" s="167">
        <f>15*70</f>
        <v>1050</v>
      </c>
      <c r="N133" s="232">
        <f t="shared" si="6"/>
        <v>228.8285245</v>
      </c>
      <c r="O133" s="175">
        <v>42.0</v>
      </c>
      <c r="P133" s="206">
        <v>44.0</v>
      </c>
    </row>
    <row r="134" ht="15.75" customHeight="1">
      <c r="A134" s="225" t="s">
        <v>126</v>
      </c>
      <c r="B134" s="225" t="s">
        <v>96</v>
      </c>
      <c r="C134" s="226">
        <v>377.0</v>
      </c>
      <c r="D134" s="226">
        <v>1780.0</v>
      </c>
      <c r="E134" s="225">
        <v>800.0</v>
      </c>
      <c r="F134" s="227">
        <v>7999.0</v>
      </c>
      <c r="G134" s="139">
        <v>0.0</v>
      </c>
      <c r="H134" s="165">
        <f t="shared" si="1"/>
        <v>8799</v>
      </c>
      <c r="I134" s="67">
        <f t="shared" si="17"/>
        <v>2386.162162</v>
      </c>
      <c r="J134" s="70">
        <f t="shared" si="3"/>
        <v>57.85591042</v>
      </c>
      <c r="K134" s="166">
        <f t="shared" si="4"/>
        <v>271.2002354</v>
      </c>
      <c r="L134" s="70">
        <f t="shared" si="5"/>
        <v>331.5749124</v>
      </c>
      <c r="M134" s="228">
        <v>450.0</v>
      </c>
      <c r="N134" s="69">
        <f t="shared" si="6"/>
        <v>118.4250876</v>
      </c>
      <c r="O134" s="225">
        <v>43.0</v>
      </c>
      <c r="P134" s="158">
        <v>45.0</v>
      </c>
    </row>
    <row r="135" ht="15.75" customHeight="1">
      <c r="A135" s="175" t="s">
        <v>126</v>
      </c>
      <c r="B135" s="175" t="s">
        <v>128</v>
      </c>
      <c r="C135" s="174">
        <v>386.0</v>
      </c>
      <c r="D135" s="174">
        <v>156.0</v>
      </c>
      <c r="E135" s="175">
        <v>800.0</v>
      </c>
      <c r="F135" s="178">
        <v>4500.0</v>
      </c>
      <c r="G135" s="243">
        <v>0.0</v>
      </c>
      <c r="H135" s="161">
        <f t="shared" si="1"/>
        <v>5300</v>
      </c>
      <c r="I135" s="67">
        <f t="shared" si="17"/>
        <v>209.1243243</v>
      </c>
      <c r="J135" s="207">
        <f t="shared" si="3"/>
        <v>5.070517992</v>
      </c>
      <c r="K135" s="208">
        <f t="shared" si="4"/>
        <v>133.5765894</v>
      </c>
      <c r="L135" s="207">
        <f t="shared" si="5"/>
        <v>167.5415908</v>
      </c>
      <c r="M135" s="164">
        <v>250.0</v>
      </c>
      <c r="N135" s="232">
        <f t="shared" si="6"/>
        <v>82.45840916</v>
      </c>
      <c r="O135" s="175">
        <v>43.0</v>
      </c>
      <c r="P135" s="206">
        <v>45.0</v>
      </c>
    </row>
    <row r="136" ht="15.75" customHeight="1">
      <c r="A136" s="175" t="s">
        <v>126</v>
      </c>
      <c r="B136" s="175" t="s">
        <v>96</v>
      </c>
      <c r="C136" s="174">
        <v>388.0</v>
      </c>
      <c r="D136" s="174">
        <v>2689.0</v>
      </c>
      <c r="E136" s="175">
        <v>800.0</v>
      </c>
      <c r="F136" s="178">
        <v>5999.0</v>
      </c>
      <c r="G136" s="243">
        <v>0.0</v>
      </c>
      <c r="H136" s="161">
        <f t="shared" si="1"/>
        <v>6799</v>
      </c>
      <c r="I136" s="67">
        <f t="shared" si="17"/>
        <v>3604.713514</v>
      </c>
      <c r="J136" s="207">
        <f t="shared" si="3"/>
        <v>87.40142873</v>
      </c>
      <c r="K136" s="208">
        <f t="shared" si="4"/>
        <v>252.2528966</v>
      </c>
      <c r="L136" s="207">
        <f t="shared" si="5"/>
        <v>297.5320174</v>
      </c>
      <c r="M136" s="164">
        <v>400.0</v>
      </c>
      <c r="N136" s="232">
        <f t="shared" si="6"/>
        <v>102.4679826</v>
      </c>
      <c r="O136" s="175">
        <v>43.0</v>
      </c>
      <c r="P136" s="206">
        <v>45.0</v>
      </c>
    </row>
    <row r="137" ht="15.75" customHeight="1">
      <c r="A137" s="175" t="s">
        <v>126</v>
      </c>
      <c r="B137" s="175" t="s">
        <v>129</v>
      </c>
      <c r="C137" s="174">
        <v>385.0</v>
      </c>
      <c r="D137" s="174">
        <v>1846.0</v>
      </c>
      <c r="E137" s="175">
        <v>800.0</v>
      </c>
      <c r="F137" s="178">
        <v>12345.0</v>
      </c>
      <c r="G137" s="243">
        <v>0.0</v>
      </c>
      <c r="H137" s="161">
        <f t="shared" si="1"/>
        <v>13145</v>
      </c>
      <c r="I137" s="67">
        <f t="shared" si="17"/>
        <v>1842.387476</v>
      </c>
      <c r="J137" s="207">
        <f t="shared" si="3"/>
        <v>44.67131633</v>
      </c>
      <c r="K137" s="208">
        <f t="shared" si="4"/>
        <v>363.3906199</v>
      </c>
      <c r="L137" s="207">
        <f t="shared" si="5"/>
        <v>456.5679405</v>
      </c>
      <c r="M137" s="167">
        <f>13*50</f>
        <v>650</v>
      </c>
      <c r="N137" s="232">
        <f t="shared" si="6"/>
        <v>193.4320595</v>
      </c>
      <c r="O137" s="175">
        <v>44.0</v>
      </c>
      <c r="P137" s="206">
        <v>46.0</v>
      </c>
    </row>
    <row r="138" ht="15.75" customHeight="1">
      <c r="A138" s="175" t="s">
        <v>126</v>
      </c>
      <c r="B138" s="175" t="s">
        <v>130</v>
      </c>
      <c r="C138" s="174">
        <v>419.0</v>
      </c>
      <c r="D138" s="174">
        <v>364.0</v>
      </c>
      <c r="E138" s="175">
        <v>500.0</v>
      </c>
      <c r="F138" s="178">
        <v>1001.0</v>
      </c>
      <c r="G138" s="243">
        <v>836.0</v>
      </c>
      <c r="H138" s="161">
        <f t="shared" si="1"/>
        <v>2337</v>
      </c>
      <c r="I138" s="67">
        <f t="shared" si="17"/>
        <v>363.2876712</v>
      </c>
      <c r="J138" s="207">
        <f t="shared" si="3"/>
        <v>8.808428571</v>
      </c>
      <c r="K138" s="208">
        <f t="shared" si="4"/>
        <v>65.47233214</v>
      </c>
      <c r="L138" s="207">
        <f t="shared" si="5"/>
        <v>73.02765802</v>
      </c>
      <c r="M138" s="164">
        <v>100.0</v>
      </c>
      <c r="N138" s="232">
        <f t="shared" si="6"/>
        <v>26.97234198</v>
      </c>
      <c r="O138" s="175">
        <v>44.0</v>
      </c>
      <c r="P138" s="206">
        <v>46.0</v>
      </c>
    </row>
    <row r="139" ht="15.75" customHeight="1">
      <c r="A139" s="175" t="s">
        <v>126</v>
      </c>
      <c r="B139" s="175" t="s">
        <v>96</v>
      </c>
      <c r="C139" s="174">
        <v>442.0</v>
      </c>
      <c r="D139" s="174">
        <v>8010.0</v>
      </c>
      <c r="E139" s="175">
        <v>800.0</v>
      </c>
      <c r="F139" s="178">
        <v>14300.0</v>
      </c>
      <c r="G139" s="175">
        <v>0.0</v>
      </c>
      <c r="H139" s="161">
        <f t="shared" si="1"/>
        <v>15100</v>
      </c>
      <c r="I139" s="67">
        <f t="shared" si="17"/>
        <v>7994.324853</v>
      </c>
      <c r="J139" s="207">
        <f t="shared" si="3"/>
        <v>193.8338265</v>
      </c>
      <c r="K139" s="208">
        <f t="shared" si="4"/>
        <v>559.954898</v>
      </c>
      <c r="L139" s="207">
        <f t="shared" si="5"/>
        <v>667.8881247</v>
      </c>
      <c r="M139" s="164">
        <v>960.0</v>
      </c>
      <c r="N139" s="232">
        <f t="shared" si="6"/>
        <v>292.1118753</v>
      </c>
      <c r="O139" s="175">
        <v>44.0</v>
      </c>
      <c r="P139" s="206">
        <v>46.0</v>
      </c>
    </row>
    <row r="140" ht="15.75" customHeight="1">
      <c r="A140" s="175" t="s">
        <v>126</v>
      </c>
      <c r="B140" s="175" t="s">
        <v>127</v>
      </c>
      <c r="C140" s="174">
        <v>451.0</v>
      </c>
      <c r="D140" s="174">
        <v>3870.0</v>
      </c>
      <c r="E140" s="175">
        <v>500.0</v>
      </c>
      <c r="F140" s="178">
        <v>40516.0</v>
      </c>
      <c r="G140" s="175">
        <v>1840.0</v>
      </c>
      <c r="H140" s="161">
        <f t="shared" si="1"/>
        <v>42856</v>
      </c>
      <c r="I140" s="67">
        <f t="shared" si="17"/>
        <v>3415.001298</v>
      </c>
      <c r="J140" s="207">
        <f t="shared" si="3"/>
        <v>82.80158504</v>
      </c>
      <c r="K140" s="208">
        <f t="shared" si="4"/>
        <v>1121.906528</v>
      </c>
      <c r="L140" s="207">
        <f t="shared" si="5"/>
        <v>1427.712305</v>
      </c>
      <c r="M140" s="164">
        <v>1750.0</v>
      </c>
      <c r="N140" s="232">
        <f t="shared" si="6"/>
        <v>322.2876948</v>
      </c>
      <c r="O140" s="213">
        <f t="shared" ref="O140:O141" si="18">P140-2</f>
        <v>45</v>
      </c>
      <c r="P140" s="206">
        <v>47.0</v>
      </c>
    </row>
    <row r="141" ht="15.75" customHeight="1">
      <c r="A141" s="175" t="s">
        <v>131</v>
      </c>
      <c r="B141" s="175" t="s">
        <v>127</v>
      </c>
      <c r="C141" s="174">
        <v>462.0</v>
      </c>
      <c r="D141" s="174">
        <v>7689.0</v>
      </c>
      <c r="E141" s="175">
        <v>500.0</v>
      </c>
      <c r="F141" s="178">
        <v>18500.0</v>
      </c>
      <c r="G141" s="175">
        <v>0.0</v>
      </c>
      <c r="H141" s="161">
        <f t="shared" si="1"/>
        <v>19000</v>
      </c>
      <c r="I141" s="67">
        <f t="shared" si="17"/>
        <v>6784.998702</v>
      </c>
      <c r="J141" s="207">
        <f t="shared" si="3"/>
        <v>164.5119864</v>
      </c>
      <c r="K141" s="208">
        <f t="shared" si="4"/>
        <v>625.1941292</v>
      </c>
      <c r="L141" s="207">
        <f t="shared" si="5"/>
        <v>764.828024</v>
      </c>
      <c r="M141" s="164">
        <v>1200.0</v>
      </c>
      <c r="N141" s="232">
        <f t="shared" si="6"/>
        <v>435.171976</v>
      </c>
      <c r="O141" s="213">
        <f t="shared" si="18"/>
        <v>45</v>
      </c>
      <c r="P141" s="206">
        <v>47.0</v>
      </c>
    </row>
    <row r="142" ht="15.75" customHeight="1">
      <c r="A142" s="175" t="s">
        <v>131</v>
      </c>
      <c r="B142" s="175" t="s">
        <v>129</v>
      </c>
      <c r="C142" s="174">
        <v>434.0</v>
      </c>
      <c r="D142" s="174">
        <v>1836.0</v>
      </c>
      <c r="E142" s="175">
        <v>800.0</v>
      </c>
      <c r="F142" s="175">
        <v>5850.0</v>
      </c>
      <c r="G142" s="175">
        <v>0.0</v>
      </c>
      <c r="H142" s="161">
        <f t="shared" si="1"/>
        <v>6650</v>
      </c>
      <c r="I142" s="67">
        <f t="shared" si="17"/>
        <v>2523.238381</v>
      </c>
      <c r="J142" s="207">
        <f t="shared" si="3"/>
        <v>61.17951917</v>
      </c>
      <c r="K142" s="208">
        <f t="shared" si="4"/>
        <v>222.4182692</v>
      </c>
      <c r="L142" s="207">
        <f t="shared" si="5"/>
        <v>266.572771</v>
      </c>
      <c r="M142" s="164">
        <v>650.0</v>
      </c>
      <c r="N142" s="84">
        <f t="shared" si="6"/>
        <v>383.427229</v>
      </c>
      <c r="O142" s="175">
        <v>46.0</v>
      </c>
      <c r="P142" s="206">
        <v>48.0</v>
      </c>
    </row>
    <row r="143" ht="15.75" customHeight="1">
      <c r="A143" s="175" t="s">
        <v>131</v>
      </c>
      <c r="B143" s="175" t="s">
        <v>129</v>
      </c>
      <c r="C143" s="174">
        <v>444.0</v>
      </c>
      <c r="D143" s="174">
        <v>1748.0</v>
      </c>
      <c r="E143" s="175">
        <v>800.0</v>
      </c>
      <c r="F143" s="178">
        <v>9999.0</v>
      </c>
      <c r="G143" s="175">
        <v>0.0</v>
      </c>
      <c r="H143" s="161">
        <f t="shared" si="1"/>
        <v>10799</v>
      </c>
      <c r="I143" s="67">
        <f t="shared" si="17"/>
        <v>2402.298851</v>
      </c>
      <c r="J143" s="207">
        <f t="shared" si="3"/>
        <v>58.24716749</v>
      </c>
      <c r="K143" s="208">
        <f t="shared" si="4"/>
        <v>320.0843496</v>
      </c>
      <c r="L143" s="207">
        <f t="shared" si="5"/>
        <v>395.5545828</v>
      </c>
      <c r="M143" s="164">
        <v>550.0</v>
      </c>
      <c r="N143" s="84">
        <f t="shared" si="6"/>
        <v>154.4454172</v>
      </c>
      <c r="O143" s="213">
        <f t="shared" ref="O143:O148" si="19">P143-2</f>
        <v>46</v>
      </c>
      <c r="P143" s="206">
        <v>48.0</v>
      </c>
    </row>
    <row r="144" ht="15.75" customHeight="1">
      <c r="A144" s="175" t="s">
        <v>131</v>
      </c>
      <c r="B144" s="175" t="s">
        <v>127</v>
      </c>
      <c r="C144" s="174">
        <v>450.0</v>
      </c>
      <c r="D144" s="174">
        <v>418.0</v>
      </c>
      <c r="E144" s="175">
        <v>500.0</v>
      </c>
      <c r="F144" s="178">
        <v>2000.0</v>
      </c>
      <c r="G144" s="175">
        <v>0.0</v>
      </c>
      <c r="H144" s="161">
        <f t="shared" si="1"/>
        <v>2500</v>
      </c>
      <c r="I144" s="67">
        <f t="shared" si="17"/>
        <v>574.4627686</v>
      </c>
      <c r="J144" s="207">
        <f t="shared" si="3"/>
        <v>13.92867049</v>
      </c>
      <c r="K144" s="208">
        <f t="shared" si="4"/>
        <v>74.54474191</v>
      </c>
      <c r="L144" s="207">
        <f t="shared" si="5"/>
        <v>89.6402981</v>
      </c>
      <c r="M144" s="164">
        <v>190.0</v>
      </c>
      <c r="N144" s="84">
        <f t="shared" si="6"/>
        <v>100.3597019</v>
      </c>
      <c r="O144" s="213">
        <f t="shared" si="19"/>
        <v>46</v>
      </c>
      <c r="P144" s="206">
        <v>48.0</v>
      </c>
    </row>
    <row r="145" ht="15.75" customHeight="1">
      <c r="A145" s="175" t="s">
        <v>131</v>
      </c>
      <c r="B145" s="175" t="s">
        <v>132</v>
      </c>
      <c r="C145" s="174">
        <v>463.0</v>
      </c>
      <c r="D145" s="174">
        <v>920.0</v>
      </c>
      <c r="E145" s="175">
        <v>800.0</v>
      </c>
      <c r="F145" s="178">
        <v>5222.0</v>
      </c>
      <c r="G145" s="175">
        <v>0.0</v>
      </c>
      <c r="H145" s="161">
        <f t="shared" si="1"/>
        <v>6022</v>
      </c>
      <c r="I145" s="67">
        <f t="shared" si="17"/>
        <v>1299.145299</v>
      </c>
      <c r="J145" s="207">
        <f t="shared" si="3"/>
        <v>31.4996337</v>
      </c>
      <c r="K145" s="208">
        <f t="shared" si="4"/>
        <v>177.5116266</v>
      </c>
      <c r="L145" s="207">
        <f t="shared" si="5"/>
        <v>216.9261238</v>
      </c>
      <c r="M145" s="164">
        <v>450.0</v>
      </c>
      <c r="N145" s="84">
        <f t="shared" si="6"/>
        <v>233.0738762</v>
      </c>
      <c r="O145" s="213">
        <f t="shared" si="19"/>
        <v>47</v>
      </c>
      <c r="P145" s="206">
        <v>49.0</v>
      </c>
    </row>
    <row r="146" ht="15.75" customHeight="1">
      <c r="A146" s="175" t="s">
        <v>131</v>
      </c>
      <c r="B146" s="175" t="s">
        <v>96</v>
      </c>
      <c r="C146" s="174">
        <v>464.0</v>
      </c>
      <c r="D146" s="174">
        <v>2580.0</v>
      </c>
      <c r="E146" s="175">
        <v>800.0</v>
      </c>
      <c r="F146" s="178">
        <v>6300.0</v>
      </c>
      <c r="G146" s="175">
        <v>0.0</v>
      </c>
      <c r="H146" s="161">
        <f t="shared" si="1"/>
        <v>7100</v>
      </c>
      <c r="I146" s="67">
        <f t="shared" si="17"/>
        <v>3643.255295</v>
      </c>
      <c r="J146" s="207">
        <f t="shared" si="3"/>
        <v>88.33592929</v>
      </c>
      <c r="K146" s="208">
        <f t="shared" si="4"/>
        <v>260.4855721</v>
      </c>
      <c r="L146" s="207">
        <f t="shared" si="5"/>
        <v>308.0365741</v>
      </c>
      <c r="M146" s="164">
        <v>450.0</v>
      </c>
      <c r="N146" s="84">
        <f t="shared" si="6"/>
        <v>141.9634259</v>
      </c>
      <c r="O146" s="213">
        <f t="shared" si="19"/>
        <v>47</v>
      </c>
      <c r="P146" s="206">
        <v>49.0</v>
      </c>
    </row>
    <row r="147" ht="15.75" customHeight="1">
      <c r="A147" s="175" t="s">
        <v>131</v>
      </c>
      <c r="B147" s="175" t="s">
        <v>133</v>
      </c>
      <c r="C147" s="174">
        <v>465.0</v>
      </c>
      <c r="D147" s="174">
        <v>370.0</v>
      </c>
      <c r="E147" s="175">
        <v>800.0</v>
      </c>
      <c r="F147" s="178">
        <v>1950.0</v>
      </c>
      <c r="G147" s="175">
        <v>0.0</v>
      </c>
      <c r="H147" s="161">
        <f t="shared" si="1"/>
        <v>2750</v>
      </c>
      <c r="I147" s="67">
        <f t="shared" si="17"/>
        <v>522.4823486</v>
      </c>
      <c r="J147" s="207">
        <f t="shared" si="3"/>
        <v>12.66833094</v>
      </c>
      <c r="K147" s="208">
        <f t="shared" si="4"/>
        <v>79.34600952</v>
      </c>
      <c r="L147" s="207">
        <f t="shared" si="5"/>
        <v>94.0641768</v>
      </c>
      <c r="M147" s="164">
        <v>130.0</v>
      </c>
      <c r="N147" s="84">
        <f t="shared" si="6"/>
        <v>35.9358232</v>
      </c>
      <c r="O147" s="213">
        <f t="shared" si="19"/>
        <v>47</v>
      </c>
      <c r="P147" s="206">
        <v>49.0</v>
      </c>
    </row>
    <row r="148" ht="15.75" customHeight="1">
      <c r="A148" s="175" t="s">
        <v>131</v>
      </c>
      <c r="B148" s="175" t="s">
        <v>96</v>
      </c>
      <c r="C148" s="174">
        <v>467.0</v>
      </c>
      <c r="D148" s="174">
        <v>1512.0</v>
      </c>
      <c r="E148" s="175">
        <v>800.0</v>
      </c>
      <c r="F148" s="178">
        <v>6999.0</v>
      </c>
      <c r="G148" s="175">
        <v>0.0</v>
      </c>
      <c r="H148" s="161">
        <f t="shared" si="1"/>
        <v>7799</v>
      </c>
      <c r="I148" s="67">
        <f t="shared" si="17"/>
        <v>2135.117057</v>
      </c>
      <c r="J148" s="207">
        <f t="shared" si="3"/>
        <v>51.76896321</v>
      </c>
      <c r="K148" s="208">
        <f t="shared" si="4"/>
        <v>240.8668596</v>
      </c>
      <c r="L148" s="207">
        <f t="shared" si="5"/>
        <v>293.6937585</v>
      </c>
      <c r="M148" s="164">
        <v>350.0</v>
      </c>
      <c r="N148" s="84">
        <f t="shared" si="6"/>
        <v>56.30624148</v>
      </c>
      <c r="O148" s="213">
        <f t="shared" si="19"/>
        <v>47</v>
      </c>
      <c r="P148" s="206">
        <v>49.0</v>
      </c>
    </row>
    <row r="149" ht="15.75" customHeight="1">
      <c r="A149" s="175" t="s">
        <v>131</v>
      </c>
      <c r="B149" s="175" t="s">
        <v>134</v>
      </c>
      <c r="C149" s="174">
        <v>201.0</v>
      </c>
      <c r="D149" s="174">
        <v>828.0</v>
      </c>
      <c r="E149" s="175">
        <v>500.0</v>
      </c>
      <c r="F149" s="178">
        <v>23200.0</v>
      </c>
      <c r="G149" s="175">
        <v>650.0</v>
      </c>
      <c r="H149" s="161">
        <f t="shared" si="1"/>
        <v>24350</v>
      </c>
      <c r="I149" s="67">
        <f>(LOOKUP(O149,$R$16:$R$27,$X$16:$X$27)*D149)/LOOKUP($O$89,$R$16:$R$27,$T$16:$T$27)</f>
        <v>761.2334802</v>
      </c>
      <c r="J149" s="207">
        <f t="shared" si="3"/>
        <v>18.4571932</v>
      </c>
      <c r="K149" s="208">
        <f t="shared" si="4"/>
        <v>608.8577289</v>
      </c>
      <c r="L149" s="207">
        <f t="shared" si="5"/>
        <v>783.9661807</v>
      </c>
      <c r="M149" s="164">
        <v>1050.0</v>
      </c>
      <c r="N149" s="244">
        <f>M149-K149</f>
        <v>441.1422711</v>
      </c>
      <c r="O149" s="175">
        <v>48.0</v>
      </c>
      <c r="P149" s="206">
        <v>50.0</v>
      </c>
    </row>
    <row r="150" ht="15.75" customHeight="1">
      <c r="A150" s="175" t="s">
        <v>131</v>
      </c>
      <c r="B150" s="175" t="s">
        <v>96</v>
      </c>
      <c r="C150" s="174">
        <v>472.0</v>
      </c>
      <c r="D150" s="174">
        <v>12000.0</v>
      </c>
      <c r="E150" s="175">
        <v>800.0</v>
      </c>
      <c r="F150" s="178">
        <v>27777.0</v>
      </c>
      <c r="G150" s="175">
        <v>0.0</v>
      </c>
      <c r="H150" s="161">
        <f t="shared" si="1"/>
        <v>28577</v>
      </c>
      <c r="I150" s="67">
        <f t="shared" ref="I150:I158" si="20">(LOOKUP(O150,$R$16:$R$100,$X$16:$X$100)*D150)/LOOKUP(O150,$R$16:$R$100,$T$16:$T$100)</f>
        <v>11225.44434</v>
      </c>
      <c r="J150" s="207">
        <f t="shared" si="3"/>
        <v>272.1769344</v>
      </c>
      <c r="K150" s="208">
        <f t="shared" si="4"/>
        <v>965.0671237</v>
      </c>
      <c r="L150" s="207">
        <f t="shared" si="5"/>
        <v>1174.721756</v>
      </c>
      <c r="M150" s="164">
        <v>1250.0</v>
      </c>
      <c r="N150" s="84">
        <f t="shared" ref="N150:N193" si="21">M150-L150</f>
        <v>75.27824421</v>
      </c>
      <c r="O150" s="175">
        <v>48.0</v>
      </c>
      <c r="P150" s="206">
        <v>50.0</v>
      </c>
    </row>
    <row r="151" ht="15.75" customHeight="1">
      <c r="A151" s="175" t="s">
        <v>131</v>
      </c>
      <c r="B151" s="175" t="s">
        <v>96</v>
      </c>
      <c r="C151" s="174">
        <v>473.0</v>
      </c>
      <c r="D151" s="174">
        <v>5950.0</v>
      </c>
      <c r="E151" s="175">
        <v>500.0</v>
      </c>
      <c r="F151" s="178">
        <v>8880.0</v>
      </c>
      <c r="G151" s="175">
        <v>2060.0</v>
      </c>
      <c r="H151" s="161">
        <f t="shared" si="1"/>
        <v>11440</v>
      </c>
      <c r="I151" s="67">
        <f t="shared" si="20"/>
        <v>3912.328767</v>
      </c>
      <c r="J151" s="207">
        <f t="shared" si="3"/>
        <v>94.86</v>
      </c>
      <c r="K151" s="208">
        <f t="shared" si="4"/>
        <v>372.2391429</v>
      </c>
      <c r="L151" s="207">
        <f t="shared" si="5"/>
        <v>439.2634123</v>
      </c>
      <c r="M151" s="164">
        <v>650.0</v>
      </c>
      <c r="N151" s="84">
        <f t="shared" si="21"/>
        <v>210.7365877</v>
      </c>
      <c r="O151" s="175">
        <v>49.0</v>
      </c>
      <c r="P151" s="206">
        <v>51.0</v>
      </c>
    </row>
    <row r="152" ht="15.75" customHeight="1">
      <c r="A152" s="175" t="s">
        <v>131</v>
      </c>
      <c r="B152" s="175" t="s">
        <v>96</v>
      </c>
      <c r="C152" s="174">
        <v>478.0</v>
      </c>
      <c r="D152" s="174">
        <v>8980.0</v>
      </c>
      <c r="E152" s="175">
        <v>500.0</v>
      </c>
      <c r="F152" s="178">
        <v>8980.0</v>
      </c>
      <c r="G152" s="175">
        <v>1540.0</v>
      </c>
      <c r="H152" s="161">
        <f t="shared" si="1"/>
        <v>11020</v>
      </c>
      <c r="I152" s="67">
        <f t="shared" si="20"/>
        <v>5904.657534</v>
      </c>
      <c r="J152" s="207">
        <f t="shared" si="3"/>
        <v>143.1668571</v>
      </c>
      <c r="K152" s="208">
        <f t="shared" si="4"/>
        <v>410.3625</v>
      </c>
      <c r="L152" s="207">
        <f t="shared" si="5"/>
        <v>478.1415473</v>
      </c>
      <c r="M152" s="164">
        <v>780.0</v>
      </c>
      <c r="N152" s="84">
        <f t="shared" si="21"/>
        <v>301.8584527</v>
      </c>
      <c r="O152" s="175">
        <v>49.0</v>
      </c>
      <c r="P152" s="206">
        <v>51.0</v>
      </c>
    </row>
    <row r="153" ht="15.75" customHeight="1">
      <c r="A153" s="175" t="s">
        <v>131</v>
      </c>
      <c r="B153" s="175" t="s">
        <v>96</v>
      </c>
      <c r="C153" s="174">
        <v>487.0</v>
      </c>
      <c r="D153" s="174">
        <v>3700.0</v>
      </c>
      <c r="E153" s="175">
        <v>500.0</v>
      </c>
      <c r="F153" s="178">
        <v>10158.0</v>
      </c>
      <c r="G153" s="175">
        <v>923.0</v>
      </c>
      <c r="H153" s="161">
        <f t="shared" si="1"/>
        <v>11581</v>
      </c>
      <c r="I153" s="67">
        <f t="shared" si="20"/>
        <v>2432.876712</v>
      </c>
      <c r="J153" s="207">
        <f t="shared" si="3"/>
        <v>58.98857143</v>
      </c>
      <c r="K153" s="208">
        <f t="shared" si="4"/>
        <v>339.7864607</v>
      </c>
      <c r="L153" s="207">
        <f t="shared" si="5"/>
        <v>416.4567906</v>
      </c>
      <c r="M153" s="164">
        <v>550.0</v>
      </c>
      <c r="N153" s="84">
        <f t="shared" si="21"/>
        <v>133.5432094</v>
      </c>
      <c r="O153" s="175">
        <v>49.0</v>
      </c>
      <c r="P153" s="206">
        <v>51.0</v>
      </c>
    </row>
    <row r="154" ht="15.75" customHeight="1">
      <c r="A154" s="175" t="s">
        <v>131</v>
      </c>
      <c r="B154" s="175" t="s">
        <v>96</v>
      </c>
      <c r="C154" s="174">
        <v>488.0</v>
      </c>
      <c r="D154" s="174">
        <v>3116.0</v>
      </c>
      <c r="E154" s="175">
        <v>800.0</v>
      </c>
      <c r="F154" s="178">
        <v>7999.0</v>
      </c>
      <c r="G154" s="175">
        <v>0.0</v>
      </c>
      <c r="H154" s="161">
        <f t="shared" si="1"/>
        <v>8799</v>
      </c>
      <c r="I154" s="67">
        <f t="shared" si="20"/>
        <v>2048.876712</v>
      </c>
      <c r="J154" s="207">
        <f t="shared" si="3"/>
        <v>49.67794286</v>
      </c>
      <c r="K154" s="208">
        <f t="shared" si="4"/>
        <v>263.0222679</v>
      </c>
      <c r="L154" s="207">
        <f t="shared" si="5"/>
        <v>323.3969448</v>
      </c>
      <c r="M154" s="164">
        <v>400.0</v>
      </c>
      <c r="N154" s="84">
        <f t="shared" si="21"/>
        <v>76.60305517</v>
      </c>
      <c r="O154" s="175">
        <v>49.0</v>
      </c>
      <c r="P154" s="206">
        <v>51.0</v>
      </c>
    </row>
    <row r="155" ht="15.75" customHeight="1">
      <c r="A155" s="175" t="s">
        <v>131</v>
      </c>
      <c r="B155" s="175" t="s">
        <v>109</v>
      </c>
      <c r="C155" s="174">
        <v>489.0</v>
      </c>
      <c r="D155" s="174">
        <v>154.0</v>
      </c>
      <c r="E155" s="175">
        <v>800.0</v>
      </c>
      <c r="F155" s="178">
        <v>3000.0</v>
      </c>
      <c r="G155" s="175">
        <v>0.0</v>
      </c>
      <c r="H155" s="161">
        <f t="shared" si="1"/>
        <v>3800</v>
      </c>
      <c r="I155" s="67">
        <f t="shared" si="20"/>
        <v>101.260274</v>
      </c>
      <c r="J155" s="207">
        <f t="shared" si="3"/>
        <v>2.4552</v>
      </c>
      <c r="K155" s="208">
        <f t="shared" si="4"/>
        <v>94.59162857</v>
      </c>
      <c r="L155" s="207">
        <f t="shared" si="5"/>
        <v>117.2349629</v>
      </c>
      <c r="M155" s="164">
        <v>210.0</v>
      </c>
      <c r="N155" s="84">
        <f t="shared" si="21"/>
        <v>92.76503715</v>
      </c>
      <c r="O155" s="175">
        <v>49.0</v>
      </c>
      <c r="P155" s="206">
        <v>51.0</v>
      </c>
    </row>
    <row r="156" ht="15.75" customHeight="1">
      <c r="A156" s="175" t="s">
        <v>131</v>
      </c>
      <c r="B156" s="175" t="s">
        <v>109</v>
      </c>
      <c r="C156" s="174">
        <v>480.0</v>
      </c>
      <c r="D156" s="174">
        <v>5000.0</v>
      </c>
      <c r="E156" s="175">
        <v>500.0</v>
      </c>
      <c r="F156" s="178">
        <v>8200.0</v>
      </c>
      <c r="G156" s="142"/>
      <c r="H156" s="161">
        <f t="shared" si="1"/>
        <v>8700</v>
      </c>
      <c r="I156" s="67">
        <f t="shared" si="20"/>
        <v>4928.571429</v>
      </c>
      <c r="J156" s="207">
        <f t="shared" si="3"/>
        <v>119.5002551</v>
      </c>
      <c r="K156" s="208">
        <f t="shared" si="4"/>
        <v>330.4441837</v>
      </c>
      <c r="L156" s="207">
        <f t="shared" si="5"/>
        <v>392.335964</v>
      </c>
      <c r="M156" s="164">
        <v>1000.0</v>
      </c>
      <c r="N156" s="84">
        <f t="shared" si="21"/>
        <v>607.664036</v>
      </c>
      <c r="O156" s="175">
        <v>50.0</v>
      </c>
      <c r="P156" s="206">
        <v>52.0</v>
      </c>
    </row>
    <row r="157" ht="15.75" customHeight="1">
      <c r="A157" s="175" t="s">
        <v>131</v>
      </c>
      <c r="B157" s="175" t="s">
        <v>96</v>
      </c>
      <c r="C157" s="174">
        <v>482.0</v>
      </c>
      <c r="D157" s="174">
        <v>1000.0</v>
      </c>
      <c r="E157" s="175">
        <v>500.0</v>
      </c>
      <c r="F157" s="178">
        <v>4800.0</v>
      </c>
      <c r="G157" s="175">
        <v>1100.0</v>
      </c>
      <c r="H157" s="161">
        <f t="shared" si="1"/>
        <v>6400</v>
      </c>
      <c r="I157" s="67">
        <f t="shared" si="20"/>
        <v>985.7142857</v>
      </c>
      <c r="J157" s="207">
        <f t="shared" si="3"/>
        <v>23.90005102</v>
      </c>
      <c r="K157" s="208">
        <f t="shared" si="4"/>
        <v>179.0771939</v>
      </c>
      <c r="L157" s="207">
        <f t="shared" si="5"/>
        <v>215.3065287</v>
      </c>
      <c r="M157" s="164">
        <v>300.0</v>
      </c>
      <c r="N157" s="84">
        <f t="shared" si="21"/>
        <v>84.69347127</v>
      </c>
      <c r="O157" s="175">
        <v>50.0</v>
      </c>
      <c r="P157" s="206">
        <v>52.0</v>
      </c>
    </row>
    <row r="158" ht="15.75" customHeight="1">
      <c r="A158" s="175" t="s">
        <v>135</v>
      </c>
      <c r="B158" s="175" t="s">
        <v>96</v>
      </c>
      <c r="C158" s="174">
        <v>483.0</v>
      </c>
      <c r="D158" s="174">
        <v>1000.0</v>
      </c>
      <c r="E158" s="175">
        <v>500.0</v>
      </c>
      <c r="F158" s="178">
        <v>2980.0</v>
      </c>
      <c r="G158" s="175">
        <v>1280.0</v>
      </c>
      <c r="H158" s="161">
        <f t="shared" si="1"/>
        <v>4760</v>
      </c>
      <c r="I158" s="67">
        <f t="shared" si="20"/>
        <v>985.7142857</v>
      </c>
      <c r="J158" s="207">
        <f t="shared" si="3"/>
        <v>23.90005102</v>
      </c>
      <c r="K158" s="208">
        <f t="shared" si="4"/>
        <v>139.313051</v>
      </c>
      <c r="L158" s="207">
        <f t="shared" si="5"/>
        <v>161.8054297</v>
      </c>
      <c r="M158" s="164">
        <v>250.0</v>
      </c>
      <c r="N158" s="84">
        <f t="shared" si="21"/>
        <v>88.19457026</v>
      </c>
      <c r="O158" s="175">
        <v>50.0</v>
      </c>
      <c r="P158" s="206">
        <v>52.0</v>
      </c>
    </row>
    <row r="159" ht="15.75" customHeight="1">
      <c r="A159" s="175" t="s">
        <v>136</v>
      </c>
      <c r="B159" s="175" t="s">
        <v>124</v>
      </c>
      <c r="C159" s="174">
        <v>287.0</v>
      </c>
      <c r="D159" s="174">
        <v>1000.0</v>
      </c>
      <c r="E159" s="175">
        <v>800.0</v>
      </c>
      <c r="F159" s="178">
        <v>6500.0</v>
      </c>
      <c r="G159" s="175">
        <v>650.0</v>
      </c>
      <c r="H159" s="161">
        <f t="shared" si="1"/>
        <v>7950</v>
      </c>
      <c r="I159" s="67">
        <f>(LOOKUP(O159,$R$16:$R$27,$X$16:$X$27)*D159)/LOOKUP($O$89,$R$16:$R$27,$T$16:$T$27)</f>
        <v>919.3641065</v>
      </c>
      <c r="J159" s="207">
        <f t="shared" si="3"/>
        <v>22.29129614</v>
      </c>
      <c r="K159" s="208">
        <f t="shared" si="4"/>
        <v>215.0504033</v>
      </c>
      <c r="L159" s="207">
        <f t="shared" si="5"/>
        <v>264.1109609</v>
      </c>
      <c r="M159" s="167"/>
      <c r="N159" s="84">
        <f t="shared" si="21"/>
        <v>-264.1109609</v>
      </c>
      <c r="O159" s="175">
        <v>51.0</v>
      </c>
      <c r="P159" s="206">
        <v>53.0</v>
      </c>
    </row>
    <row r="160" ht="15.75" customHeight="1">
      <c r="A160" s="175" t="s">
        <v>136</v>
      </c>
      <c r="B160" s="175" t="s">
        <v>137</v>
      </c>
      <c r="C160" s="174">
        <v>496.0</v>
      </c>
      <c r="D160" s="174">
        <v>100.0</v>
      </c>
      <c r="E160" s="175">
        <v>800.0</v>
      </c>
      <c r="F160" s="178">
        <v>400.0</v>
      </c>
      <c r="G160" s="175">
        <v>230.0</v>
      </c>
      <c r="H160" s="161">
        <f t="shared" si="1"/>
        <v>1430</v>
      </c>
      <c r="I160" s="67">
        <f t="shared" ref="I160:I259" si="22">(LOOKUP(O160,$R$16:$R$100,$X$16:$X$100)*D160)/LOOKUP(O160,$R$16:$R$100,$T$16:$T$100)</f>
        <v>256.25</v>
      </c>
      <c r="J160" s="207">
        <f t="shared" si="3"/>
        <v>6.213147321</v>
      </c>
      <c r="K160" s="208">
        <f t="shared" si="4"/>
        <v>40.88554018</v>
      </c>
      <c r="L160" s="207">
        <f t="shared" si="5"/>
        <v>43.90465142</v>
      </c>
      <c r="M160" s="164"/>
      <c r="N160" s="84">
        <f t="shared" si="21"/>
        <v>-43.90465142</v>
      </c>
      <c r="O160" s="175">
        <v>51.0</v>
      </c>
      <c r="P160" s="206">
        <v>53.0</v>
      </c>
    </row>
    <row r="161" ht="15.75" customHeight="1">
      <c r="A161" s="175" t="s">
        <v>136</v>
      </c>
      <c r="B161" s="175" t="s">
        <v>138</v>
      </c>
      <c r="C161" s="174">
        <v>494.0</v>
      </c>
      <c r="D161" s="174">
        <v>500.0</v>
      </c>
      <c r="E161" s="175">
        <v>800.0</v>
      </c>
      <c r="F161" s="178">
        <v>4000.0</v>
      </c>
      <c r="G161" s="175">
        <v>0.0</v>
      </c>
      <c r="H161" s="161">
        <f t="shared" si="1"/>
        <v>4800</v>
      </c>
      <c r="I161" s="67">
        <f t="shared" si="22"/>
        <v>1281.25</v>
      </c>
      <c r="J161" s="207">
        <f t="shared" si="3"/>
        <v>31.06573661</v>
      </c>
      <c r="K161" s="208">
        <f t="shared" si="4"/>
        <v>147.4485938</v>
      </c>
      <c r="L161" s="207">
        <f t="shared" si="5"/>
        <v>177.6397061</v>
      </c>
      <c r="M161" s="164"/>
      <c r="N161" s="84">
        <f t="shared" si="21"/>
        <v>-177.6397061</v>
      </c>
      <c r="O161" s="175">
        <v>51.0</v>
      </c>
      <c r="P161" s="206">
        <v>53.0</v>
      </c>
    </row>
    <row r="162" ht="15.75" customHeight="1">
      <c r="A162" s="175" t="s">
        <v>136</v>
      </c>
      <c r="B162" s="175" t="s">
        <v>96</v>
      </c>
      <c r="C162" s="174">
        <v>498.0</v>
      </c>
      <c r="D162" s="174">
        <v>2300.0</v>
      </c>
      <c r="E162" s="175">
        <v>800.0</v>
      </c>
      <c r="F162" s="178">
        <v>3333.0</v>
      </c>
      <c r="G162" s="175">
        <v>0.0</v>
      </c>
      <c r="H162" s="161">
        <f t="shared" si="1"/>
        <v>4133</v>
      </c>
      <c r="I162" s="67">
        <f t="shared" si="22"/>
        <v>2774.603175</v>
      </c>
      <c r="J162" s="207">
        <f t="shared" si="3"/>
        <v>67.27421769</v>
      </c>
      <c r="K162" s="208">
        <f t="shared" si="4"/>
        <v>167.484707</v>
      </c>
      <c r="L162" s="207">
        <f t="shared" si="5"/>
        <v>192.6414514</v>
      </c>
      <c r="M162" s="164"/>
      <c r="N162" s="84">
        <f t="shared" si="21"/>
        <v>-192.6414514</v>
      </c>
      <c r="O162" s="175">
        <v>52.0</v>
      </c>
      <c r="P162" s="206">
        <v>54.0</v>
      </c>
    </row>
    <row r="163" ht="15.75" customHeight="1">
      <c r="A163" s="175" t="s">
        <v>136</v>
      </c>
      <c r="B163" s="175" t="s">
        <v>96</v>
      </c>
      <c r="C163" s="174">
        <v>499.0</v>
      </c>
      <c r="D163" s="174">
        <v>4000.0</v>
      </c>
      <c r="E163" s="175">
        <v>800.0</v>
      </c>
      <c r="F163" s="178">
        <v>15500.0</v>
      </c>
      <c r="G163" s="175">
        <v>0.0</v>
      </c>
      <c r="H163" s="161">
        <f t="shared" si="1"/>
        <v>16300</v>
      </c>
      <c r="I163" s="67">
        <f t="shared" si="22"/>
        <v>4825.396825</v>
      </c>
      <c r="J163" s="207">
        <f t="shared" si="3"/>
        <v>116.9986395</v>
      </c>
      <c r="K163" s="208">
        <f t="shared" si="4"/>
        <v>512.2154252</v>
      </c>
      <c r="L163" s="207">
        <f t="shared" si="5"/>
        <v>629.2059856</v>
      </c>
      <c r="M163" s="164"/>
      <c r="N163" s="84">
        <f t="shared" si="21"/>
        <v>-629.2059856</v>
      </c>
      <c r="O163" s="175">
        <v>52.0</v>
      </c>
      <c r="P163" s="206">
        <v>54.0</v>
      </c>
    </row>
    <row r="164" ht="15.75" customHeight="1">
      <c r="A164" s="175" t="s">
        <v>136</v>
      </c>
      <c r="B164" s="175" t="s">
        <v>96</v>
      </c>
      <c r="C164" s="174">
        <v>501.0</v>
      </c>
      <c r="D164" s="174">
        <v>7790.0</v>
      </c>
      <c r="E164" s="175">
        <v>800.0</v>
      </c>
      <c r="F164" s="178">
        <v>20900.0</v>
      </c>
      <c r="G164" s="175">
        <v>1500.0</v>
      </c>
      <c r="H164" s="161">
        <f t="shared" si="1"/>
        <v>23200</v>
      </c>
      <c r="I164" s="67">
        <f t="shared" si="22"/>
        <v>8300</v>
      </c>
      <c r="J164" s="207">
        <f t="shared" si="3"/>
        <v>201.2453571</v>
      </c>
      <c r="K164" s="208">
        <f t="shared" si="4"/>
        <v>763.7625</v>
      </c>
      <c r="L164" s="207">
        <f t="shared" si="5"/>
        <v>921.5110622</v>
      </c>
      <c r="M164" s="164"/>
      <c r="N164" s="84">
        <f t="shared" si="21"/>
        <v>-921.5110622</v>
      </c>
      <c r="O164" s="175">
        <v>53.0</v>
      </c>
      <c r="P164" s="206">
        <v>55.0</v>
      </c>
    </row>
    <row r="165" ht="15.75" customHeight="1">
      <c r="A165" s="175" t="s">
        <v>136</v>
      </c>
      <c r="B165" s="175" t="s">
        <v>96</v>
      </c>
      <c r="C165" s="174">
        <v>515.0</v>
      </c>
      <c r="D165" s="174">
        <v>11480.0</v>
      </c>
      <c r="E165" s="175">
        <v>800.0</v>
      </c>
      <c r="F165" s="178">
        <v>16000.0</v>
      </c>
      <c r="G165" s="175">
        <v>2440.0</v>
      </c>
      <c r="H165" s="161">
        <f t="shared" si="1"/>
        <v>19240</v>
      </c>
      <c r="I165" s="67">
        <f t="shared" si="22"/>
        <v>9773.513514</v>
      </c>
      <c r="J165" s="207">
        <f t="shared" si="3"/>
        <v>236.9727973</v>
      </c>
      <c r="K165" s="208">
        <f t="shared" si="4"/>
        <v>703.474083</v>
      </c>
      <c r="L165" s="207">
        <f t="shared" si="5"/>
        <v>824.2385325</v>
      </c>
      <c r="M165" s="164"/>
      <c r="N165" s="84">
        <f t="shared" si="21"/>
        <v>-824.2385325</v>
      </c>
      <c r="O165" s="175">
        <v>54.0</v>
      </c>
      <c r="P165" s="206">
        <v>56.0</v>
      </c>
    </row>
    <row r="166" ht="15.75" customHeight="1">
      <c r="A166" s="175" t="s">
        <v>136</v>
      </c>
      <c r="B166" s="175" t="s">
        <v>96</v>
      </c>
      <c r="C166" s="174">
        <v>520.0</v>
      </c>
      <c r="D166" s="174">
        <v>3320.0</v>
      </c>
      <c r="E166" s="175">
        <v>800.0</v>
      </c>
      <c r="F166" s="178">
        <v>3980.0</v>
      </c>
      <c r="G166" s="175">
        <v>0.0</v>
      </c>
      <c r="H166" s="161">
        <f t="shared" si="1"/>
        <v>4780</v>
      </c>
      <c r="I166" s="67">
        <f t="shared" si="22"/>
        <v>2826.486486</v>
      </c>
      <c r="J166" s="207">
        <f t="shared" si="3"/>
        <v>68.5322027</v>
      </c>
      <c r="K166" s="208">
        <f t="shared" si="4"/>
        <v>184.4301313</v>
      </c>
      <c r="L166" s="207">
        <f t="shared" si="5"/>
        <v>214.4702881</v>
      </c>
      <c r="M166" s="164"/>
      <c r="N166" s="84">
        <f t="shared" si="21"/>
        <v>-214.4702881</v>
      </c>
      <c r="O166" s="175">
        <v>54.0</v>
      </c>
      <c r="P166" s="206">
        <v>56.0</v>
      </c>
    </row>
    <row r="167" ht="15.75" customHeight="1">
      <c r="A167" s="175" t="s">
        <v>136</v>
      </c>
      <c r="B167" s="175" t="s">
        <v>96</v>
      </c>
      <c r="C167" s="174">
        <v>530.0</v>
      </c>
      <c r="D167" s="174">
        <v>9090.0</v>
      </c>
      <c r="E167" s="175">
        <v>800.0</v>
      </c>
      <c r="F167" s="178">
        <v>18350.0</v>
      </c>
      <c r="G167" s="175">
        <v>1690.0</v>
      </c>
      <c r="H167" s="161">
        <f t="shared" si="1"/>
        <v>20840</v>
      </c>
      <c r="I167" s="67">
        <f t="shared" si="22"/>
        <v>9600</v>
      </c>
      <c r="J167" s="207">
        <f t="shared" si="3"/>
        <v>232.7657143</v>
      </c>
      <c r="K167" s="208">
        <f t="shared" si="4"/>
        <v>738.0612857</v>
      </c>
      <c r="L167" s="207">
        <f t="shared" si="5"/>
        <v>876.5630137</v>
      </c>
      <c r="M167" s="164"/>
      <c r="N167" s="84">
        <f t="shared" si="21"/>
        <v>-876.5630137</v>
      </c>
      <c r="O167" s="175">
        <v>55.0</v>
      </c>
      <c r="P167" s="206">
        <v>57.0</v>
      </c>
    </row>
    <row r="168" ht="15.75" customHeight="1">
      <c r="A168" s="175" t="s">
        <v>136</v>
      </c>
      <c r="B168" s="175" t="s">
        <v>109</v>
      </c>
      <c r="C168" s="174">
        <v>549.0</v>
      </c>
      <c r="D168" s="174">
        <v>12280.0</v>
      </c>
      <c r="E168" s="175">
        <v>800.0</v>
      </c>
      <c r="F168" s="178">
        <v>22110.0</v>
      </c>
      <c r="G168" s="175">
        <v>1222.0</v>
      </c>
      <c r="H168" s="161">
        <f t="shared" si="1"/>
        <v>24132</v>
      </c>
      <c r="I168" s="67">
        <f t="shared" si="22"/>
        <v>10800</v>
      </c>
      <c r="J168" s="207">
        <f t="shared" si="3"/>
        <v>261.8614286</v>
      </c>
      <c r="K168" s="208">
        <f t="shared" si="4"/>
        <v>846.9762429</v>
      </c>
      <c r="L168" s="207">
        <f t="shared" si="5"/>
        <v>1013.857617</v>
      </c>
      <c r="M168" s="164"/>
      <c r="N168" s="84">
        <f t="shared" si="21"/>
        <v>-1013.857617</v>
      </c>
      <c r="O168" s="175">
        <v>56.0</v>
      </c>
      <c r="P168" s="206">
        <v>58.0</v>
      </c>
    </row>
    <row r="169" ht="15.75" customHeight="1">
      <c r="A169" s="175" t="s">
        <v>136</v>
      </c>
      <c r="B169" s="175" t="s">
        <v>96</v>
      </c>
      <c r="C169" s="174">
        <v>541.0</v>
      </c>
      <c r="D169" s="174">
        <v>10080.0</v>
      </c>
      <c r="E169" s="175">
        <v>800.0</v>
      </c>
      <c r="F169" s="178">
        <v>15999.0</v>
      </c>
      <c r="G169" s="175">
        <v>0.0</v>
      </c>
      <c r="H169" s="161">
        <f t="shared" si="1"/>
        <v>16799</v>
      </c>
      <c r="I169" s="67">
        <f t="shared" si="22"/>
        <v>10200</v>
      </c>
      <c r="J169" s="207">
        <f t="shared" si="3"/>
        <v>247.3135714</v>
      </c>
      <c r="K169" s="208">
        <f t="shared" si="4"/>
        <v>654.629325</v>
      </c>
      <c r="L169" s="207">
        <f t="shared" si="5"/>
        <v>775.3862267</v>
      </c>
      <c r="M169" s="164"/>
      <c r="N169" s="84">
        <f t="shared" si="21"/>
        <v>-775.3862267</v>
      </c>
      <c r="O169" s="175">
        <v>57.0</v>
      </c>
      <c r="P169" s="206">
        <v>59.0</v>
      </c>
    </row>
    <row r="170" ht="15.75" customHeight="1">
      <c r="A170" s="175" t="s">
        <v>136</v>
      </c>
      <c r="B170" s="175" t="s">
        <v>96</v>
      </c>
      <c r="C170" s="174">
        <v>539.0</v>
      </c>
      <c r="D170" s="174">
        <v>7520.0</v>
      </c>
      <c r="E170" s="175">
        <v>800.0</v>
      </c>
      <c r="F170" s="178">
        <v>12999.0</v>
      </c>
      <c r="G170" s="175">
        <v>0.0</v>
      </c>
      <c r="H170" s="161">
        <f t="shared" si="1"/>
        <v>13799</v>
      </c>
      <c r="I170" s="67">
        <f t="shared" si="22"/>
        <v>7631.289641</v>
      </c>
      <c r="J170" s="207">
        <f t="shared" si="3"/>
        <v>185.0315192</v>
      </c>
      <c r="K170" s="208">
        <f t="shared" si="4"/>
        <v>519.607987</v>
      </c>
      <c r="L170" s="207">
        <f t="shared" si="5"/>
        <v>617.7215545</v>
      </c>
      <c r="M170" s="164"/>
      <c r="N170" s="84">
        <f t="shared" si="21"/>
        <v>-617.7215545</v>
      </c>
      <c r="O170" s="175">
        <v>58.0</v>
      </c>
      <c r="P170" s="206">
        <v>60.0</v>
      </c>
    </row>
    <row r="171" ht="15.75" customHeight="1">
      <c r="A171" s="175" t="s">
        <v>136</v>
      </c>
      <c r="B171" s="175" t="s">
        <v>96</v>
      </c>
      <c r="C171" s="174">
        <v>540.0</v>
      </c>
      <c r="D171" s="174">
        <v>1940.0</v>
      </c>
      <c r="E171" s="175">
        <v>800.0</v>
      </c>
      <c r="F171" s="178">
        <v>26500.0</v>
      </c>
      <c r="G171" s="175">
        <v>1400.0</v>
      </c>
      <c r="H171" s="161">
        <f t="shared" si="1"/>
        <v>28700</v>
      </c>
      <c r="I171" s="67">
        <f t="shared" si="22"/>
        <v>1968.710359</v>
      </c>
      <c r="J171" s="207">
        <f t="shared" si="3"/>
        <v>47.73419511</v>
      </c>
      <c r="K171" s="208">
        <f t="shared" si="4"/>
        <v>743.6066951</v>
      </c>
      <c r="L171" s="207">
        <f t="shared" si="5"/>
        <v>943.6228146</v>
      </c>
      <c r="M171" s="164"/>
      <c r="N171" s="84">
        <f t="shared" si="21"/>
        <v>-943.6228146</v>
      </c>
      <c r="O171" s="175">
        <v>58.0</v>
      </c>
      <c r="P171" s="206">
        <v>60.0</v>
      </c>
    </row>
    <row r="172" ht="15.75" customHeight="1">
      <c r="A172" s="175" t="s">
        <v>136</v>
      </c>
      <c r="B172" s="175" t="s">
        <v>96</v>
      </c>
      <c r="C172" s="174">
        <v>535.0</v>
      </c>
      <c r="D172" s="174">
        <v>5242.0</v>
      </c>
      <c r="E172" s="175">
        <v>800.0</v>
      </c>
      <c r="F172" s="178">
        <v>7350.0</v>
      </c>
      <c r="G172" s="175">
        <v>1200.0</v>
      </c>
      <c r="H172" s="161">
        <f t="shared" si="1"/>
        <v>9350</v>
      </c>
      <c r="I172" s="67">
        <f t="shared" si="22"/>
        <v>0</v>
      </c>
      <c r="J172" s="207">
        <f t="shared" si="3"/>
        <v>0</v>
      </c>
      <c r="K172" s="208">
        <f t="shared" si="4"/>
        <v>226.7041071</v>
      </c>
      <c r="L172" s="207">
        <f t="shared" si="5"/>
        <v>268.6085123</v>
      </c>
      <c r="M172" s="164"/>
      <c r="N172" s="84">
        <f t="shared" si="21"/>
        <v>-268.6085123</v>
      </c>
      <c r="O172" s="142"/>
      <c r="P172" s="213"/>
    </row>
    <row r="173" ht="15.75" customHeight="1">
      <c r="A173" s="175" t="s">
        <v>136</v>
      </c>
      <c r="B173" s="175" t="s">
        <v>96</v>
      </c>
      <c r="C173" s="174">
        <v>521.0</v>
      </c>
      <c r="D173" s="174">
        <v>8463.0</v>
      </c>
      <c r="E173" s="175">
        <v>800.0</v>
      </c>
      <c r="F173" s="178">
        <v>3320.0</v>
      </c>
      <c r="G173" s="175">
        <v>2300.0</v>
      </c>
      <c r="H173" s="161">
        <f t="shared" si="1"/>
        <v>6420</v>
      </c>
      <c r="I173" s="67">
        <f t="shared" si="22"/>
        <v>0</v>
      </c>
      <c r="J173" s="207">
        <f t="shared" si="3"/>
        <v>0</v>
      </c>
      <c r="K173" s="208">
        <f t="shared" si="4"/>
        <v>155.6620714</v>
      </c>
      <c r="L173" s="207">
        <f t="shared" si="5"/>
        <v>174.5903197</v>
      </c>
      <c r="M173" s="164"/>
      <c r="N173" s="84">
        <f t="shared" si="21"/>
        <v>-174.5903197</v>
      </c>
      <c r="O173" s="142"/>
      <c r="P173" s="213"/>
    </row>
    <row r="174" ht="15.75" customHeight="1">
      <c r="A174" s="175" t="s">
        <v>136</v>
      </c>
      <c r="B174" s="175" t="s">
        <v>96</v>
      </c>
      <c r="C174" s="174">
        <v>547.0</v>
      </c>
      <c r="D174" s="160"/>
      <c r="E174" s="175">
        <v>800.0</v>
      </c>
      <c r="F174" s="178">
        <v>520.0</v>
      </c>
      <c r="G174" s="175">
        <v>1646.0</v>
      </c>
      <c r="H174" s="161">
        <f t="shared" si="1"/>
        <v>2966</v>
      </c>
      <c r="I174" s="67">
        <f t="shared" si="22"/>
        <v>0</v>
      </c>
      <c r="J174" s="207">
        <f t="shared" si="3"/>
        <v>0</v>
      </c>
      <c r="K174" s="208">
        <f t="shared" si="4"/>
        <v>71.91490714</v>
      </c>
      <c r="L174" s="207">
        <f t="shared" si="5"/>
        <v>74.87957254</v>
      </c>
      <c r="M174" s="164"/>
      <c r="N174" s="84">
        <f t="shared" si="21"/>
        <v>-74.87957254</v>
      </c>
      <c r="O174" s="142"/>
      <c r="P174" s="213"/>
    </row>
    <row r="175" ht="15.75" customHeight="1">
      <c r="A175" s="175" t="s">
        <v>136</v>
      </c>
      <c r="B175" s="175" t="s">
        <v>137</v>
      </c>
      <c r="C175" s="174">
        <v>560.0</v>
      </c>
      <c r="D175" s="160"/>
      <c r="E175" s="175">
        <v>800.0</v>
      </c>
      <c r="F175" s="178">
        <v>100.0</v>
      </c>
      <c r="G175" s="142"/>
      <c r="H175" s="161">
        <f t="shared" si="1"/>
        <v>900</v>
      </c>
      <c r="I175" s="67">
        <f t="shared" si="22"/>
        <v>0</v>
      </c>
      <c r="J175" s="207">
        <f t="shared" si="3"/>
        <v>0</v>
      </c>
      <c r="K175" s="208">
        <f t="shared" si="4"/>
        <v>21.82178571</v>
      </c>
      <c r="L175" s="207">
        <f t="shared" si="5"/>
        <v>22.39191368</v>
      </c>
      <c r="M175" s="164"/>
      <c r="N175" s="84">
        <f t="shared" si="21"/>
        <v>-22.39191368</v>
      </c>
      <c r="O175" s="142"/>
      <c r="P175" s="213"/>
    </row>
    <row r="176" ht="15.75" customHeight="1">
      <c r="A176" s="175" t="s">
        <v>136</v>
      </c>
      <c r="B176" s="175" t="s">
        <v>139</v>
      </c>
      <c r="C176" s="174">
        <v>554.0</v>
      </c>
      <c r="D176" s="160"/>
      <c r="E176" s="175">
        <v>800.0</v>
      </c>
      <c r="F176" s="178">
        <v>9999.0</v>
      </c>
      <c r="G176" s="142"/>
      <c r="H176" s="161">
        <f t="shared" si="1"/>
        <v>10799</v>
      </c>
      <c r="I176" s="67">
        <f t="shared" si="22"/>
        <v>0</v>
      </c>
      <c r="J176" s="207">
        <f t="shared" si="3"/>
        <v>0</v>
      </c>
      <c r="K176" s="208">
        <f t="shared" si="4"/>
        <v>261.8371821</v>
      </c>
      <c r="L176" s="207">
        <f t="shared" si="5"/>
        <v>318.844277</v>
      </c>
      <c r="M176" s="164"/>
      <c r="N176" s="84">
        <f t="shared" si="21"/>
        <v>-318.844277</v>
      </c>
      <c r="O176" s="142"/>
      <c r="P176" s="213"/>
    </row>
    <row r="177" ht="15.75" customHeight="1">
      <c r="A177" s="175" t="s">
        <v>136</v>
      </c>
      <c r="B177" s="175" t="s">
        <v>139</v>
      </c>
      <c r="C177" s="174">
        <v>552.0</v>
      </c>
      <c r="D177" s="160"/>
      <c r="E177" s="175">
        <v>800.0</v>
      </c>
      <c r="F177" s="178">
        <v>11000.0</v>
      </c>
      <c r="G177" s="142"/>
      <c r="H177" s="161">
        <f t="shared" si="1"/>
        <v>11800</v>
      </c>
      <c r="I177" s="67">
        <f t="shared" si="22"/>
        <v>0</v>
      </c>
      <c r="J177" s="207">
        <f t="shared" si="3"/>
        <v>0</v>
      </c>
      <c r="K177" s="208">
        <f t="shared" si="4"/>
        <v>286.1078571</v>
      </c>
      <c r="L177" s="207">
        <f t="shared" si="5"/>
        <v>348.8219329</v>
      </c>
      <c r="M177" s="164"/>
      <c r="N177" s="84">
        <f t="shared" si="21"/>
        <v>-348.8219329</v>
      </c>
      <c r="O177" s="142"/>
      <c r="P177" s="213"/>
    </row>
    <row r="178" ht="15.75" customHeight="1">
      <c r="A178" s="175" t="s">
        <v>136</v>
      </c>
      <c r="B178" s="175" t="s">
        <v>139</v>
      </c>
      <c r="C178" s="174">
        <v>552.0</v>
      </c>
      <c r="D178" s="160"/>
      <c r="E178" s="175">
        <v>800.0</v>
      </c>
      <c r="F178" s="178">
        <v>3500.0</v>
      </c>
      <c r="G178" s="142"/>
      <c r="H178" s="161">
        <f t="shared" si="1"/>
        <v>4300</v>
      </c>
      <c r="I178" s="67">
        <f t="shared" si="22"/>
        <v>0</v>
      </c>
      <c r="J178" s="207">
        <f t="shared" si="3"/>
        <v>0</v>
      </c>
      <c r="K178" s="208">
        <f t="shared" si="4"/>
        <v>104.2596429</v>
      </c>
      <c r="L178" s="207">
        <f t="shared" si="5"/>
        <v>124.2141215</v>
      </c>
      <c r="M178" s="164"/>
      <c r="N178" s="84">
        <f t="shared" si="21"/>
        <v>-124.2141215</v>
      </c>
      <c r="O178" s="142"/>
      <c r="P178" s="213"/>
    </row>
    <row r="179" ht="15.75" customHeight="1">
      <c r="A179" s="175" t="s">
        <v>136</v>
      </c>
      <c r="B179" s="175" t="s">
        <v>139</v>
      </c>
      <c r="C179" s="174">
        <v>550.0</v>
      </c>
      <c r="D179" s="160"/>
      <c r="E179" s="175">
        <v>800.0</v>
      </c>
      <c r="F179" s="178">
        <v>3149.0</v>
      </c>
      <c r="G179" s="142"/>
      <c r="H179" s="161">
        <f t="shared" si="1"/>
        <v>3949</v>
      </c>
      <c r="I179" s="67">
        <f t="shared" si="22"/>
        <v>0</v>
      </c>
      <c r="J179" s="207">
        <f t="shared" si="3"/>
        <v>0</v>
      </c>
      <c r="K179" s="208">
        <f t="shared" si="4"/>
        <v>95.74914643</v>
      </c>
      <c r="L179" s="207">
        <f t="shared" si="5"/>
        <v>113.7024759</v>
      </c>
      <c r="M179" s="164"/>
      <c r="N179" s="84">
        <f t="shared" si="21"/>
        <v>-113.7024759</v>
      </c>
      <c r="O179" s="142"/>
      <c r="P179" s="213"/>
    </row>
    <row r="180" ht="15.75" customHeight="1">
      <c r="A180" s="175" t="s">
        <v>136</v>
      </c>
      <c r="B180" s="175" t="s">
        <v>140</v>
      </c>
      <c r="C180" s="174">
        <v>559.0</v>
      </c>
      <c r="D180" s="160"/>
      <c r="E180" s="175">
        <v>800.0</v>
      </c>
      <c r="F180" s="178">
        <v>2500.0</v>
      </c>
      <c r="G180" s="142"/>
      <c r="H180" s="161">
        <f t="shared" si="1"/>
        <v>3300</v>
      </c>
      <c r="I180" s="67">
        <f t="shared" si="22"/>
        <v>0</v>
      </c>
      <c r="J180" s="207">
        <f t="shared" si="3"/>
        <v>0</v>
      </c>
      <c r="K180" s="208">
        <f t="shared" si="4"/>
        <v>80.01321429</v>
      </c>
      <c r="L180" s="207">
        <f t="shared" si="5"/>
        <v>94.26641332</v>
      </c>
      <c r="M180" s="164"/>
      <c r="N180" s="84">
        <f t="shared" si="21"/>
        <v>-94.26641332</v>
      </c>
      <c r="O180" s="142"/>
      <c r="P180" s="213"/>
    </row>
    <row r="181" ht="15.75" customHeight="1">
      <c r="A181" s="142"/>
      <c r="B181" s="142"/>
      <c r="C181" s="160"/>
      <c r="D181" s="160"/>
      <c r="E181" s="142"/>
      <c r="F181" s="161"/>
      <c r="G181" s="142"/>
      <c r="H181" s="142"/>
      <c r="I181" s="67">
        <f t="shared" si="22"/>
        <v>0</v>
      </c>
      <c r="J181" s="245"/>
      <c r="K181" s="142"/>
      <c r="L181" s="245"/>
      <c r="M181" s="167"/>
      <c r="N181" s="84">
        <f t="shared" si="21"/>
        <v>0</v>
      </c>
      <c r="O181" s="142"/>
      <c r="P181" s="213"/>
    </row>
    <row r="182" ht="15.75" customHeight="1">
      <c r="A182" s="142"/>
      <c r="B182" s="142"/>
      <c r="C182" s="160"/>
      <c r="D182" s="160"/>
      <c r="E182" s="142"/>
      <c r="F182" s="161"/>
      <c r="G182" s="142"/>
      <c r="H182" s="142"/>
      <c r="I182" s="67">
        <f t="shared" si="22"/>
        <v>0</v>
      </c>
      <c r="J182" s="245"/>
      <c r="K182" s="142"/>
      <c r="L182" s="245"/>
      <c r="M182" s="167"/>
      <c r="N182" s="84">
        <f t="shared" si="21"/>
        <v>0</v>
      </c>
      <c r="O182" s="142"/>
      <c r="P182" s="213"/>
    </row>
    <row r="183" ht="15.75" customHeight="1">
      <c r="A183" s="142"/>
      <c r="B183" s="142"/>
      <c r="C183" s="160"/>
      <c r="D183" s="160"/>
      <c r="E183" s="142"/>
      <c r="F183" s="161"/>
      <c r="G183" s="142"/>
      <c r="H183" s="142"/>
      <c r="I183" s="67">
        <f t="shared" si="22"/>
        <v>0</v>
      </c>
      <c r="J183" s="245"/>
      <c r="K183" s="142"/>
      <c r="L183" s="245"/>
      <c r="M183" s="167"/>
      <c r="N183" s="84">
        <f t="shared" si="21"/>
        <v>0</v>
      </c>
      <c r="O183" s="142"/>
      <c r="P183" s="213"/>
    </row>
    <row r="184" ht="15.75" customHeight="1">
      <c r="A184" s="142"/>
      <c r="B184" s="142"/>
      <c r="C184" s="160"/>
      <c r="D184" s="160"/>
      <c r="E184" s="142"/>
      <c r="F184" s="161"/>
      <c r="G184" s="142"/>
      <c r="H184" s="142"/>
      <c r="I184" s="67">
        <f t="shared" si="22"/>
        <v>0</v>
      </c>
      <c r="J184" s="245"/>
      <c r="K184" s="142"/>
      <c r="L184" s="245"/>
      <c r="M184" s="167"/>
      <c r="N184" s="84">
        <f t="shared" si="21"/>
        <v>0</v>
      </c>
      <c r="O184" s="142"/>
      <c r="P184" s="213"/>
    </row>
    <row r="185" ht="15.75" customHeight="1">
      <c r="A185" s="142"/>
      <c r="B185" s="142"/>
      <c r="C185" s="160"/>
      <c r="D185" s="160"/>
      <c r="E185" s="142"/>
      <c r="F185" s="161"/>
      <c r="G185" s="142"/>
      <c r="H185" s="142"/>
      <c r="I185" s="67">
        <f t="shared" si="22"/>
        <v>0</v>
      </c>
      <c r="J185" s="245"/>
      <c r="K185" s="142"/>
      <c r="L185" s="245"/>
      <c r="M185" s="167"/>
      <c r="N185" s="84">
        <f t="shared" si="21"/>
        <v>0</v>
      </c>
      <c r="O185" s="142"/>
      <c r="P185" s="213"/>
    </row>
    <row r="186" ht="15.75" customHeight="1">
      <c r="A186" s="142"/>
      <c r="B186" s="142"/>
      <c r="C186" s="160"/>
      <c r="D186" s="160"/>
      <c r="E186" s="142"/>
      <c r="F186" s="161"/>
      <c r="G186" s="142"/>
      <c r="H186" s="142"/>
      <c r="I186" s="67">
        <f t="shared" si="22"/>
        <v>0</v>
      </c>
      <c r="J186" s="245"/>
      <c r="K186" s="142"/>
      <c r="L186" s="245"/>
      <c r="M186" s="167"/>
      <c r="N186" s="84">
        <f t="shared" si="21"/>
        <v>0</v>
      </c>
      <c r="O186" s="142"/>
      <c r="P186" s="213"/>
    </row>
    <row r="187" ht="15.75" customHeight="1">
      <c r="A187" s="142"/>
      <c r="B187" s="142"/>
      <c r="C187" s="160"/>
      <c r="D187" s="160"/>
      <c r="E187" s="142"/>
      <c r="F187" s="161"/>
      <c r="G187" s="142"/>
      <c r="H187" s="142"/>
      <c r="I187" s="67">
        <f t="shared" si="22"/>
        <v>0</v>
      </c>
      <c r="J187" s="245"/>
      <c r="K187" s="142"/>
      <c r="L187" s="245"/>
      <c r="M187" s="167"/>
      <c r="N187" s="84">
        <f t="shared" si="21"/>
        <v>0</v>
      </c>
      <c r="O187" s="142"/>
      <c r="P187" s="213"/>
    </row>
    <row r="188" ht="15.75" customHeight="1">
      <c r="A188" s="142"/>
      <c r="B188" s="142"/>
      <c r="C188" s="160"/>
      <c r="D188" s="160"/>
      <c r="E188" s="142"/>
      <c r="F188" s="161"/>
      <c r="G188" s="142"/>
      <c r="H188" s="142"/>
      <c r="I188" s="67">
        <f t="shared" si="22"/>
        <v>0</v>
      </c>
      <c r="J188" s="245"/>
      <c r="K188" s="142"/>
      <c r="L188" s="245"/>
      <c r="M188" s="167"/>
      <c r="N188" s="84">
        <f t="shared" si="21"/>
        <v>0</v>
      </c>
      <c r="O188" s="142"/>
      <c r="P188" s="213"/>
    </row>
    <row r="189" ht="15.75" customHeight="1">
      <c r="A189" s="142"/>
      <c r="B189" s="142"/>
      <c r="C189" s="160"/>
      <c r="D189" s="160"/>
      <c r="E189" s="142"/>
      <c r="F189" s="161"/>
      <c r="G189" s="142"/>
      <c r="H189" s="142"/>
      <c r="I189" s="67">
        <f t="shared" si="22"/>
        <v>0</v>
      </c>
      <c r="J189" s="245"/>
      <c r="K189" s="142"/>
      <c r="L189" s="245"/>
      <c r="M189" s="167"/>
      <c r="N189" s="84">
        <f t="shared" si="21"/>
        <v>0</v>
      </c>
      <c r="O189" s="142"/>
      <c r="P189" s="213"/>
    </row>
    <row r="190" ht="15.75" customHeight="1">
      <c r="A190" s="142"/>
      <c r="B190" s="142"/>
      <c r="C190" s="160"/>
      <c r="D190" s="160"/>
      <c r="E190" s="142"/>
      <c r="F190" s="161"/>
      <c r="G190" s="142"/>
      <c r="H190" s="142"/>
      <c r="I190" s="67">
        <f t="shared" si="22"/>
        <v>0</v>
      </c>
      <c r="J190" s="245"/>
      <c r="K190" s="142"/>
      <c r="L190" s="245"/>
      <c r="M190" s="167"/>
      <c r="N190" s="84">
        <f t="shared" si="21"/>
        <v>0</v>
      </c>
      <c r="O190" s="142"/>
      <c r="P190" s="213"/>
    </row>
    <row r="191" ht="15.75" customHeight="1">
      <c r="A191" s="142"/>
      <c r="B191" s="142"/>
      <c r="C191" s="160"/>
      <c r="D191" s="160"/>
      <c r="E191" s="142"/>
      <c r="F191" s="161"/>
      <c r="G191" s="142"/>
      <c r="H191" s="142"/>
      <c r="I191" s="67">
        <f t="shared" si="22"/>
        <v>0</v>
      </c>
      <c r="J191" s="245"/>
      <c r="K191" s="142"/>
      <c r="L191" s="245"/>
      <c r="M191" s="167"/>
      <c r="N191" s="84">
        <f t="shared" si="21"/>
        <v>0</v>
      </c>
      <c r="O191" s="142"/>
      <c r="P191" s="213"/>
    </row>
    <row r="192" ht="15.75" customHeight="1">
      <c r="A192" s="142"/>
      <c r="B192" s="142"/>
      <c r="C192" s="160"/>
      <c r="D192" s="160"/>
      <c r="E192" s="142"/>
      <c r="F192" s="161"/>
      <c r="G192" s="142"/>
      <c r="H192" s="142"/>
      <c r="I192" s="67">
        <f t="shared" si="22"/>
        <v>0</v>
      </c>
      <c r="J192" s="245"/>
      <c r="K192" s="142"/>
      <c r="L192" s="245"/>
      <c r="M192" s="167"/>
      <c r="N192" s="84">
        <f t="shared" si="21"/>
        <v>0</v>
      </c>
      <c r="O192" s="142"/>
      <c r="P192" s="213"/>
    </row>
    <row r="193" ht="15.75" customHeight="1">
      <c r="A193" s="142"/>
      <c r="B193" s="142"/>
      <c r="C193" s="160"/>
      <c r="D193" s="160"/>
      <c r="E193" s="142"/>
      <c r="F193" s="161"/>
      <c r="G193" s="142"/>
      <c r="H193" s="142"/>
      <c r="I193" s="67">
        <f t="shared" si="22"/>
        <v>0</v>
      </c>
      <c r="J193" s="245"/>
      <c r="K193" s="142"/>
      <c r="L193" s="245"/>
      <c r="M193" s="167"/>
      <c r="N193" s="84">
        <f t="shared" si="21"/>
        <v>0</v>
      </c>
      <c r="O193" s="142"/>
      <c r="P193" s="213"/>
    </row>
    <row r="194" ht="15.75" customHeight="1">
      <c r="A194" s="142"/>
      <c r="B194" s="142"/>
      <c r="C194" s="160"/>
      <c r="D194" s="160"/>
      <c r="E194" s="142"/>
      <c r="F194" s="161"/>
      <c r="G194" s="142"/>
      <c r="H194" s="142"/>
      <c r="I194" s="67">
        <f t="shared" si="22"/>
        <v>0</v>
      </c>
      <c r="J194" s="245"/>
      <c r="K194" s="142"/>
      <c r="L194" s="245"/>
      <c r="M194" s="167"/>
      <c r="N194" s="246"/>
      <c r="O194" s="142"/>
      <c r="P194" s="213"/>
    </row>
    <row r="195" ht="15.75" customHeight="1">
      <c r="A195" s="142"/>
      <c r="B195" s="142"/>
      <c r="C195" s="160"/>
      <c r="D195" s="160"/>
      <c r="E195" s="142"/>
      <c r="F195" s="161"/>
      <c r="G195" s="142"/>
      <c r="H195" s="142"/>
      <c r="I195" s="67">
        <f t="shared" si="22"/>
        <v>0</v>
      </c>
      <c r="J195" s="245"/>
      <c r="K195" s="142"/>
      <c r="L195" s="245"/>
      <c r="M195" s="167"/>
      <c r="N195" s="246"/>
      <c r="O195" s="142"/>
      <c r="P195" s="213"/>
    </row>
    <row r="196" ht="15.75" customHeight="1">
      <c r="A196" s="142"/>
      <c r="B196" s="142"/>
      <c r="C196" s="160"/>
      <c r="D196" s="160"/>
      <c r="E196" s="142"/>
      <c r="F196" s="161"/>
      <c r="G196" s="142"/>
      <c r="H196" s="142"/>
      <c r="I196" s="67">
        <f t="shared" si="22"/>
        <v>0</v>
      </c>
      <c r="J196" s="245"/>
      <c r="K196" s="142"/>
      <c r="L196" s="245"/>
      <c r="M196" s="167"/>
      <c r="N196" s="246"/>
      <c r="O196" s="142"/>
      <c r="P196" s="213"/>
    </row>
    <row r="197" ht="15.75" customHeight="1">
      <c r="A197" s="142"/>
      <c r="B197" s="142"/>
      <c r="C197" s="160"/>
      <c r="D197" s="160"/>
      <c r="E197" s="142"/>
      <c r="F197" s="161"/>
      <c r="G197" s="142"/>
      <c r="H197" s="142"/>
      <c r="I197" s="67">
        <f t="shared" si="22"/>
        <v>0</v>
      </c>
      <c r="J197" s="245"/>
      <c r="K197" s="142"/>
      <c r="L197" s="245"/>
      <c r="M197" s="167"/>
      <c r="N197" s="246"/>
      <c r="O197" s="142"/>
      <c r="P197" s="213"/>
    </row>
    <row r="198" ht="15.75" customHeight="1">
      <c r="A198" s="142"/>
      <c r="B198" s="142"/>
      <c r="C198" s="160"/>
      <c r="D198" s="160"/>
      <c r="E198" s="142"/>
      <c r="F198" s="161"/>
      <c r="G198" s="142"/>
      <c r="H198" s="142"/>
      <c r="I198" s="67">
        <f t="shared" si="22"/>
        <v>0</v>
      </c>
      <c r="J198" s="245"/>
      <c r="K198" s="142"/>
      <c r="L198" s="245"/>
      <c r="M198" s="167"/>
      <c r="N198" s="246"/>
      <c r="O198" s="142"/>
      <c r="P198" s="213"/>
    </row>
    <row r="199" ht="15.75" customHeight="1">
      <c r="A199" s="142"/>
      <c r="B199" s="142"/>
      <c r="C199" s="160"/>
      <c r="D199" s="160"/>
      <c r="E199" s="142"/>
      <c r="F199" s="161"/>
      <c r="G199" s="142"/>
      <c r="H199" s="142"/>
      <c r="I199" s="67">
        <f t="shared" si="22"/>
        <v>0</v>
      </c>
      <c r="J199" s="245"/>
      <c r="K199" s="142"/>
      <c r="L199" s="245"/>
      <c r="M199" s="167"/>
      <c r="N199" s="246"/>
      <c r="O199" s="142"/>
      <c r="P199" s="213"/>
    </row>
    <row r="200" ht="15.75" customHeight="1">
      <c r="A200" s="142"/>
      <c r="B200" s="142"/>
      <c r="C200" s="160"/>
      <c r="D200" s="160"/>
      <c r="E200" s="142"/>
      <c r="F200" s="161"/>
      <c r="G200" s="142"/>
      <c r="H200" s="142"/>
      <c r="I200" s="67">
        <f t="shared" si="22"/>
        <v>0</v>
      </c>
      <c r="J200" s="245"/>
      <c r="K200" s="142"/>
      <c r="L200" s="245"/>
      <c r="M200" s="167"/>
      <c r="N200" s="246"/>
      <c r="O200" s="142"/>
      <c r="P200" s="213"/>
    </row>
    <row r="201" ht="15.75" customHeight="1">
      <c r="A201" s="142"/>
      <c r="B201" s="142"/>
      <c r="C201" s="160"/>
      <c r="D201" s="160"/>
      <c r="E201" s="142"/>
      <c r="F201" s="161"/>
      <c r="G201" s="142"/>
      <c r="H201" s="142"/>
      <c r="I201" s="67">
        <f t="shared" si="22"/>
        <v>0</v>
      </c>
      <c r="J201" s="245"/>
      <c r="K201" s="142"/>
      <c r="L201" s="245"/>
      <c r="M201" s="167"/>
      <c r="N201" s="246"/>
      <c r="O201" s="142"/>
      <c r="P201" s="213"/>
    </row>
    <row r="202" ht="15.75" customHeight="1">
      <c r="A202" s="142"/>
      <c r="B202" s="142"/>
      <c r="C202" s="160"/>
      <c r="D202" s="160"/>
      <c r="E202" s="142"/>
      <c r="F202" s="161"/>
      <c r="G202" s="142"/>
      <c r="H202" s="142"/>
      <c r="I202" s="67">
        <f t="shared" si="22"/>
        <v>0</v>
      </c>
      <c r="J202" s="245"/>
      <c r="K202" s="142"/>
      <c r="L202" s="245"/>
      <c r="M202" s="167"/>
      <c r="N202" s="246"/>
      <c r="O202" s="142"/>
      <c r="P202" s="213"/>
    </row>
    <row r="203" ht="15.75" customHeight="1">
      <c r="A203" s="142"/>
      <c r="B203" s="142"/>
      <c r="C203" s="160"/>
      <c r="D203" s="160"/>
      <c r="E203" s="142"/>
      <c r="F203" s="161"/>
      <c r="G203" s="142"/>
      <c r="H203" s="142"/>
      <c r="I203" s="67">
        <f t="shared" si="22"/>
        <v>0</v>
      </c>
      <c r="J203" s="245"/>
      <c r="K203" s="142"/>
      <c r="L203" s="245"/>
      <c r="M203" s="167"/>
      <c r="N203" s="246"/>
      <c r="O203" s="142"/>
      <c r="P203" s="213"/>
    </row>
    <row r="204" ht="15.75" customHeight="1">
      <c r="A204" s="142"/>
      <c r="B204" s="142"/>
      <c r="C204" s="160"/>
      <c r="D204" s="160"/>
      <c r="E204" s="142"/>
      <c r="F204" s="161"/>
      <c r="G204" s="142"/>
      <c r="H204" s="142"/>
      <c r="I204" s="67">
        <f t="shared" si="22"/>
        <v>0</v>
      </c>
      <c r="J204" s="245"/>
      <c r="K204" s="142"/>
      <c r="L204" s="245"/>
      <c r="M204" s="167"/>
      <c r="N204" s="246"/>
      <c r="O204" s="142"/>
      <c r="P204" s="213"/>
    </row>
    <row r="205" ht="15.75" customHeight="1">
      <c r="A205" s="142"/>
      <c r="B205" s="142"/>
      <c r="C205" s="160"/>
      <c r="D205" s="160"/>
      <c r="E205" s="142"/>
      <c r="F205" s="161"/>
      <c r="G205" s="142"/>
      <c r="H205" s="142"/>
      <c r="I205" s="67">
        <f t="shared" si="22"/>
        <v>0</v>
      </c>
      <c r="J205" s="245"/>
      <c r="K205" s="142"/>
      <c r="L205" s="245"/>
      <c r="M205" s="167"/>
      <c r="N205" s="246"/>
      <c r="O205" s="142"/>
      <c r="P205" s="213"/>
    </row>
    <row r="206" ht="15.75" customHeight="1">
      <c r="A206" s="142"/>
      <c r="B206" s="142"/>
      <c r="C206" s="160"/>
      <c r="D206" s="160"/>
      <c r="E206" s="142"/>
      <c r="F206" s="161"/>
      <c r="G206" s="142"/>
      <c r="H206" s="142"/>
      <c r="I206" s="67">
        <f t="shared" si="22"/>
        <v>0</v>
      </c>
      <c r="J206" s="245"/>
      <c r="K206" s="142"/>
      <c r="L206" s="245"/>
      <c r="M206" s="167"/>
      <c r="N206" s="246"/>
      <c r="O206" s="142"/>
      <c r="P206" s="213"/>
    </row>
    <row r="207" ht="15.75" customHeight="1">
      <c r="A207" s="142"/>
      <c r="B207" s="142"/>
      <c r="C207" s="160"/>
      <c r="D207" s="160"/>
      <c r="E207" s="142"/>
      <c r="F207" s="161"/>
      <c r="G207" s="142"/>
      <c r="H207" s="142"/>
      <c r="I207" s="67">
        <f t="shared" si="22"/>
        <v>0</v>
      </c>
      <c r="J207" s="245"/>
      <c r="K207" s="142"/>
      <c r="L207" s="245"/>
      <c r="M207" s="167"/>
      <c r="N207" s="246"/>
      <c r="O207" s="142"/>
      <c r="P207" s="213"/>
    </row>
    <row r="208" ht="15.75" customHeight="1">
      <c r="A208" s="142"/>
      <c r="B208" s="142"/>
      <c r="C208" s="160"/>
      <c r="D208" s="160"/>
      <c r="E208" s="142"/>
      <c r="F208" s="161"/>
      <c r="G208" s="142"/>
      <c r="H208" s="142"/>
      <c r="I208" s="67">
        <f t="shared" si="22"/>
        <v>0</v>
      </c>
      <c r="J208" s="245"/>
      <c r="K208" s="142"/>
      <c r="L208" s="245"/>
      <c r="M208" s="167"/>
      <c r="N208" s="246"/>
      <c r="O208" s="142"/>
      <c r="P208" s="213"/>
    </row>
    <row r="209" ht="15.75" customHeight="1">
      <c r="A209" s="142"/>
      <c r="B209" s="142"/>
      <c r="C209" s="160"/>
      <c r="D209" s="160"/>
      <c r="E209" s="142"/>
      <c r="F209" s="161"/>
      <c r="G209" s="142"/>
      <c r="H209" s="142"/>
      <c r="I209" s="67">
        <f t="shared" si="22"/>
        <v>0</v>
      </c>
      <c r="J209" s="245"/>
      <c r="K209" s="142"/>
      <c r="L209" s="245"/>
      <c r="M209" s="167"/>
      <c r="N209" s="246"/>
      <c r="O209" s="142"/>
      <c r="P209" s="213"/>
    </row>
    <row r="210" ht="15.75" customHeight="1">
      <c r="A210" s="142"/>
      <c r="B210" s="142"/>
      <c r="C210" s="160"/>
      <c r="D210" s="160"/>
      <c r="E210" s="142"/>
      <c r="F210" s="161"/>
      <c r="G210" s="142"/>
      <c r="H210" s="142"/>
      <c r="I210" s="67">
        <f t="shared" si="22"/>
        <v>0</v>
      </c>
      <c r="J210" s="245"/>
      <c r="K210" s="142"/>
      <c r="L210" s="245"/>
      <c r="M210" s="167"/>
      <c r="N210" s="246"/>
      <c r="O210" s="142"/>
      <c r="P210" s="213"/>
    </row>
    <row r="211" ht="15.75" customHeight="1">
      <c r="A211" s="142"/>
      <c r="B211" s="142"/>
      <c r="C211" s="160"/>
      <c r="D211" s="160"/>
      <c r="E211" s="142"/>
      <c r="F211" s="161"/>
      <c r="G211" s="142"/>
      <c r="H211" s="142"/>
      <c r="I211" s="67">
        <f t="shared" si="22"/>
        <v>0</v>
      </c>
      <c r="J211" s="245"/>
      <c r="K211" s="142"/>
      <c r="L211" s="245"/>
      <c r="M211" s="167"/>
      <c r="N211" s="246"/>
      <c r="O211" s="142"/>
      <c r="P211" s="213"/>
    </row>
    <row r="212" ht="15.75" customHeight="1">
      <c r="A212" s="142"/>
      <c r="B212" s="142"/>
      <c r="C212" s="160"/>
      <c r="D212" s="160"/>
      <c r="E212" s="142"/>
      <c r="F212" s="161"/>
      <c r="G212" s="142"/>
      <c r="H212" s="142"/>
      <c r="I212" s="67">
        <f t="shared" si="22"/>
        <v>0</v>
      </c>
      <c r="J212" s="245"/>
      <c r="K212" s="142"/>
      <c r="L212" s="245"/>
      <c r="M212" s="167"/>
      <c r="N212" s="246"/>
      <c r="O212" s="142"/>
      <c r="P212" s="213"/>
    </row>
    <row r="213" ht="15.75" customHeight="1">
      <c r="A213" s="142"/>
      <c r="B213" s="142"/>
      <c r="C213" s="160"/>
      <c r="D213" s="160"/>
      <c r="E213" s="142"/>
      <c r="F213" s="161"/>
      <c r="G213" s="142"/>
      <c r="H213" s="142"/>
      <c r="I213" s="67">
        <f t="shared" si="22"/>
        <v>0</v>
      </c>
      <c r="J213" s="245"/>
      <c r="K213" s="142"/>
      <c r="L213" s="245"/>
      <c r="M213" s="167"/>
      <c r="N213" s="246"/>
      <c r="O213" s="142"/>
      <c r="P213" s="213"/>
    </row>
    <row r="214" ht="15.75" customHeight="1">
      <c r="A214" s="142"/>
      <c r="B214" s="142"/>
      <c r="C214" s="160"/>
      <c r="D214" s="160"/>
      <c r="E214" s="142"/>
      <c r="F214" s="161"/>
      <c r="G214" s="142"/>
      <c r="H214" s="142"/>
      <c r="I214" s="67">
        <f t="shared" si="22"/>
        <v>0</v>
      </c>
      <c r="J214" s="245"/>
      <c r="K214" s="142"/>
      <c r="L214" s="245"/>
      <c r="M214" s="167"/>
      <c r="N214" s="246"/>
      <c r="O214" s="142"/>
      <c r="P214" s="213"/>
    </row>
    <row r="215" ht="15.75" customHeight="1">
      <c r="A215" s="142"/>
      <c r="B215" s="142"/>
      <c r="C215" s="160"/>
      <c r="D215" s="160"/>
      <c r="E215" s="142"/>
      <c r="F215" s="161"/>
      <c r="G215" s="142"/>
      <c r="H215" s="142"/>
      <c r="I215" s="67">
        <f t="shared" si="22"/>
        <v>0</v>
      </c>
      <c r="J215" s="245"/>
      <c r="K215" s="142"/>
      <c r="L215" s="245"/>
      <c r="M215" s="167"/>
      <c r="N215" s="246"/>
      <c r="O215" s="142"/>
      <c r="P215" s="213"/>
    </row>
    <row r="216" ht="15.75" customHeight="1">
      <c r="A216" s="142"/>
      <c r="B216" s="142"/>
      <c r="C216" s="160"/>
      <c r="D216" s="160"/>
      <c r="E216" s="142"/>
      <c r="F216" s="161"/>
      <c r="G216" s="142"/>
      <c r="H216" s="142"/>
      <c r="I216" s="67">
        <f t="shared" si="22"/>
        <v>0</v>
      </c>
      <c r="J216" s="245"/>
      <c r="K216" s="142"/>
      <c r="L216" s="245"/>
      <c r="M216" s="167"/>
      <c r="N216" s="246"/>
      <c r="O216" s="142"/>
      <c r="P216" s="213"/>
    </row>
    <row r="217" ht="15.75" customHeight="1">
      <c r="A217" s="142"/>
      <c r="B217" s="142"/>
      <c r="C217" s="160"/>
      <c r="D217" s="160"/>
      <c r="E217" s="142"/>
      <c r="F217" s="161"/>
      <c r="G217" s="142"/>
      <c r="H217" s="142"/>
      <c r="I217" s="67">
        <f t="shared" si="22"/>
        <v>0</v>
      </c>
      <c r="J217" s="245"/>
      <c r="K217" s="142"/>
      <c r="L217" s="245"/>
      <c r="M217" s="167"/>
      <c r="N217" s="246"/>
      <c r="O217" s="142"/>
      <c r="P217" s="213"/>
    </row>
    <row r="218" ht="15.75" customHeight="1">
      <c r="A218" s="142"/>
      <c r="B218" s="142"/>
      <c r="C218" s="160"/>
      <c r="D218" s="160"/>
      <c r="E218" s="142"/>
      <c r="F218" s="161"/>
      <c r="G218" s="142"/>
      <c r="H218" s="142"/>
      <c r="I218" s="67">
        <f t="shared" si="22"/>
        <v>0</v>
      </c>
      <c r="J218" s="245"/>
      <c r="K218" s="142"/>
      <c r="L218" s="245"/>
      <c r="M218" s="167"/>
      <c r="N218" s="246"/>
      <c r="O218" s="142"/>
      <c r="P218" s="213"/>
    </row>
    <row r="219" ht="15.75" customHeight="1">
      <c r="A219" s="142"/>
      <c r="B219" s="142"/>
      <c r="C219" s="160"/>
      <c r="D219" s="160"/>
      <c r="E219" s="142"/>
      <c r="F219" s="161"/>
      <c r="G219" s="142"/>
      <c r="H219" s="142"/>
      <c r="I219" s="67">
        <f t="shared" si="22"/>
        <v>0</v>
      </c>
      <c r="J219" s="245"/>
      <c r="K219" s="142"/>
      <c r="L219" s="245"/>
      <c r="M219" s="167"/>
      <c r="N219" s="246"/>
      <c r="O219" s="142"/>
      <c r="P219" s="213"/>
    </row>
    <row r="220" ht="15.75" customHeight="1">
      <c r="A220" s="142"/>
      <c r="B220" s="142"/>
      <c r="C220" s="160"/>
      <c r="D220" s="160"/>
      <c r="E220" s="142"/>
      <c r="F220" s="161"/>
      <c r="G220" s="142"/>
      <c r="H220" s="142"/>
      <c r="I220" s="67">
        <f t="shared" si="22"/>
        <v>0</v>
      </c>
      <c r="J220" s="245"/>
      <c r="K220" s="142"/>
      <c r="L220" s="245"/>
      <c r="M220" s="167"/>
      <c r="N220" s="246"/>
      <c r="O220" s="142"/>
      <c r="P220" s="213"/>
    </row>
    <row r="221" ht="15.75" customHeight="1">
      <c r="A221" s="142"/>
      <c r="B221" s="142"/>
      <c r="C221" s="160"/>
      <c r="D221" s="160"/>
      <c r="E221" s="142"/>
      <c r="F221" s="161"/>
      <c r="G221" s="142"/>
      <c r="H221" s="142"/>
      <c r="I221" s="67">
        <f t="shared" si="22"/>
        <v>0</v>
      </c>
      <c r="J221" s="245"/>
      <c r="K221" s="142"/>
      <c r="L221" s="245"/>
      <c r="M221" s="167"/>
      <c r="N221" s="246"/>
      <c r="O221" s="142"/>
      <c r="P221" s="213"/>
    </row>
    <row r="222" ht="15.75" customHeight="1">
      <c r="A222" s="142"/>
      <c r="B222" s="142"/>
      <c r="C222" s="160"/>
      <c r="D222" s="160"/>
      <c r="E222" s="142"/>
      <c r="F222" s="161"/>
      <c r="G222" s="142"/>
      <c r="H222" s="142"/>
      <c r="I222" s="67">
        <f t="shared" si="22"/>
        <v>0</v>
      </c>
      <c r="J222" s="245"/>
      <c r="K222" s="142"/>
      <c r="L222" s="245"/>
      <c r="M222" s="167"/>
      <c r="N222" s="246"/>
      <c r="O222" s="142"/>
      <c r="P222" s="213"/>
    </row>
    <row r="223" ht="15.75" customHeight="1">
      <c r="A223" s="142"/>
      <c r="B223" s="142"/>
      <c r="C223" s="160"/>
      <c r="D223" s="160"/>
      <c r="E223" s="142"/>
      <c r="F223" s="161"/>
      <c r="G223" s="142"/>
      <c r="H223" s="142"/>
      <c r="I223" s="67">
        <f t="shared" si="22"/>
        <v>0</v>
      </c>
      <c r="J223" s="245"/>
      <c r="K223" s="142"/>
      <c r="L223" s="245"/>
      <c r="M223" s="167"/>
      <c r="N223" s="246"/>
      <c r="O223" s="142"/>
      <c r="P223" s="213"/>
    </row>
    <row r="224" ht="15.75" customHeight="1">
      <c r="A224" s="142"/>
      <c r="B224" s="142"/>
      <c r="C224" s="160"/>
      <c r="D224" s="160"/>
      <c r="E224" s="142"/>
      <c r="F224" s="161"/>
      <c r="G224" s="142"/>
      <c r="H224" s="142"/>
      <c r="I224" s="67">
        <f t="shared" si="22"/>
        <v>0</v>
      </c>
      <c r="J224" s="245"/>
      <c r="K224" s="142"/>
      <c r="L224" s="245"/>
      <c r="M224" s="167"/>
      <c r="N224" s="246"/>
      <c r="O224" s="142"/>
      <c r="P224" s="213"/>
    </row>
    <row r="225" ht="15.75" customHeight="1">
      <c r="A225" s="142"/>
      <c r="B225" s="142"/>
      <c r="C225" s="160"/>
      <c r="D225" s="160"/>
      <c r="E225" s="142"/>
      <c r="F225" s="161"/>
      <c r="G225" s="142"/>
      <c r="H225" s="142"/>
      <c r="I225" s="67">
        <f t="shared" si="22"/>
        <v>0</v>
      </c>
      <c r="J225" s="245"/>
      <c r="K225" s="142"/>
      <c r="L225" s="245"/>
      <c r="M225" s="167"/>
      <c r="N225" s="246"/>
      <c r="O225" s="142"/>
      <c r="P225" s="213"/>
    </row>
    <row r="226" ht="15.75" customHeight="1">
      <c r="A226" s="142"/>
      <c r="B226" s="142"/>
      <c r="C226" s="160"/>
      <c r="D226" s="160"/>
      <c r="E226" s="142"/>
      <c r="F226" s="161"/>
      <c r="G226" s="142"/>
      <c r="H226" s="142"/>
      <c r="I226" s="67">
        <f t="shared" si="22"/>
        <v>0</v>
      </c>
      <c r="J226" s="245"/>
      <c r="K226" s="142"/>
      <c r="L226" s="245"/>
      <c r="M226" s="167"/>
      <c r="N226" s="246"/>
      <c r="O226" s="142"/>
      <c r="P226" s="213"/>
    </row>
    <row r="227" ht="15.75" customHeight="1">
      <c r="A227" s="142"/>
      <c r="B227" s="142"/>
      <c r="C227" s="160"/>
      <c r="D227" s="160"/>
      <c r="E227" s="142"/>
      <c r="F227" s="161"/>
      <c r="G227" s="142"/>
      <c r="H227" s="142"/>
      <c r="I227" s="67">
        <f t="shared" si="22"/>
        <v>0</v>
      </c>
      <c r="J227" s="245"/>
      <c r="K227" s="142"/>
      <c r="L227" s="245"/>
      <c r="M227" s="167"/>
      <c r="N227" s="246"/>
      <c r="O227" s="142"/>
      <c r="P227" s="213"/>
    </row>
    <row r="228" ht="15.75" customHeight="1">
      <c r="A228" s="142"/>
      <c r="B228" s="142"/>
      <c r="C228" s="160"/>
      <c r="D228" s="160"/>
      <c r="E228" s="142"/>
      <c r="F228" s="161"/>
      <c r="G228" s="142"/>
      <c r="H228" s="142"/>
      <c r="I228" s="67">
        <f t="shared" si="22"/>
        <v>0</v>
      </c>
      <c r="J228" s="245"/>
      <c r="K228" s="142"/>
      <c r="L228" s="245"/>
      <c r="M228" s="167"/>
      <c r="N228" s="246"/>
      <c r="O228" s="142"/>
      <c r="P228" s="213"/>
    </row>
    <row r="229" ht="15.75" customHeight="1">
      <c r="A229" s="142"/>
      <c r="B229" s="142"/>
      <c r="C229" s="160"/>
      <c r="D229" s="160"/>
      <c r="E229" s="142"/>
      <c r="F229" s="161"/>
      <c r="G229" s="142"/>
      <c r="H229" s="142"/>
      <c r="I229" s="67">
        <f t="shared" si="22"/>
        <v>0</v>
      </c>
      <c r="J229" s="245"/>
      <c r="K229" s="142"/>
      <c r="L229" s="245"/>
      <c r="M229" s="167"/>
      <c r="N229" s="246"/>
      <c r="O229" s="142"/>
      <c r="P229" s="213"/>
    </row>
    <row r="230" ht="15.75" customHeight="1">
      <c r="A230" s="142"/>
      <c r="B230" s="142"/>
      <c r="C230" s="160"/>
      <c r="D230" s="160"/>
      <c r="E230" s="142"/>
      <c r="F230" s="161"/>
      <c r="G230" s="142"/>
      <c r="H230" s="142"/>
      <c r="I230" s="67">
        <f t="shared" si="22"/>
        <v>0</v>
      </c>
      <c r="J230" s="245"/>
      <c r="K230" s="142"/>
      <c r="L230" s="245"/>
      <c r="M230" s="167"/>
      <c r="N230" s="246"/>
      <c r="O230" s="142"/>
      <c r="P230" s="213"/>
    </row>
    <row r="231" ht="15.75" customHeight="1">
      <c r="A231" s="142"/>
      <c r="B231" s="142"/>
      <c r="C231" s="160"/>
      <c r="D231" s="160"/>
      <c r="E231" s="142"/>
      <c r="F231" s="161"/>
      <c r="G231" s="142"/>
      <c r="H231" s="142"/>
      <c r="I231" s="67">
        <f t="shared" si="22"/>
        <v>0</v>
      </c>
      <c r="J231" s="245"/>
      <c r="K231" s="142"/>
      <c r="L231" s="245"/>
      <c r="M231" s="167"/>
      <c r="N231" s="246"/>
      <c r="O231" s="142"/>
      <c r="P231" s="213"/>
    </row>
    <row r="232" ht="15.75" customHeight="1">
      <c r="A232" s="142"/>
      <c r="B232" s="142"/>
      <c r="C232" s="160"/>
      <c r="D232" s="160"/>
      <c r="E232" s="142"/>
      <c r="F232" s="161"/>
      <c r="G232" s="142"/>
      <c r="H232" s="142"/>
      <c r="I232" s="67">
        <f t="shared" si="22"/>
        <v>0</v>
      </c>
      <c r="J232" s="245"/>
      <c r="K232" s="142"/>
      <c r="L232" s="245"/>
      <c r="M232" s="167"/>
      <c r="N232" s="246"/>
      <c r="O232" s="142"/>
      <c r="P232" s="213"/>
    </row>
    <row r="233" ht="15.75" customHeight="1">
      <c r="A233" s="142"/>
      <c r="B233" s="142"/>
      <c r="C233" s="160"/>
      <c r="D233" s="160"/>
      <c r="E233" s="142"/>
      <c r="F233" s="161"/>
      <c r="G233" s="142"/>
      <c r="H233" s="142"/>
      <c r="I233" s="67">
        <f t="shared" si="22"/>
        <v>0</v>
      </c>
      <c r="J233" s="245"/>
      <c r="K233" s="142"/>
      <c r="L233" s="245"/>
      <c r="M233" s="167"/>
      <c r="N233" s="246"/>
      <c r="O233" s="142"/>
      <c r="P233" s="213"/>
    </row>
    <row r="234" ht="15.75" customHeight="1">
      <c r="A234" s="142"/>
      <c r="B234" s="142"/>
      <c r="C234" s="160"/>
      <c r="D234" s="160"/>
      <c r="E234" s="142"/>
      <c r="F234" s="161"/>
      <c r="G234" s="142"/>
      <c r="H234" s="142"/>
      <c r="I234" s="67">
        <f t="shared" si="22"/>
        <v>0</v>
      </c>
      <c r="J234" s="245"/>
      <c r="K234" s="142"/>
      <c r="L234" s="245"/>
      <c r="M234" s="167"/>
      <c r="N234" s="246"/>
      <c r="O234" s="142"/>
      <c r="P234" s="213"/>
    </row>
    <row r="235" ht="15.75" customHeight="1">
      <c r="A235" s="142"/>
      <c r="B235" s="142"/>
      <c r="C235" s="160"/>
      <c r="D235" s="160"/>
      <c r="E235" s="142"/>
      <c r="F235" s="161"/>
      <c r="G235" s="142"/>
      <c r="H235" s="142"/>
      <c r="I235" s="67">
        <f t="shared" si="22"/>
        <v>0</v>
      </c>
      <c r="J235" s="245"/>
      <c r="K235" s="142"/>
      <c r="L235" s="245"/>
      <c r="M235" s="167"/>
      <c r="N235" s="246"/>
      <c r="O235" s="142"/>
      <c r="P235" s="213"/>
    </row>
    <row r="236" ht="15.75" customHeight="1">
      <c r="A236" s="142"/>
      <c r="B236" s="142"/>
      <c r="C236" s="160"/>
      <c r="D236" s="160"/>
      <c r="E236" s="142"/>
      <c r="F236" s="161"/>
      <c r="G236" s="142"/>
      <c r="H236" s="142"/>
      <c r="I236" s="67">
        <f t="shared" si="22"/>
        <v>0</v>
      </c>
      <c r="J236" s="245"/>
      <c r="K236" s="142"/>
      <c r="L236" s="245"/>
      <c r="M236" s="167"/>
      <c r="N236" s="246"/>
      <c r="O236" s="142"/>
      <c r="P236" s="213"/>
    </row>
    <row r="237" ht="15.75" customHeight="1">
      <c r="A237" s="142"/>
      <c r="B237" s="142"/>
      <c r="C237" s="160"/>
      <c r="D237" s="160"/>
      <c r="E237" s="142"/>
      <c r="F237" s="161"/>
      <c r="G237" s="142"/>
      <c r="H237" s="142"/>
      <c r="I237" s="67">
        <f t="shared" si="22"/>
        <v>0</v>
      </c>
      <c r="J237" s="245"/>
      <c r="K237" s="142"/>
      <c r="L237" s="245"/>
      <c r="M237" s="167"/>
      <c r="N237" s="246"/>
      <c r="O237" s="142"/>
      <c r="P237" s="213"/>
    </row>
    <row r="238" ht="15.75" customHeight="1">
      <c r="A238" s="142"/>
      <c r="B238" s="142"/>
      <c r="C238" s="160"/>
      <c r="D238" s="160"/>
      <c r="E238" s="142"/>
      <c r="F238" s="161"/>
      <c r="G238" s="142"/>
      <c r="H238" s="142"/>
      <c r="I238" s="67">
        <f t="shared" si="22"/>
        <v>0</v>
      </c>
      <c r="J238" s="245"/>
      <c r="K238" s="142"/>
      <c r="L238" s="245"/>
      <c r="M238" s="167"/>
      <c r="N238" s="246"/>
      <c r="O238" s="142"/>
      <c r="P238" s="213"/>
    </row>
    <row r="239" ht="15.75" customHeight="1">
      <c r="A239" s="142"/>
      <c r="B239" s="142"/>
      <c r="C239" s="160"/>
      <c r="D239" s="160"/>
      <c r="E239" s="142"/>
      <c r="F239" s="161"/>
      <c r="G239" s="142"/>
      <c r="H239" s="142"/>
      <c r="I239" s="67">
        <f t="shared" si="22"/>
        <v>0</v>
      </c>
      <c r="J239" s="245"/>
      <c r="K239" s="142"/>
      <c r="L239" s="245"/>
      <c r="M239" s="167"/>
      <c r="N239" s="246"/>
      <c r="O239" s="142"/>
      <c r="P239" s="213"/>
    </row>
    <row r="240" ht="15.75" customHeight="1">
      <c r="A240" s="142"/>
      <c r="B240" s="142"/>
      <c r="C240" s="160"/>
      <c r="D240" s="160"/>
      <c r="E240" s="142"/>
      <c r="F240" s="161"/>
      <c r="G240" s="142"/>
      <c r="H240" s="142"/>
      <c r="I240" s="67">
        <f t="shared" si="22"/>
        <v>0</v>
      </c>
      <c r="J240" s="245"/>
      <c r="K240" s="142"/>
      <c r="L240" s="245"/>
      <c r="M240" s="167"/>
      <c r="N240" s="246"/>
      <c r="O240" s="142"/>
      <c r="P240" s="213"/>
    </row>
    <row r="241" ht="15.75" customHeight="1">
      <c r="A241" s="142"/>
      <c r="B241" s="142"/>
      <c r="C241" s="160"/>
      <c r="D241" s="160"/>
      <c r="E241" s="142"/>
      <c r="F241" s="161"/>
      <c r="G241" s="142"/>
      <c r="H241" s="142"/>
      <c r="I241" s="67">
        <f t="shared" si="22"/>
        <v>0</v>
      </c>
      <c r="J241" s="245"/>
      <c r="K241" s="142"/>
      <c r="L241" s="245"/>
      <c r="M241" s="167"/>
      <c r="N241" s="246"/>
      <c r="O241" s="142"/>
      <c r="P241" s="213"/>
    </row>
    <row r="242" ht="15.75" customHeight="1">
      <c r="A242" s="142"/>
      <c r="B242" s="142"/>
      <c r="C242" s="160"/>
      <c r="D242" s="160"/>
      <c r="E242" s="142"/>
      <c r="F242" s="161"/>
      <c r="G242" s="142"/>
      <c r="H242" s="142"/>
      <c r="I242" s="67">
        <f t="shared" si="22"/>
        <v>0</v>
      </c>
      <c r="J242" s="245"/>
      <c r="K242" s="142"/>
      <c r="L242" s="245"/>
      <c r="M242" s="167"/>
      <c r="N242" s="246"/>
      <c r="O242" s="142"/>
      <c r="P242" s="213"/>
    </row>
    <row r="243" ht="15.75" customHeight="1">
      <c r="A243" s="142"/>
      <c r="B243" s="142"/>
      <c r="C243" s="160"/>
      <c r="D243" s="160"/>
      <c r="E243" s="142"/>
      <c r="F243" s="161"/>
      <c r="G243" s="142"/>
      <c r="H243" s="142"/>
      <c r="I243" s="67">
        <f t="shared" si="22"/>
        <v>0</v>
      </c>
      <c r="J243" s="245"/>
      <c r="K243" s="142"/>
      <c r="L243" s="245"/>
      <c r="M243" s="167"/>
      <c r="N243" s="246"/>
      <c r="O243" s="142"/>
      <c r="P243" s="213"/>
    </row>
    <row r="244" ht="15.75" customHeight="1">
      <c r="A244" s="142"/>
      <c r="B244" s="142"/>
      <c r="C244" s="160"/>
      <c r="D244" s="160"/>
      <c r="E244" s="142"/>
      <c r="F244" s="161"/>
      <c r="G244" s="142"/>
      <c r="H244" s="142"/>
      <c r="I244" s="67">
        <f t="shared" si="22"/>
        <v>0</v>
      </c>
      <c r="J244" s="245"/>
      <c r="K244" s="142"/>
      <c r="L244" s="245"/>
      <c r="M244" s="167"/>
      <c r="N244" s="246"/>
      <c r="O244" s="142"/>
      <c r="P244" s="213"/>
    </row>
    <row r="245" ht="15.75" customHeight="1">
      <c r="A245" s="142"/>
      <c r="B245" s="142"/>
      <c r="C245" s="160"/>
      <c r="D245" s="160"/>
      <c r="E245" s="142"/>
      <c r="F245" s="161"/>
      <c r="G245" s="142"/>
      <c r="H245" s="142"/>
      <c r="I245" s="67">
        <f t="shared" si="22"/>
        <v>0</v>
      </c>
      <c r="J245" s="245"/>
      <c r="K245" s="142"/>
      <c r="L245" s="245"/>
      <c r="M245" s="167"/>
      <c r="N245" s="246"/>
      <c r="O245" s="142"/>
      <c r="P245" s="213"/>
    </row>
    <row r="246" ht="15.75" customHeight="1">
      <c r="A246" s="142"/>
      <c r="B246" s="142"/>
      <c r="C246" s="160"/>
      <c r="D246" s="160"/>
      <c r="E246" s="142"/>
      <c r="F246" s="161"/>
      <c r="G246" s="142"/>
      <c r="H246" s="142"/>
      <c r="I246" s="67">
        <f t="shared" si="22"/>
        <v>0</v>
      </c>
      <c r="J246" s="245"/>
      <c r="K246" s="142"/>
      <c r="L246" s="245"/>
      <c r="M246" s="167"/>
      <c r="N246" s="246"/>
      <c r="O246" s="142"/>
      <c r="P246" s="213"/>
    </row>
    <row r="247" ht="15.75" customHeight="1">
      <c r="A247" s="142"/>
      <c r="B247" s="142"/>
      <c r="C247" s="160"/>
      <c r="D247" s="160"/>
      <c r="E247" s="142"/>
      <c r="F247" s="161"/>
      <c r="G247" s="142"/>
      <c r="H247" s="142"/>
      <c r="I247" s="67">
        <f t="shared" si="22"/>
        <v>0</v>
      </c>
      <c r="J247" s="245"/>
      <c r="K247" s="142"/>
      <c r="L247" s="245"/>
      <c r="M247" s="167"/>
      <c r="N247" s="246"/>
      <c r="O247" s="142"/>
      <c r="P247" s="213"/>
    </row>
    <row r="248" ht="15.75" customHeight="1">
      <c r="A248" s="142"/>
      <c r="B248" s="142"/>
      <c r="C248" s="160"/>
      <c r="D248" s="160"/>
      <c r="E248" s="142"/>
      <c r="F248" s="161"/>
      <c r="G248" s="142"/>
      <c r="H248" s="142"/>
      <c r="I248" s="67">
        <f t="shared" si="22"/>
        <v>0</v>
      </c>
      <c r="J248" s="245"/>
      <c r="K248" s="142"/>
      <c r="L248" s="245"/>
      <c r="M248" s="167"/>
      <c r="N248" s="246"/>
      <c r="O248" s="142"/>
      <c r="P248" s="213"/>
    </row>
    <row r="249" ht="15.75" customHeight="1">
      <c r="A249" s="142"/>
      <c r="B249" s="142"/>
      <c r="C249" s="160"/>
      <c r="D249" s="160"/>
      <c r="E249" s="142"/>
      <c r="F249" s="161"/>
      <c r="G249" s="142"/>
      <c r="H249" s="142"/>
      <c r="I249" s="67">
        <f t="shared" si="22"/>
        <v>0</v>
      </c>
      <c r="J249" s="245"/>
      <c r="K249" s="142"/>
      <c r="L249" s="245"/>
      <c r="M249" s="167"/>
      <c r="N249" s="246"/>
      <c r="O249" s="142"/>
      <c r="P249" s="213"/>
    </row>
    <row r="250" ht="15.75" customHeight="1">
      <c r="A250" s="142"/>
      <c r="B250" s="142"/>
      <c r="C250" s="160"/>
      <c r="D250" s="160"/>
      <c r="E250" s="142"/>
      <c r="F250" s="161"/>
      <c r="G250" s="142"/>
      <c r="H250" s="142"/>
      <c r="I250" s="67">
        <f t="shared" si="22"/>
        <v>0</v>
      </c>
      <c r="J250" s="245"/>
      <c r="K250" s="142"/>
      <c r="L250" s="245"/>
      <c r="M250" s="167"/>
      <c r="N250" s="246"/>
      <c r="O250" s="142"/>
      <c r="P250" s="213"/>
    </row>
    <row r="251" ht="15.75" customHeight="1">
      <c r="A251" s="142"/>
      <c r="B251" s="142"/>
      <c r="C251" s="160"/>
      <c r="D251" s="160"/>
      <c r="E251" s="142"/>
      <c r="F251" s="161"/>
      <c r="G251" s="142"/>
      <c r="H251" s="142"/>
      <c r="I251" s="67">
        <f t="shared" si="22"/>
        <v>0</v>
      </c>
      <c r="J251" s="245"/>
      <c r="K251" s="142"/>
      <c r="L251" s="245"/>
      <c r="M251" s="167"/>
      <c r="N251" s="246"/>
      <c r="O251" s="142"/>
      <c r="P251" s="213"/>
    </row>
    <row r="252" ht="15.75" customHeight="1">
      <c r="A252" s="142"/>
      <c r="B252" s="142"/>
      <c r="C252" s="160"/>
      <c r="D252" s="160"/>
      <c r="E252" s="142"/>
      <c r="F252" s="161"/>
      <c r="G252" s="142"/>
      <c r="H252" s="142"/>
      <c r="I252" s="67">
        <f t="shared" si="22"/>
        <v>0</v>
      </c>
      <c r="J252" s="245"/>
      <c r="K252" s="142"/>
      <c r="L252" s="245"/>
      <c r="M252" s="167"/>
      <c r="N252" s="246"/>
      <c r="O252" s="142"/>
      <c r="P252" s="213"/>
    </row>
    <row r="253" ht="15.75" customHeight="1">
      <c r="A253" s="142"/>
      <c r="B253" s="142"/>
      <c r="C253" s="160"/>
      <c r="D253" s="160"/>
      <c r="E253" s="142"/>
      <c r="F253" s="161"/>
      <c r="G253" s="142"/>
      <c r="H253" s="142"/>
      <c r="I253" s="67">
        <f t="shared" si="22"/>
        <v>0</v>
      </c>
      <c r="J253" s="245"/>
      <c r="K253" s="142"/>
      <c r="L253" s="245"/>
      <c r="M253" s="167"/>
      <c r="N253" s="246"/>
      <c r="O253" s="142"/>
      <c r="P253" s="213"/>
    </row>
    <row r="254" ht="15.75" customHeight="1">
      <c r="A254" s="142"/>
      <c r="B254" s="142"/>
      <c r="C254" s="160"/>
      <c r="D254" s="160"/>
      <c r="E254" s="142"/>
      <c r="F254" s="161"/>
      <c r="G254" s="142"/>
      <c r="H254" s="142"/>
      <c r="I254" s="67">
        <f t="shared" si="22"/>
        <v>0</v>
      </c>
      <c r="J254" s="245"/>
      <c r="K254" s="142"/>
      <c r="L254" s="245"/>
      <c r="M254" s="167"/>
      <c r="N254" s="246"/>
      <c r="O254" s="142"/>
      <c r="P254" s="213"/>
    </row>
    <row r="255" ht="15.75" customHeight="1">
      <c r="A255" s="142"/>
      <c r="B255" s="142"/>
      <c r="C255" s="160"/>
      <c r="D255" s="160"/>
      <c r="E255" s="142"/>
      <c r="F255" s="161"/>
      <c r="G255" s="142"/>
      <c r="H255" s="142"/>
      <c r="I255" s="67">
        <f t="shared" si="22"/>
        <v>0</v>
      </c>
      <c r="J255" s="245"/>
      <c r="K255" s="142"/>
      <c r="L255" s="245"/>
      <c r="M255" s="167"/>
      <c r="N255" s="246"/>
      <c r="O255" s="142"/>
      <c r="P255" s="213"/>
    </row>
    <row r="256" ht="15.75" customHeight="1">
      <c r="A256" s="142"/>
      <c r="B256" s="142"/>
      <c r="C256" s="160"/>
      <c r="D256" s="160"/>
      <c r="E256" s="142"/>
      <c r="F256" s="161"/>
      <c r="G256" s="142"/>
      <c r="H256" s="142"/>
      <c r="I256" s="67">
        <f t="shared" si="22"/>
        <v>0</v>
      </c>
      <c r="J256" s="245"/>
      <c r="K256" s="142"/>
      <c r="L256" s="245"/>
      <c r="M256" s="167"/>
      <c r="N256" s="246"/>
      <c r="O256" s="142"/>
      <c r="P256" s="213"/>
    </row>
    <row r="257" ht="15.75" customHeight="1">
      <c r="A257" s="142"/>
      <c r="B257" s="142"/>
      <c r="C257" s="160"/>
      <c r="D257" s="160"/>
      <c r="E257" s="142"/>
      <c r="F257" s="161"/>
      <c r="G257" s="142"/>
      <c r="H257" s="142"/>
      <c r="I257" s="67">
        <f t="shared" si="22"/>
        <v>0</v>
      </c>
      <c r="J257" s="245"/>
      <c r="K257" s="142"/>
      <c r="L257" s="245"/>
      <c r="M257" s="167"/>
      <c r="N257" s="246"/>
      <c r="O257" s="142"/>
      <c r="P257" s="213"/>
    </row>
    <row r="258" ht="15.75" customHeight="1">
      <c r="A258" s="142"/>
      <c r="B258" s="142"/>
      <c r="C258" s="160"/>
      <c r="D258" s="160"/>
      <c r="E258" s="142"/>
      <c r="F258" s="161"/>
      <c r="G258" s="142"/>
      <c r="H258" s="142"/>
      <c r="I258" s="67">
        <f t="shared" si="22"/>
        <v>0</v>
      </c>
      <c r="J258" s="245"/>
      <c r="K258" s="142"/>
      <c r="L258" s="245"/>
      <c r="M258" s="167"/>
      <c r="N258" s="246"/>
      <c r="O258" s="142"/>
      <c r="P258" s="213"/>
    </row>
    <row r="259" ht="15.75" customHeight="1">
      <c r="A259" s="142"/>
      <c r="B259" s="142"/>
      <c r="C259" s="160"/>
      <c r="D259" s="160"/>
      <c r="E259" s="142"/>
      <c r="F259" s="161"/>
      <c r="G259" s="142"/>
      <c r="H259" s="142"/>
      <c r="I259" s="67">
        <f t="shared" si="22"/>
        <v>0</v>
      </c>
      <c r="J259" s="245"/>
      <c r="K259" s="142"/>
      <c r="L259" s="245"/>
      <c r="M259" s="167"/>
      <c r="N259" s="246"/>
      <c r="O259" s="142"/>
      <c r="P259" s="213"/>
    </row>
    <row r="260" ht="15.75" customHeight="1">
      <c r="A260" s="142"/>
      <c r="B260" s="142"/>
      <c r="C260" s="160"/>
      <c r="D260" s="160"/>
      <c r="E260" s="142"/>
      <c r="F260" s="161"/>
      <c r="G260" s="142"/>
      <c r="H260" s="142"/>
      <c r="I260" s="142"/>
      <c r="J260" s="245"/>
      <c r="K260" s="142"/>
      <c r="L260" s="245"/>
      <c r="M260" s="167"/>
      <c r="N260" s="246"/>
      <c r="O260" s="142"/>
      <c r="P260" s="213"/>
    </row>
    <row r="261" ht="15.75" customHeight="1">
      <c r="A261" s="142"/>
      <c r="B261" s="142"/>
      <c r="C261" s="160"/>
      <c r="D261" s="160"/>
      <c r="E261" s="142"/>
      <c r="F261" s="161"/>
      <c r="G261" s="142"/>
      <c r="H261" s="142"/>
      <c r="I261" s="142"/>
      <c r="J261" s="245"/>
      <c r="K261" s="142"/>
      <c r="L261" s="245"/>
      <c r="M261" s="167"/>
      <c r="N261" s="246"/>
      <c r="O261" s="142"/>
      <c r="P261" s="213"/>
    </row>
    <row r="262" ht="15.75" customHeight="1">
      <c r="A262" s="142"/>
      <c r="B262" s="142"/>
      <c r="C262" s="160"/>
      <c r="D262" s="160"/>
      <c r="E262" s="142"/>
      <c r="F262" s="161"/>
      <c r="G262" s="142"/>
      <c r="H262" s="142"/>
      <c r="I262" s="142"/>
      <c r="J262" s="245"/>
      <c r="K262" s="142"/>
      <c r="L262" s="245"/>
      <c r="M262" s="167"/>
      <c r="N262" s="246"/>
      <c r="O262" s="142"/>
      <c r="P262" s="213"/>
    </row>
    <row r="263" ht="15.75" customHeight="1">
      <c r="A263" s="142"/>
      <c r="B263" s="142"/>
      <c r="C263" s="160"/>
      <c r="D263" s="160"/>
      <c r="E263" s="142"/>
      <c r="F263" s="161"/>
      <c r="G263" s="142"/>
      <c r="H263" s="142"/>
      <c r="I263" s="142"/>
      <c r="J263" s="245"/>
      <c r="K263" s="142"/>
      <c r="L263" s="245"/>
      <c r="M263" s="167"/>
      <c r="N263" s="246"/>
      <c r="O263" s="142"/>
      <c r="P263" s="213"/>
    </row>
    <row r="264" ht="15.75" customHeight="1">
      <c r="A264" s="142"/>
      <c r="B264" s="142"/>
      <c r="C264" s="160"/>
      <c r="D264" s="160"/>
      <c r="E264" s="142"/>
      <c r="F264" s="161"/>
      <c r="G264" s="142"/>
      <c r="H264" s="142"/>
      <c r="I264" s="142"/>
      <c r="J264" s="245"/>
      <c r="K264" s="142"/>
      <c r="L264" s="245"/>
      <c r="M264" s="167"/>
      <c r="N264" s="246"/>
      <c r="O264" s="142"/>
      <c r="P264" s="213"/>
    </row>
    <row r="265" ht="15.75" customHeight="1">
      <c r="A265" s="142"/>
      <c r="B265" s="142"/>
      <c r="C265" s="160"/>
      <c r="D265" s="160"/>
      <c r="E265" s="142"/>
      <c r="F265" s="161"/>
      <c r="G265" s="142"/>
      <c r="H265" s="142"/>
      <c r="I265" s="142"/>
      <c r="J265" s="245"/>
      <c r="K265" s="142"/>
      <c r="L265" s="245"/>
      <c r="M265" s="167"/>
      <c r="N265" s="246"/>
      <c r="O265" s="142"/>
      <c r="P265" s="213"/>
    </row>
    <row r="266" ht="15.75" customHeight="1">
      <c r="A266" s="142"/>
      <c r="B266" s="142"/>
      <c r="C266" s="160"/>
      <c r="D266" s="160"/>
      <c r="E266" s="142"/>
      <c r="F266" s="161"/>
      <c r="G266" s="142"/>
      <c r="H266" s="142"/>
      <c r="I266" s="142"/>
      <c r="J266" s="245"/>
      <c r="K266" s="142"/>
      <c r="L266" s="245"/>
      <c r="M266" s="167"/>
      <c r="N266" s="246"/>
      <c r="O266" s="142"/>
      <c r="P266" s="213"/>
    </row>
    <row r="267" ht="15.75" customHeight="1">
      <c r="A267" s="142"/>
      <c r="B267" s="142"/>
      <c r="C267" s="160"/>
      <c r="D267" s="160"/>
      <c r="E267" s="142"/>
      <c r="F267" s="161"/>
      <c r="G267" s="142"/>
      <c r="H267" s="142"/>
      <c r="I267" s="142"/>
      <c r="J267" s="245"/>
      <c r="K267" s="142"/>
      <c r="L267" s="245"/>
      <c r="M267" s="167"/>
      <c r="N267" s="246"/>
      <c r="O267" s="142"/>
      <c r="P267" s="213"/>
    </row>
    <row r="268" ht="15.75" customHeight="1">
      <c r="A268" s="142"/>
      <c r="B268" s="142"/>
      <c r="C268" s="160"/>
      <c r="D268" s="160"/>
      <c r="E268" s="142"/>
      <c r="F268" s="161"/>
      <c r="G268" s="142"/>
      <c r="H268" s="142"/>
      <c r="I268" s="142"/>
      <c r="J268" s="245"/>
      <c r="K268" s="142"/>
      <c r="L268" s="245"/>
      <c r="M268" s="167"/>
      <c r="N268" s="246"/>
      <c r="O268" s="142"/>
      <c r="P268" s="213"/>
    </row>
    <row r="269" ht="15.75" customHeight="1">
      <c r="A269" s="142"/>
      <c r="B269" s="142"/>
      <c r="C269" s="160"/>
      <c r="D269" s="160"/>
      <c r="E269" s="142"/>
      <c r="F269" s="161"/>
      <c r="G269" s="142"/>
      <c r="H269" s="142"/>
      <c r="I269" s="142"/>
      <c r="J269" s="245"/>
      <c r="K269" s="142"/>
      <c r="L269" s="245"/>
      <c r="M269" s="167"/>
      <c r="N269" s="246"/>
      <c r="O269" s="142"/>
      <c r="P269" s="213"/>
    </row>
    <row r="270" ht="15.75" customHeight="1">
      <c r="A270" s="142"/>
      <c r="B270" s="142"/>
      <c r="C270" s="160"/>
      <c r="D270" s="160"/>
      <c r="E270" s="142"/>
      <c r="F270" s="161"/>
      <c r="G270" s="142"/>
      <c r="H270" s="142"/>
      <c r="I270" s="142"/>
      <c r="J270" s="245"/>
      <c r="K270" s="142"/>
      <c r="L270" s="245"/>
      <c r="M270" s="167"/>
      <c r="N270" s="246"/>
      <c r="O270" s="142"/>
      <c r="P270" s="213"/>
    </row>
    <row r="271" ht="15.75" customHeight="1">
      <c r="A271" s="142"/>
      <c r="B271" s="142"/>
      <c r="C271" s="160"/>
      <c r="D271" s="160"/>
      <c r="E271" s="142"/>
      <c r="F271" s="161"/>
      <c r="G271" s="142"/>
      <c r="H271" s="142"/>
      <c r="I271" s="142"/>
      <c r="J271" s="245"/>
      <c r="K271" s="142"/>
      <c r="L271" s="245"/>
      <c r="M271" s="167"/>
      <c r="N271" s="246"/>
      <c r="O271" s="142"/>
      <c r="P271" s="213"/>
    </row>
    <row r="272" ht="15.75" customHeight="1">
      <c r="A272" s="142"/>
      <c r="B272" s="142"/>
      <c r="C272" s="160"/>
      <c r="D272" s="160"/>
      <c r="E272" s="142"/>
      <c r="F272" s="161"/>
      <c r="G272" s="142"/>
      <c r="H272" s="142"/>
      <c r="I272" s="142"/>
      <c r="J272" s="245"/>
      <c r="K272" s="142"/>
      <c r="L272" s="245"/>
      <c r="M272" s="167"/>
      <c r="N272" s="246"/>
      <c r="O272" s="142"/>
      <c r="P272" s="213"/>
    </row>
    <row r="273" ht="15.75" customHeight="1">
      <c r="A273" s="142"/>
      <c r="B273" s="142"/>
      <c r="C273" s="160"/>
      <c r="D273" s="160"/>
      <c r="E273" s="142"/>
      <c r="F273" s="161"/>
      <c r="G273" s="142"/>
      <c r="H273" s="142"/>
      <c r="I273" s="142"/>
      <c r="J273" s="245"/>
      <c r="K273" s="142"/>
      <c r="L273" s="245"/>
      <c r="M273" s="167"/>
      <c r="N273" s="246"/>
      <c r="O273" s="142"/>
      <c r="P273" s="213"/>
    </row>
    <row r="274" ht="15.75" customHeight="1">
      <c r="A274" s="142"/>
      <c r="B274" s="142"/>
      <c r="C274" s="160"/>
      <c r="D274" s="160"/>
      <c r="E274" s="142"/>
      <c r="F274" s="161"/>
      <c r="G274" s="142"/>
      <c r="H274" s="142"/>
      <c r="I274" s="142"/>
      <c r="J274" s="245"/>
      <c r="K274" s="142"/>
      <c r="L274" s="245"/>
      <c r="M274" s="167"/>
      <c r="N274" s="246"/>
      <c r="O274" s="142"/>
      <c r="P274" s="213"/>
    </row>
    <row r="275" ht="15.75" customHeight="1">
      <c r="A275" s="142"/>
      <c r="B275" s="142"/>
      <c r="C275" s="160"/>
      <c r="D275" s="160"/>
      <c r="E275" s="142"/>
      <c r="F275" s="161"/>
      <c r="G275" s="142"/>
      <c r="H275" s="142"/>
      <c r="I275" s="142"/>
      <c r="J275" s="245"/>
      <c r="K275" s="142"/>
      <c r="L275" s="245"/>
      <c r="M275" s="167"/>
      <c r="N275" s="246"/>
      <c r="O275" s="142"/>
      <c r="P275" s="213"/>
    </row>
    <row r="276" ht="15.75" customHeight="1">
      <c r="A276" s="142"/>
      <c r="B276" s="142"/>
      <c r="C276" s="160"/>
      <c r="D276" s="160"/>
      <c r="E276" s="142"/>
      <c r="F276" s="161"/>
      <c r="G276" s="142"/>
      <c r="H276" s="142"/>
      <c r="I276" s="142"/>
      <c r="J276" s="245"/>
      <c r="K276" s="142"/>
      <c r="L276" s="245"/>
      <c r="M276" s="167"/>
      <c r="N276" s="246"/>
      <c r="O276" s="142"/>
      <c r="P276" s="213"/>
    </row>
    <row r="277" ht="15.75" customHeight="1">
      <c r="A277" s="142"/>
      <c r="B277" s="142"/>
      <c r="C277" s="160"/>
      <c r="D277" s="160"/>
      <c r="E277" s="142"/>
      <c r="F277" s="161"/>
      <c r="G277" s="142"/>
      <c r="H277" s="142"/>
      <c r="I277" s="142"/>
      <c r="J277" s="245"/>
      <c r="K277" s="142"/>
      <c r="L277" s="245"/>
      <c r="M277" s="167"/>
      <c r="N277" s="246"/>
      <c r="O277" s="142"/>
      <c r="P277" s="213"/>
    </row>
    <row r="278" ht="15.75" customHeight="1">
      <c r="A278" s="142"/>
      <c r="B278" s="142"/>
      <c r="C278" s="160"/>
      <c r="D278" s="160"/>
      <c r="E278" s="142"/>
      <c r="F278" s="161"/>
      <c r="G278" s="142"/>
      <c r="H278" s="142"/>
      <c r="I278" s="142"/>
      <c r="J278" s="245"/>
      <c r="K278" s="142"/>
      <c r="L278" s="245"/>
      <c r="M278" s="167"/>
      <c r="N278" s="246"/>
      <c r="O278" s="142"/>
      <c r="P278" s="213"/>
    </row>
    <row r="279" ht="15.75" customHeight="1">
      <c r="A279" s="142"/>
      <c r="B279" s="142"/>
      <c r="C279" s="160"/>
      <c r="D279" s="160"/>
      <c r="E279" s="142"/>
      <c r="F279" s="161"/>
      <c r="G279" s="142"/>
      <c r="H279" s="142"/>
      <c r="I279" s="142"/>
      <c r="J279" s="245"/>
      <c r="K279" s="142"/>
      <c r="L279" s="245"/>
      <c r="M279" s="167"/>
      <c r="N279" s="246"/>
      <c r="O279" s="142"/>
      <c r="P279" s="213"/>
    </row>
    <row r="280" ht="15.75" customHeight="1">
      <c r="A280" s="142"/>
      <c r="B280" s="142"/>
      <c r="C280" s="160"/>
      <c r="D280" s="160"/>
      <c r="E280" s="142"/>
      <c r="F280" s="161"/>
      <c r="G280" s="142"/>
      <c r="H280" s="142"/>
      <c r="I280" s="142"/>
      <c r="J280" s="245"/>
      <c r="K280" s="142"/>
      <c r="L280" s="245"/>
      <c r="M280" s="167"/>
      <c r="N280" s="246"/>
      <c r="O280" s="142"/>
      <c r="P280" s="213"/>
    </row>
    <row r="281" ht="15.75" customHeight="1">
      <c r="A281" s="142"/>
      <c r="B281" s="142"/>
      <c r="C281" s="160"/>
      <c r="D281" s="160"/>
      <c r="E281" s="142"/>
      <c r="F281" s="161"/>
      <c r="G281" s="142"/>
      <c r="H281" s="142"/>
      <c r="I281" s="142"/>
      <c r="J281" s="245"/>
      <c r="K281" s="142"/>
      <c r="L281" s="245"/>
      <c r="M281" s="167"/>
      <c r="N281" s="246"/>
      <c r="O281" s="142"/>
      <c r="P281" s="213"/>
    </row>
    <row r="282" ht="15.75" customHeight="1">
      <c r="A282" s="142"/>
      <c r="B282" s="142"/>
      <c r="C282" s="160"/>
      <c r="D282" s="160"/>
      <c r="E282" s="142"/>
      <c r="F282" s="161"/>
      <c r="G282" s="142"/>
      <c r="H282" s="142"/>
      <c r="I282" s="142"/>
      <c r="J282" s="245"/>
      <c r="K282" s="142"/>
      <c r="L282" s="245"/>
      <c r="M282" s="167"/>
      <c r="N282" s="246"/>
      <c r="O282" s="142"/>
      <c r="P282" s="213"/>
    </row>
    <row r="283" ht="15.75" customHeight="1">
      <c r="A283" s="142"/>
      <c r="B283" s="142"/>
      <c r="C283" s="160"/>
      <c r="D283" s="160"/>
      <c r="E283" s="142"/>
      <c r="F283" s="161"/>
      <c r="G283" s="142"/>
      <c r="H283" s="142"/>
      <c r="I283" s="142"/>
      <c r="J283" s="245"/>
      <c r="K283" s="142"/>
      <c r="L283" s="245"/>
      <c r="M283" s="167"/>
      <c r="N283" s="246"/>
      <c r="O283" s="142"/>
      <c r="P283" s="213"/>
    </row>
    <row r="284" ht="15.75" customHeight="1">
      <c r="A284" s="142"/>
      <c r="B284" s="142"/>
      <c r="C284" s="160"/>
      <c r="D284" s="160"/>
      <c r="E284" s="142"/>
      <c r="F284" s="161"/>
      <c r="G284" s="142"/>
      <c r="H284" s="142"/>
      <c r="I284" s="142"/>
      <c r="J284" s="245"/>
      <c r="K284" s="142"/>
      <c r="L284" s="245"/>
      <c r="M284" s="167"/>
      <c r="N284" s="246"/>
      <c r="O284" s="142"/>
      <c r="P284" s="213"/>
    </row>
    <row r="285" ht="15.75" customHeight="1">
      <c r="A285" s="142"/>
      <c r="B285" s="142"/>
      <c r="C285" s="160"/>
      <c r="D285" s="160"/>
      <c r="E285" s="142"/>
      <c r="F285" s="161"/>
      <c r="G285" s="142"/>
      <c r="H285" s="142"/>
      <c r="I285" s="142"/>
      <c r="J285" s="245"/>
      <c r="K285" s="142"/>
      <c r="L285" s="245"/>
      <c r="M285" s="167"/>
      <c r="N285" s="246"/>
      <c r="O285" s="142"/>
      <c r="P285" s="213"/>
    </row>
    <row r="286" ht="15.75" customHeight="1">
      <c r="A286" s="142"/>
      <c r="B286" s="142"/>
      <c r="C286" s="160"/>
      <c r="D286" s="160"/>
      <c r="E286" s="142"/>
      <c r="F286" s="161"/>
      <c r="G286" s="142"/>
      <c r="H286" s="142"/>
      <c r="I286" s="142"/>
      <c r="J286" s="245"/>
      <c r="K286" s="142"/>
      <c r="L286" s="245"/>
      <c r="M286" s="167"/>
      <c r="N286" s="246"/>
      <c r="O286" s="142"/>
      <c r="P286" s="213"/>
    </row>
    <row r="287" ht="15.75" customHeight="1">
      <c r="A287" s="142"/>
      <c r="B287" s="142"/>
      <c r="C287" s="160"/>
      <c r="D287" s="160"/>
      <c r="E287" s="142"/>
      <c r="F287" s="161"/>
      <c r="G287" s="142"/>
      <c r="H287" s="142"/>
      <c r="I287" s="142"/>
      <c r="J287" s="245"/>
      <c r="K287" s="142"/>
      <c r="L287" s="245"/>
      <c r="M287" s="167"/>
      <c r="N287" s="246"/>
      <c r="O287" s="142"/>
      <c r="P287" s="213"/>
    </row>
    <row r="288" ht="15.75" customHeight="1">
      <c r="A288" s="142"/>
      <c r="B288" s="142"/>
      <c r="C288" s="160"/>
      <c r="D288" s="160"/>
      <c r="E288" s="142"/>
      <c r="F288" s="161"/>
      <c r="G288" s="142"/>
      <c r="H288" s="142"/>
      <c r="I288" s="142"/>
      <c r="J288" s="245"/>
      <c r="K288" s="142"/>
      <c r="L288" s="245"/>
      <c r="M288" s="167"/>
      <c r="N288" s="246"/>
      <c r="O288" s="142"/>
      <c r="P288" s="213"/>
    </row>
    <row r="289" ht="15.75" customHeight="1">
      <c r="A289" s="142"/>
      <c r="B289" s="142"/>
      <c r="C289" s="160"/>
      <c r="D289" s="160"/>
      <c r="E289" s="142"/>
      <c r="F289" s="161"/>
      <c r="G289" s="142"/>
      <c r="H289" s="142"/>
      <c r="I289" s="142"/>
      <c r="J289" s="245"/>
      <c r="K289" s="142"/>
      <c r="L289" s="245"/>
      <c r="M289" s="167"/>
      <c r="N289" s="246"/>
      <c r="O289" s="142"/>
      <c r="P289" s="213"/>
    </row>
    <row r="290" ht="15.75" customHeight="1">
      <c r="A290" s="142"/>
      <c r="B290" s="142"/>
      <c r="C290" s="160"/>
      <c r="D290" s="160"/>
      <c r="E290" s="142"/>
      <c r="F290" s="161"/>
      <c r="G290" s="142"/>
      <c r="H290" s="142"/>
      <c r="I290" s="142"/>
      <c r="J290" s="245"/>
      <c r="K290" s="142"/>
      <c r="L290" s="245"/>
      <c r="M290" s="167"/>
      <c r="N290" s="246"/>
      <c r="O290" s="142"/>
      <c r="P290" s="213"/>
    </row>
    <row r="291" ht="15.75" customHeight="1">
      <c r="A291" s="142"/>
      <c r="B291" s="142"/>
      <c r="C291" s="160"/>
      <c r="D291" s="160"/>
      <c r="E291" s="142"/>
      <c r="F291" s="161"/>
      <c r="G291" s="142"/>
      <c r="H291" s="142"/>
      <c r="I291" s="142"/>
      <c r="J291" s="245"/>
      <c r="K291" s="142"/>
      <c r="L291" s="245"/>
      <c r="M291" s="167"/>
      <c r="N291" s="246"/>
      <c r="O291" s="142"/>
      <c r="P291" s="213"/>
    </row>
    <row r="292" ht="15.75" customHeight="1">
      <c r="A292" s="142"/>
      <c r="B292" s="142"/>
      <c r="C292" s="160"/>
      <c r="D292" s="160"/>
      <c r="E292" s="142"/>
      <c r="F292" s="161"/>
      <c r="G292" s="142"/>
      <c r="H292" s="142"/>
      <c r="I292" s="142"/>
      <c r="J292" s="245"/>
      <c r="K292" s="142"/>
      <c r="L292" s="245"/>
      <c r="M292" s="167"/>
      <c r="N292" s="246"/>
      <c r="O292" s="142"/>
      <c r="P292" s="213"/>
    </row>
    <row r="293" ht="15.75" customHeight="1">
      <c r="A293" s="142"/>
      <c r="B293" s="142"/>
      <c r="C293" s="160"/>
      <c r="D293" s="160"/>
      <c r="E293" s="142"/>
      <c r="F293" s="161"/>
      <c r="G293" s="142"/>
      <c r="H293" s="142"/>
      <c r="I293" s="142"/>
      <c r="J293" s="245"/>
      <c r="K293" s="142"/>
      <c r="L293" s="245"/>
      <c r="M293" s="167"/>
      <c r="N293" s="246"/>
      <c r="O293" s="142"/>
      <c r="P293" s="213"/>
    </row>
    <row r="294" ht="15.75" customHeight="1">
      <c r="A294" s="142"/>
      <c r="B294" s="142"/>
      <c r="C294" s="160"/>
      <c r="D294" s="160"/>
      <c r="E294" s="142"/>
      <c r="F294" s="161"/>
      <c r="G294" s="142"/>
      <c r="H294" s="142"/>
      <c r="I294" s="142"/>
      <c r="J294" s="245"/>
      <c r="K294" s="142"/>
      <c r="L294" s="245"/>
      <c r="M294" s="167"/>
      <c r="N294" s="246"/>
      <c r="O294" s="142"/>
      <c r="P294" s="213"/>
    </row>
    <row r="295" ht="15.75" customHeight="1">
      <c r="A295" s="142"/>
      <c r="B295" s="142"/>
      <c r="C295" s="160"/>
      <c r="D295" s="160"/>
      <c r="E295" s="142"/>
      <c r="F295" s="161"/>
      <c r="G295" s="142"/>
      <c r="H295" s="142"/>
      <c r="I295" s="142"/>
      <c r="J295" s="245"/>
      <c r="K295" s="142"/>
      <c r="L295" s="245"/>
      <c r="M295" s="167"/>
      <c r="N295" s="246"/>
      <c r="O295" s="142"/>
      <c r="P295" s="213"/>
    </row>
    <row r="296" ht="15.75" customHeight="1">
      <c r="A296" s="142"/>
      <c r="B296" s="142"/>
      <c r="C296" s="160"/>
      <c r="D296" s="160"/>
      <c r="E296" s="142"/>
      <c r="F296" s="161"/>
      <c r="G296" s="142"/>
      <c r="H296" s="142"/>
      <c r="I296" s="142"/>
      <c r="J296" s="245"/>
      <c r="K296" s="142"/>
      <c r="L296" s="245"/>
      <c r="M296" s="167"/>
      <c r="N296" s="246"/>
      <c r="O296" s="142"/>
      <c r="P296" s="213"/>
    </row>
    <row r="297" ht="15.75" customHeight="1">
      <c r="A297" s="142"/>
      <c r="B297" s="142"/>
      <c r="C297" s="160"/>
      <c r="D297" s="160"/>
      <c r="E297" s="142"/>
      <c r="F297" s="161"/>
      <c r="G297" s="142"/>
      <c r="H297" s="142"/>
      <c r="I297" s="142"/>
      <c r="J297" s="245"/>
      <c r="K297" s="142"/>
      <c r="L297" s="245"/>
      <c r="M297" s="167"/>
      <c r="N297" s="246"/>
      <c r="O297" s="142"/>
      <c r="P297" s="213"/>
    </row>
    <row r="298" ht="15.75" customHeight="1">
      <c r="A298" s="142"/>
      <c r="B298" s="142"/>
      <c r="C298" s="160"/>
      <c r="D298" s="160"/>
      <c r="E298" s="142"/>
      <c r="F298" s="161"/>
      <c r="G298" s="142"/>
      <c r="H298" s="142"/>
      <c r="I298" s="142"/>
      <c r="J298" s="245"/>
      <c r="K298" s="142"/>
      <c r="L298" s="245"/>
      <c r="M298" s="167"/>
      <c r="N298" s="246"/>
      <c r="O298" s="142"/>
      <c r="P298" s="213"/>
    </row>
    <row r="299" ht="15.75" customHeight="1">
      <c r="A299" s="142"/>
      <c r="B299" s="142"/>
      <c r="C299" s="160"/>
      <c r="D299" s="160"/>
      <c r="E299" s="142"/>
      <c r="F299" s="161"/>
      <c r="G299" s="142"/>
      <c r="H299" s="142"/>
      <c r="I299" s="142"/>
      <c r="J299" s="245"/>
      <c r="K299" s="142"/>
      <c r="L299" s="245"/>
      <c r="M299" s="167"/>
      <c r="N299" s="246"/>
      <c r="O299" s="142"/>
      <c r="P299" s="213"/>
    </row>
    <row r="300" ht="15.75" customHeight="1">
      <c r="A300" s="142"/>
      <c r="B300" s="142"/>
      <c r="C300" s="160"/>
      <c r="D300" s="160"/>
      <c r="E300" s="142"/>
      <c r="F300" s="161"/>
      <c r="G300" s="142"/>
      <c r="H300" s="142"/>
      <c r="I300" s="142"/>
      <c r="J300" s="245"/>
      <c r="K300" s="142"/>
      <c r="L300" s="245"/>
      <c r="M300" s="167"/>
      <c r="N300" s="246"/>
      <c r="O300" s="142"/>
      <c r="P300" s="213"/>
    </row>
    <row r="301" ht="15.75" customHeight="1">
      <c r="A301" s="142"/>
      <c r="B301" s="142"/>
      <c r="C301" s="160"/>
      <c r="D301" s="160"/>
      <c r="E301" s="142"/>
      <c r="F301" s="161"/>
      <c r="G301" s="142"/>
      <c r="H301" s="142"/>
      <c r="I301" s="142"/>
      <c r="J301" s="245"/>
      <c r="K301" s="142"/>
      <c r="L301" s="245"/>
      <c r="M301" s="167"/>
      <c r="N301" s="246"/>
      <c r="O301" s="142"/>
      <c r="P301" s="213"/>
    </row>
    <row r="302" ht="15.75" customHeight="1">
      <c r="A302" s="142"/>
      <c r="B302" s="142"/>
      <c r="C302" s="160"/>
      <c r="D302" s="160"/>
      <c r="E302" s="142"/>
      <c r="F302" s="161"/>
      <c r="G302" s="142"/>
      <c r="H302" s="142"/>
      <c r="I302" s="142"/>
      <c r="J302" s="245"/>
      <c r="K302" s="142"/>
      <c r="L302" s="245"/>
      <c r="M302" s="167"/>
      <c r="N302" s="246"/>
      <c r="O302" s="142"/>
      <c r="P302" s="213"/>
    </row>
    <row r="303" ht="15.75" customHeight="1">
      <c r="A303" s="142"/>
      <c r="B303" s="142"/>
      <c r="C303" s="160"/>
      <c r="D303" s="160"/>
      <c r="E303" s="142"/>
      <c r="F303" s="161"/>
      <c r="G303" s="142"/>
      <c r="H303" s="142"/>
      <c r="I303" s="142"/>
      <c r="J303" s="245"/>
      <c r="K303" s="142"/>
      <c r="L303" s="245"/>
      <c r="M303" s="167"/>
      <c r="N303" s="246"/>
      <c r="O303" s="142"/>
      <c r="P303" s="213"/>
    </row>
    <row r="304" ht="15.75" customHeight="1">
      <c r="A304" s="142"/>
      <c r="B304" s="142"/>
      <c r="C304" s="160"/>
      <c r="D304" s="160"/>
      <c r="E304" s="142"/>
      <c r="F304" s="161"/>
      <c r="G304" s="142"/>
      <c r="H304" s="142"/>
      <c r="I304" s="142"/>
      <c r="J304" s="245"/>
      <c r="K304" s="142"/>
      <c r="L304" s="245"/>
      <c r="M304" s="167"/>
      <c r="N304" s="246"/>
      <c r="O304" s="142"/>
      <c r="P304" s="213"/>
    </row>
    <row r="305" ht="15.75" customHeight="1">
      <c r="A305" s="142"/>
      <c r="B305" s="142"/>
      <c r="C305" s="160"/>
      <c r="D305" s="160"/>
      <c r="E305" s="142"/>
      <c r="F305" s="161"/>
      <c r="G305" s="142"/>
      <c r="H305" s="142"/>
      <c r="I305" s="142"/>
      <c r="J305" s="245"/>
      <c r="K305" s="142"/>
      <c r="L305" s="245"/>
      <c r="M305" s="167"/>
      <c r="N305" s="246"/>
      <c r="O305" s="142"/>
      <c r="P305" s="213"/>
    </row>
    <row r="306" ht="15.75" customHeight="1">
      <c r="A306" s="142"/>
      <c r="B306" s="142"/>
      <c r="C306" s="160"/>
      <c r="D306" s="160"/>
      <c r="E306" s="142"/>
      <c r="F306" s="161"/>
      <c r="G306" s="142"/>
      <c r="H306" s="142"/>
      <c r="I306" s="142"/>
      <c r="J306" s="245"/>
      <c r="K306" s="142"/>
      <c r="L306" s="245"/>
      <c r="M306" s="167"/>
      <c r="N306" s="246"/>
      <c r="O306" s="142"/>
      <c r="P306" s="213"/>
    </row>
    <row r="307" ht="15.75" customHeight="1">
      <c r="A307" s="142"/>
      <c r="B307" s="142"/>
      <c r="C307" s="160"/>
      <c r="D307" s="160"/>
      <c r="E307" s="142"/>
      <c r="F307" s="161"/>
      <c r="G307" s="142"/>
      <c r="H307" s="142"/>
      <c r="I307" s="142"/>
      <c r="J307" s="245"/>
      <c r="K307" s="142"/>
      <c r="L307" s="245"/>
      <c r="M307" s="167"/>
      <c r="N307" s="246"/>
      <c r="O307" s="142"/>
      <c r="P307" s="213"/>
    </row>
    <row r="308" ht="15.75" customHeight="1">
      <c r="A308" s="142"/>
      <c r="B308" s="142"/>
      <c r="C308" s="160"/>
      <c r="D308" s="160"/>
      <c r="E308" s="142"/>
      <c r="F308" s="161"/>
      <c r="G308" s="142"/>
      <c r="H308" s="142"/>
      <c r="I308" s="142"/>
      <c r="J308" s="245"/>
      <c r="K308" s="142"/>
      <c r="L308" s="245"/>
      <c r="M308" s="167"/>
      <c r="N308" s="246"/>
      <c r="O308" s="142"/>
      <c r="P308" s="213"/>
    </row>
    <row r="309" ht="15.75" customHeight="1">
      <c r="A309" s="142"/>
      <c r="B309" s="142"/>
      <c r="C309" s="160"/>
      <c r="D309" s="160"/>
      <c r="E309" s="142"/>
      <c r="F309" s="161"/>
      <c r="G309" s="142"/>
      <c r="H309" s="142"/>
      <c r="I309" s="142"/>
      <c r="J309" s="245"/>
      <c r="K309" s="142"/>
      <c r="L309" s="245"/>
      <c r="M309" s="167"/>
      <c r="N309" s="246"/>
      <c r="O309" s="142"/>
      <c r="P309" s="213"/>
    </row>
    <row r="310" ht="15.75" customHeight="1">
      <c r="A310" s="142"/>
      <c r="B310" s="142"/>
      <c r="C310" s="160"/>
      <c r="D310" s="160"/>
      <c r="E310" s="142"/>
      <c r="F310" s="161"/>
      <c r="G310" s="142"/>
      <c r="H310" s="142"/>
      <c r="I310" s="142"/>
      <c r="J310" s="245"/>
      <c r="K310" s="142"/>
      <c r="L310" s="245"/>
      <c r="M310" s="167"/>
      <c r="N310" s="246"/>
      <c r="O310" s="142"/>
      <c r="P310" s="213"/>
    </row>
    <row r="311" ht="15.75" customHeight="1">
      <c r="A311" s="142"/>
      <c r="B311" s="142"/>
      <c r="C311" s="160"/>
      <c r="D311" s="160"/>
      <c r="E311" s="142"/>
      <c r="F311" s="161"/>
      <c r="G311" s="142"/>
      <c r="H311" s="142"/>
      <c r="I311" s="142"/>
      <c r="J311" s="245"/>
      <c r="K311" s="142"/>
      <c r="L311" s="245"/>
      <c r="M311" s="167"/>
      <c r="N311" s="246"/>
      <c r="O311" s="142"/>
      <c r="P311" s="213"/>
    </row>
    <row r="312" ht="15.75" customHeight="1">
      <c r="A312" s="142"/>
      <c r="B312" s="142"/>
      <c r="C312" s="160"/>
      <c r="D312" s="160"/>
      <c r="E312" s="142"/>
      <c r="F312" s="161"/>
      <c r="G312" s="142"/>
      <c r="H312" s="142"/>
      <c r="I312" s="142"/>
      <c r="J312" s="245"/>
      <c r="K312" s="142"/>
      <c r="L312" s="245"/>
      <c r="M312" s="167"/>
      <c r="N312" s="246"/>
      <c r="O312" s="142"/>
      <c r="P312" s="213"/>
    </row>
    <row r="313" ht="15.75" customHeight="1">
      <c r="A313" s="142"/>
      <c r="B313" s="142"/>
      <c r="C313" s="160"/>
      <c r="D313" s="160"/>
      <c r="E313" s="142"/>
      <c r="F313" s="161"/>
      <c r="G313" s="142"/>
      <c r="H313" s="142"/>
      <c r="I313" s="142"/>
      <c r="J313" s="245"/>
      <c r="K313" s="142"/>
      <c r="L313" s="245"/>
      <c r="M313" s="167"/>
      <c r="N313" s="246"/>
      <c r="O313" s="142"/>
      <c r="P313" s="213"/>
    </row>
    <row r="314" ht="15.75" customHeight="1">
      <c r="A314" s="142"/>
      <c r="B314" s="142"/>
      <c r="C314" s="160"/>
      <c r="D314" s="160"/>
      <c r="E314" s="142"/>
      <c r="F314" s="161"/>
      <c r="G314" s="142"/>
      <c r="H314" s="142"/>
      <c r="I314" s="142"/>
      <c r="J314" s="245"/>
      <c r="K314" s="142"/>
      <c r="L314" s="245"/>
      <c r="M314" s="167"/>
      <c r="N314" s="246"/>
      <c r="O314" s="142"/>
      <c r="P314" s="213"/>
    </row>
    <row r="315" ht="15.75" customHeight="1">
      <c r="A315" s="142"/>
      <c r="B315" s="142"/>
      <c r="C315" s="160"/>
      <c r="D315" s="160"/>
      <c r="E315" s="142"/>
      <c r="F315" s="161"/>
      <c r="G315" s="142"/>
      <c r="H315" s="142"/>
      <c r="I315" s="142"/>
      <c r="J315" s="245"/>
      <c r="K315" s="142"/>
      <c r="L315" s="245"/>
      <c r="M315" s="167"/>
      <c r="N315" s="246"/>
      <c r="O315" s="142"/>
      <c r="P315" s="213"/>
    </row>
    <row r="316" ht="15.75" customHeight="1">
      <c r="A316" s="142"/>
      <c r="B316" s="142"/>
      <c r="C316" s="160"/>
      <c r="D316" s="160"/>
      <c r="E316" s="142"/>
      <c r="F316" s="161"/>
      <c r="G316" s="142"/>
      <c r="H316" s="142"/>
      <c r="I316" s="142"/>
      <c r="J316" s="245"/>
      <c r="K316" s="142"/>
      <c r="L316" s="245"/>
      <c r="M316" s="167"/>
      <c r="N316" s="246"/>
      <c r="O316" s="142"/>
      <c r="P316" s="213"/>
    </row>
    <row r="317" ht="15.75" customHeight="1">
      <c r="A317" s="142"/>
      <c r="B317" s="142"/>
      <c r="C317" s="160"/>
      <c r="D317" s="160"/>
      <c r="E317" s="142"/>
      <c r="F317" s="161"/>
      <c r="G317" s="142"/>
      <c r="H317" s="142"/>
      <c r="I317" s="142"/>
      <c r="J317" s="245"/>
      <c r="K317" s="142"/>
      <c r="L317" s="245"/>
      <c r="M317" s="167"/>
      <c r="N317" s="246"/>
      <c r="O317" s="142"/>
      <c r="P317" s="213"/>
    </row>
    <row r="318" ht="15.75" customHeight="1">
      <c r="A318" s="142"/>
      <c r="B318" s="142"/>
      <c r="C318" s="160"/>
      <c r="D318" s="160"/>
      <c r="E318" s="142"/>
      <c r="F318" s="161"/>
      <c r="G318" s="142"/>
      <c r="H318" s="142"/>
      <c r="I318" s="142"/>
      <c r="J318" s="245"/>
      <c r="K318" s="142"/>
      <c r="L318" s="245"/>
      <c r="M318" s="167"/>
      <c r="N318" s="246"/>
      <c r="O318" s="142"/>
      <c r="P318" s="213"/>
    </row>
    <row r="319" ht="15.75" customHeight="1">
      <c r="A319" s="142"/>
      <c r="B319" s="142"/>
      <c r="C319" s="160"/>
      <c r="D319" s="160"/>
      <c r="E319" s="142"/>
      <c r="F319" s="161"/>
      <c r="G319" s="142"/>
      <c r="H319" s="142"/>
      <c r="I319" s="142"/>
      <c r="J319" s="245"/>
      <c r="K319" s="142"/>
      <c r="L319" s="245"/>
      <c r="M319" s="167"/>
      <c r="N319" s="246"/>
      <c r="O319" s="142"/>
      <c r="P319" s="213"/>
    </row>
    <row r="320" ht="15.75" customHeight="1">
      <c r="A320" s="142"/>
      <c r="B320" s="142"/>
      <c r="C320" s="160"/>
      <c r="D320" s="160"/>
      <c r="E320" s="142"/>
      <c r="F320" s="161"/>
      <c r="G320" s="142"/>
      <c r="H320" s="142"/>
      <c r="I320" s="142"/>
      <c r="J320" s="245"/>
      <c r="K320" s="142"/>
      <c r="L320" s="245"/>
      <c r="M320" s="167"/>
      <c r="N320" s="246"/>
      <c r="O320" s="142"/>
      <c r="P320" s="213"/>
    </row>
    <row r="321" ht="15.75" customHeight="1">
      <c r="A321" s="142"/>
      <c r="B321" s="142"/>
      <c r="C321" s="160"/>
      <c r="D321" s="160"/>
      <c r="E321" s="142"/>
      <c r="F321" s="161"/>
      <c r="G321" s="142"/>
      <c r="H321" s="142"/>
      <c r="I321" s="142"/>
      <c r="J321" s="245"/>
      <c r="K321" s="142"/>
      <c r="L321" s="245"/>
      <c r="M321" s="167"/>
      <c r="N321" s="246"/>
      <c r="O321" s="142"/>
      <c r="P321" s="213"/>
    </row>
    <row r="322" ht="15.75" customHeight="1">
      <c r="A322" s="142"/>
      <c r="B322" s="142"/>
      <c r="C322" s="160"/>
      <c r="D322" s="160"/>
      <c r="E322" s="142"/>
      <c r="F322" s="161"/>
      <c r="G322" s="142"/>
      <c r="H322" s="142"/>
      <c r="I322" s="142"/>
      <c r="J322" s="245"/>
      <c r="K322" s="142"/>
      <c r="L322" s="245"/>
      <c r="M322" s="167"/>
      <c r="N322" s="246"/>
      <c r="O322" s="142"/>
      <c r="P322" s="213"/>
    </row>
    <row r="323" ht="15.75" customHeight="1">
      <c r="A323" s="142"/>
      <c r="B323" s="142"/>
      <c r="C323" s="160"/>
      <c r="D323" s="160"/>
      <c r="E323" s="142"/>
      <c r="F323" s="161"/>
      <c r="G323" s="142"/>
      <c r="H323" s="142"/>
      <c r="I323" s="142"/>
      <c r="J323" s="245"/>
      <c r="K323" s="142"/>
      <c r="L323" s="245"/>
      <c r="M323" s="167"/>
      <c r="N323" s="246"/>
      <c r="O323" s="142"/>
      <c r="P323" s="213"/>
    </row>
    <row r="324" ht="15.75" customHeight="1">
      <c r="A324" s="142"/>
      <c r="B324" s="142"/>
      <c r="C324" s="160"/>
      <c r="D324" s="160"/>
      <c r="E324" s="142"/>
      <c r="F324" s="161"/>
      <c r="G324" s="142"/>
      <c r="H324" s="142"/>
      <c r="I324" s="142"/>
      <c r="J324" s="245"/>
      <c r="K324" s="142"/>
      <c r="L324" s="245"/>
      <c r="M324" s="167"/>
      <c r="N324" s="246"/>
      <c r="O324" s="142"/>
      <c r="P324" s="213"/>
    </row>
    <row r="325" ht="15.75" customHeight="1">
      <c r="A325" s="142"/>
      <c r="B325" s="142"/>
      <c r="C325" s="160"/>
      <c r="D325" s="160"/>
      <c r="E325" s="142"/>
      <c r="F325" s="161"/>
      <c r="G325" s="142"/>
      <c r="H325" s="142"/>
      <c r="I325" s="142"/>
      <c r="J325" s="245"/>
      <c r="K325" s="142"/>
      <c r="L325" s="245"/>
      <c r="M325" s="167"/>
      <c r="N325" s="246"/>
      <c r="O325" s="142"/>
      <c r="P325" s="213"/>
    </row>
    <row r="326" ht="15.75" customHeight="1">
      <c r="A326" s="142"/>
      <c r="B326" s="142"/>
      <c r="C326" s="160"/>
      <c r="D326" s="160"/>
      <c r="E326" s="142"/>
      <c r="F326" s="161"/>
      <c r="G326" s="142"/>
      <c r="H326" s="142"/>
      <c r="I326" s="142"/>
      <c r="J326" s="245"/>
      <c r="K326" s="142"/>
      <c r="L326" s="245"/>
      <c r="M326" s="167"/>
      <c r="N326" s="246"/>
      <c r="O326" s="142"/>
      <c r="P326" s="213"/>
    </row>
    <row r="327" ht="15.75" customHeight="1">
      <c r="A327" s="142"/>
      <c r="B327" s="142"/>
      <c r="C327" s="160"/>
      <c r="D327" s="160"/>
      <c r="E327" s="142"/>
      <c r="F327" s="161"/>
      <c r="G327" s="142"/>
      <c r="H327" s="142"/>
      <c r="I327" s="142"/>
      <c r="J327" s="245"/>
      <c r="K327" s="142"/>
      <c r="L327" s="245"/>
      <c r="M327" s="167"/>
      <c r="N327" s="246"/>
      <c r="O327" s="142"/>
      <c r="P327" s="213"/>
    </row>
    <row r="328" ht="15.75" customHeight="1">
      <c r="A328" s="142"/>
      <c r="B328" s="142"/>
      <c r="C328" s="160"/>
      <c r="D328" s="160"/>
      <c r="E328" s="142"/>
      <c r="F328" s="161"/>
      <c r="G328" s="142"/>
      <c r="H328" s="142"/>
      <c r="I328" s="142"/>
      <c r="J328" s="245"/>
      <c r="K328" s="142"/>
      <c r="L328" s="245"/>
      <c r="M328" s="167"/>
      <c r="N328" s="246"/>
      <c r="O328" s="142"/>
      <c r="P328" s="213"/>
    </row>
    <row r="329" ht="15.75" customHeight="1">
      <c r="A329" s="142"/>
      <c r="B329" s="142"/>
      <c r="C329" s="160"/>
      <c r="D329" s="160"/>
      <c r="E329" s="142"/>
      <c r="F329" s="161"/>
      <c r="G329" s="142"/>
      <c r="H329" s="142"/>
      <c r="I329" s="142"/>
      <c r="J329" s="245"/>
      <c r="K329" s="142"/>
      <c r="L329" s="245"/>
      <c r="M329" s="167"/>
      <c r="N329" s="246"/>
      <c r="O329" s="142"/>
      <c r="P329" s="213"/>
    </row>
    <row r="330" ht="15.75" customHeight="1">
      <c r="A330" s="142"/>
      <c r="B330" s="142"/>
      <c r="C330" s="160"/>
      <c r="D330" s="160"/>
      <c r="E330" s="142"/>
      <c r="F330" s="161"/>
      <c r="G330" s="142"/>
      <c r="H330" s="142"/>
      <c r="I330" s="142"/>
      <c r="J330" s="245"/>
      <c r="K330" s="142"/>
      <c r="L330" s="245"/>
      <c r="M330" s="167"/>
      <c r="N330" s="246"/>
      <c r="O330" s="142"/>
      <c r="P330" s="213"/>
    </row>
    <row r="331" ht="15.75" customHeight="1">
      <c r="A331" s="142"/>
      <c r="B331" s="142"/>
      <c r="C331" s="160"/>
      <c r="D331" s="160"/>
      <c r="E331" s="142"/>
      <c r="F331" s="161"/>
      <c r="G331" s="142"/>
      <c r="H331" s="142"/>
      <c r="I331" s="142"/>
      <c r="J331" s="245"/>
      <c r="K331" s="142"/>
      <c r="L331" s="245"/>
      <c r="M331" s="167"/>
      <c r="N331" s="246"/>
      <c r="O331" s="142"/>
      <c r="P331" s="213"/>
    </row>
    <row r="332" ht="15.75" customHeight="1">
      <c r="A332" s="142"/>
      <c r="B332" s="142"/>
      <c r="C332" s="160"/>
      <c r="D332" s="160"/>
      <c r="E332" s="142"/>
      <c r="F332" s="161"/>
      <c r="G332" s="142"/>
      <c r="H332" s="142"/>
      <c r="I332" s="142"/>
      <c r="J332" s="245"/>
      <c r="K332" s="142"/>
      <c r="L332" s="245"/>
      <c r="M332" s="167"/>
      <c r="N332" s="246"/>
      <c r="O332" s="142"/>
      <c r="P332" s="213"/>
    </row>
    <row r="333" ht="15.75" customHeight="1">
      <c r="A333" s="142"/>
      <c r="B333" s="142"/>
      <c r="C333" s="160"/>
      <c r="D333" s="160"/>
      <c r="E333" s="142"/>
      <c r="F333" s="161"/>
      <c r="G333" s="142"/>
      <c r="H333" s="142"/>
      <c r="I333" s="142"/>
      <c r="J333" s="245"/>
      <c r="K333" s="142"/>
      <c r="L333" s="245"/>
      <c r="M333" s="167"/>
      <c r="N333" s="246"/>
      <c r="O333" s="142"/>
      <c r="P333" s="213"/>
    </row>
    <row r="334" ht="15.75" customHeight="1">
      <c r="A334" s="142"/>
      <c r="B334" s="142"/>
      <c r="C334" s="160"/>
      <c r="D334" s="160"/>
      <c r="E334" s="142"/>
      <c r="F334" s="161"/>
      <c r="G334" s="142"/>
      <c r="H334" s="142"/>
      <c r="I334" s="142"/>
      <c r="J334" s="245"/>
      <c r="K334" s="142"/>
      <c r="L334" s="245"/>
      <c r="M334" s="167"/>
      <c r="N334" s="246"/>
      <c r="O334" s="142"/>
      <c r="P334" s="213"/>
    </row>
    <row r="335" ht="15.75" customHeight="1">
      <c r="A335" s="142"/>
      <c r="B335" s="142"/>
      <c r="C335" s="160"/>
      <c r="D335" s="160"/>
      <c r="E335" s="142"/>
      <c r="F335" s="161"/>
      <c r="G335" s="142"/>
      <c r="H335" s="142"/>
      <c r="I335" s="142"/>
      <c r="J335" s="245"/>
      <c r="K335" s="142"/>
      <c r="L335" s="245"/>
      <c r="M335" s="167"/>
      <c r="N335" s="246"/>
      <c r="O335" s="142"/>
      <c r="P335" s="213"/>
    </row>
    <row r="336" ht="15.75" customHeight="1">
      <c r="A336" s="142"/>
      <c r="B336" s="142"/>
      <c r="C336" s="160"/>
      <c r="D336" s="160"/>
      <c r="E336" s="142"/>
      <c r="F336" s="161"/>
      <c r="G336" s="142"/>
      <c r="H336" s="142"/>
      <c r="I336" s="142"/>
      <c r="J336" s="245"/>
      <c r="K336" s="142"/>
      <c r="L336" s="245"/>
      <c r="M336" s="167"/>
      <c r="N336" s="246"/>
      <c r="O336" s="142"/>
      <c r="P336" s="213"/>
    </row>
    <row r="337" ht="15.75" customHeight="1">
      <c r="A337" s="142"/>
      <c r="B337" s="142"/>
      <c r="C337" s="160"/>
      <c r="D337" s="160"/>
      <c r="E337" s="142"/>
      <c r="F337" s="161"/>
      <c r="G337" s="142"/>
      <c r="H337" s="142"/>
      <c r="I337" s="142"/>
      <c r="J337" s="245"/>
      <c r="K337" s="142"/>
      <c r="L337" s="245"/>
      <c r="M337" s="167"/>
      <c r="N337" s="246"/>
      <c r="O337" s="142"/>
      <c r="P337" s="213"/>
    </row>
    <row r="338" ht="15.75" customHeight="1">
      <c r="A338" s="142"/>
      <c r="B338" s="142"/>
      <c r="C338" s="160"/>
      <c r="D338" s="160"/>
      <c r="E338" s="142"/>
      <c r="F338" s="161"/>
      <c r="G338" s="142"/>
      <c r="H338" s="142"/>
      <c r="I338" s="142"/>
      <c r="J338" s="245"/>
      <c r="K338" s="142"/>
      <c r="L338" s="245"/>
      <c r="M338" s="167"/>
      <c r="N338" s="246"/>
      <c r="O338" s="142"/>
      <c r="P338" s="213"/>
    </row>
    <row r="339" ht="15.75" customHeight="1">
      <c r="A339" s="142"/>
      <c r="B339" s="142"/>
      <c r="C339" s="160"/>
      <c r="D339" s="160"/>
      <c r="E339" s="142"/>
      <c r="F339" s="161"/>
      <c r="G339" s="142"/>
      <c r="H339" s="142"/>
      <c r="I339" s="142"/>
      <c r="J339" s="245"/>
      <c r="K339" s="142"/>
      <c r="L339" s="245"/>
      <c r="M339" s="167"/>
      <c r="N339" s="246"/>
      <c r="O339" s="142"/>
      <c r="P339" s="213"/>
    </row>
    <row r="340" ht="15.75" customHeight="1">
      <c r="A340" s="142"/>
      <c r="B340" s="142"/>
      <c r="C340" s="160"/>
      <c r="D340" s="160"/>
      <c r="E340" s="142"/>
      <c r="F340" s="161"/>
      <c r="G340" s="142"/>
      <c r="H340" s="142"/>
      <c r="I340" s="142"/>
      <c r="J340" s="245"/>
      <c r="K340" s="142"/>
      <c r="L340" s="245"/>
      <c r="M340" s="167"/>
      <c r="N340" s="246"/>
      <c r="O340" s="142"/>
      <c r="P340" s="213"/>
    </row>
    <row r="341" ht="15.75" customHeight="1">
      <c r="A341" s="142"/>
      <c r="B341" s="142"/>
      <c r="C341" s="160"/>
      <c r="D341" s="160"/>
      <c r="E341" s="142"/>
      <c r="F341" s="161"/>
      <c r="G341" s="142"/>
      <c r="H341" s="142"/>
      <c r="I341" s="142"/>
      <c r="J341" s="245"/>
      <c r="K341" s="142"/>
      <c r="L341" s="245"/>
      <c r="M341" s="167"/>
      <c r="N341" s="246"/>
      <c r="O341" s="142"/>
      <c r="P341" s="213"/>
    </row>
    <row r="342" ht="15.75" customHeight="1">
      <c r="A342" s="142"/>
      <c r="B342" s="142"/>
      <c r="C342" s="160"/>
      <c r="D342" s="160"/>
      <c r="E342" s="142"/>
      <c r="F342" s="161"/>
      <c r="G342" s="142"/>
      <c r="H342" s="142"/>
      <c r="I342" s="142"/>
      <c r="J342" s="245"/>
      <c r="K342" s="142"/>
      <c r="L342" s="245"/>
      <c r="M342" s="167"/>
      <c r="N342" s="246"/>
      <c r="O342" s="142"/>
      <c r="P342" s="213"/>
    </row>
    <row r="343" ht="15.75" customHeight="1">
      <c r="A343" s="142"/>
      <c r="B343" s="142"/>
      <c r="C343" s="160"/>
      <c r="D343" s="160"/>
      <c r="E343" s="142"/>
      <c r="F343" s="161"/>
      <c r="G343" s="142"/>
      <c r="H343" s="142"/>
      <c r="I343" s="142"/>
      <c r="J343" s="245"/>
      <c r="K343" s="142"/>
      <c r="L343" s="245"/>
      <c r="M343" s="167"/>
      <c r="N343" s="246"/>
      <c r="O343" s="142"/>
      <c r="P343" s="213"/>
    </row>
    <row r="344" ht="15.75" customHeight="1">
      <c r="A344" s="142"/>
      <c r="B344" s="142"/>
      <c r="C344" s="160"/>
      <c r="D344" s="160"/>
      <c r="E344" s="142"/>
      <c r="F344" s="161"/>
      <c r="G344" s="142"/>
      <c r="H344" s="142"/>
      <c r="I344" s="142"/>
      <c r="J344" s="245"/>
      <c r="K344" s="142"/>
      <c r="L344" s="245"/>
      <c r="M344" s="167"/>
      <c r="N344" s="246"/>
      <c r="O344" s="142"/>
      <c r="P344" s="213"/>
    </row>
    <row r="345" ht="15.75" customHeight="1">
      <c r="A345" s="142"/>
      <c r="B345" s="142"/>
      <c r="C345" s="160"/>
      <c r="D345" s="160"/>
      <c r="E345" s="142"/>
      <c r="F345" s="161"/>
      <c r="G345" s="142"/>
      <c r="H345" s="142"/>
      <c r="I345" s="142"/>
      <c r="J345" s="245"/>
      <c r="K345" s="142"/>
      <c r="L345" s="245"/>
      <c r="M345" s="167"/>
      <c r="N345" s="246"/>
      <c r="O345" s="142"/>
      <c r="P345" s="213"/>
    </row>
    <row r="346" ht="15.75" customHeight="1">
      <c r="A346" s="142"/>
      <c r="B346" s="142"/>
      <c r="C346" s="160"/>
      <c r="D346" s="160"/>
      <c r="E346" s="142"/>
      <c r="F346" s="161"/>
      <c r="G346" s="142"/>
      <c r="H346" s="142"/>
      <c r="I346" s="142"/>
      <c r="J346" s="245"/>
      <c r="K346" s="142"/>
      <c r="L346" s="245"/>
      <c r="M346" s="167"/>
      <c r="N346" s="246"/>
      <c r="O346" s="142"/>
      <c r="P346" s="213"/>
    </row>
    <row r="347" ht="15.75" customHeight="1">
      <c r="A347" s="142"/>
      <c r="B347" s="142"/>
      <c r="C347" s="160"/>
      <c r="D347" s="160"/>
      <c r="E347" s="142"/>
      <c r="F347" s="161"/>
      <c r="G347" s="142"/>
      <c r="H347" s="142"/>
      <c r="I347" s="142"/>
      <c r="J347" s="245"/>
      <c r="K347" s="142"/>
      <c r="L347" s="245"/>
      <c r="M347" s="167"/>
      <c r="N347" s="246"/>
      <c r="O347" s="142"/>
      <c r="P347" s="213"/>
    </row>
    <row r="348" ht="15.75" customHeight="1">
      <c r="A348" s="142"/>
      <c r="B348" s="142"/>
      <c r="C348" s="160"/>
      <c r="D348" s="160"/>
      <c r="E348" s="142"/>
      <c r="F348" s="161"/>
      <c r="G348" s="142"/>
      <c r="H348" s="142"/>
      <c r="I348" s="142"/>
      <c r="J348" s="245"/>
      <c r="K348" s="142"/>
      <c r="L348" s="245"/>
      <c r="M348" s="167"/>
      <c r="N348" s="246"/>
      <c r="O348" s="142"/>
      <c r="P348" s="213"/>
    </row>
    <row r="349" ht="15.75" customHeight="1">
      <c r="A349" s="142"/>
      <c r="B349" s="142"/>
      <c r="C349" s="160"/>
      <c r="D349" s="160"/>
      <c r="E349" s="142"/>
      <c r="F349" s="161"/>
      <c r="G349" s="142"/>
      <c r="H349" s="142"/>
      <c r="I349" s="142"/>
      <c r="J349" s="245"/>
      <c r="K349" s="142"/>
      <c r="L349" s="245"/>
      <c r="M349" s="167"/>
      <c r="N349" s="246"/>
      <c r="O349" s="142"/>
      <c r="P349" s="213"/>
    </row>
    <row r="350" ht="15.75" customHeight="1">
      <c r="A350" s="142"/>
      <c r="B350" s="142"/>
      <c r="C350" s="160"/>
      <c r="D350" s="160"/>
      <c r="E350" s="142"/>
      <c r="F350" s="161"/>
      <c r="G350" s="142"/>
      <c r="H350" s="142"/>
      <c r="I350" s="142"/>
      <c r="J350" s="245"/>
      <c r="K350" s="142"/>
      <c r="L350" s="245"/>
      <c r="M350" s="167"/>
      <c r="N350" s="246"/>
      <c r="O350" s="142"/>
      <c r="P350" s="213"/>
    </row>
    <row r="351" ht="15.75" customHeight="1">
      <c r="A351" s="142"/>
      <c r="B351" s="142"/>
      <c r="C351" s="160"/>
      <c r="D351" s="160"/>
      <c r="E351" s="142"/>
      <c r="F351" s="161"/>
      <c r="G351" s="142"/>
      <c r="H351" s="142"/>
      <c r="I351" s="142"/>
      <c r="J351" s="245"/>
      <c r="K351" s="142"/>
      <c r="L351" s="245"/>
      <c r="M351" s="167"/>
      <c r="N351" s="246"/>
      <c r="O351" s="142"/>
      <c r="P351" s="213"/>
    </row>
    <row r="352" ht="15.75" customHeight="1">
      <c r="A352" s="142"/>
      <c r="B352" s="142"/>
      <c r="C352" s="160"/>
      <c r="D352" s="160"/>
      <c r="E352" s="142"/>
      <c r="F352" s="161"/>
      <c r="G352" s="142"/>
      <c r="H352" s="142"/>
      <c r="I352" s="142"/>
      <c r="J352" s="245"/>
      <c r="K352" s="142"/>
      <c r="L352" s="245"/>
      <c r="M352" s="167"/>
      <c r="N352" s="246"/>
      <c r="O352" s="142"/>
      <c r="P352" s="213"/>
    </row>
    <row r="353" ht="15.75" customHeight="1">
      <c r="A353" s="142"/>
      <c r="B353" s="142"/>
      <c r="C353" s="160"/>
      <c r="D353" s="160"/>
      <c r="E353" s="142"/>
      <c r="F353" s="161"/>
      <c r="G353" s="142"/>
      <c r="H353" s="142"/>
      <c r="I353" s="142"/>
      <c r="J353" s="245"/>
      <c r="K353" s="142"/>
      <c r="L353" s="245"/>
      <c r="M353" s="167"/>
      <c r="N353" s="246"/>
      <c r="O353" s="142"/>
      <c r="P353" s="213"/>
    </row>
    <row r="354" ht="15.75" customHeight="1">
      <c r="A354" s="142"/>
      <c r="B354" s="142"/>
      <c r="C354" s="160"/>
      <c r="D354" s="160"/>
      <c r="E354" s="142"/>
      <c r="F354" s="161"/>
      <c r="G354" s="142"/>
      <c r="H354" s="142"/>
      <c r="I354" s="142"/>
      <c r="J354" s="245"/>
      <c r="K354" s="142"/>
      <c r="L354" s="245"/>
      <c r="M354" s="167"/>
      <c r="N354" s="246"/>
      <c r="O354" s="142"/>
      <c r="P354" s="213"/>
    </row>
    <row r="355" ht="15.75" customHeight="1">
      <c r="A355" s="142"/>
      <c r="B355" s="142"/>
      <c r="C355" s="160"/>
      <c r="D355" s="160"/>
      <c r="E355" s="142"/>
      <c r="F355" s="161"/>
      <c r="G355" s="142"/>
      <c r="H355" s="142"/>
      <c r="I355" s="142"/>
      <c r="J355" s="245"/>
      <c r="K355" s="142"/>
      <c r="L355" s="245"/>
      <c r="M355" s="167"/>
      <c r="N355" s="246"/>
      <c r="O355" s="142"/>
      <c r="P355" s="213"/>
    </row>
    <row r="356" ht="15.75" customHeight="1">
      <c r="A356" s="142"/>
      <c r="B356" s="142"/>
      <c r="C356" s="160"/>
      <c r="D356" s="160"/>
      <c r="E356" s="142"/>
      <c r="F356" s="161"/>
      <c r="G356" s="142"/>
      <c r="H356" s="142"/>
      <c r="I356" s="142"/>
      <c r="J356" s="245"/>
      <c r="K356" s="142"/>
      <c r="L356" s="245"/>
      <c r="M356" s="167"/>
      <c r="N356" s="246"/>
      <c r="O356" s="142"/>
      <c r="P356" s="213"/>
    </row>
    <row r="357" ht="15.75" customHeight="1">
      <c r="A357" s="142"/>
      <c r="B357" s="142"/>
      <c r="C357" s="160"/>
      <c r="D357" s="160"/>
      <c r="E357" s="142"/>
      <c r="F357" s="161"/>
      <c r="G357" s="142"/>
      <c r="H357" s="142"/>
      <c r="I357" s="142"/>
      <c r="J357" s="245"/>
      <c r="K357" s="142"/>
      <c r="L357" s="245"/>
      <c r="M357" s="167"/>
      <c r="N357" s="246"/>
      <c r="O357" s="142"/>
      <c r="P357" s="213"/>
    </row>
    <row r="358" ht="15.75" customHeight="1">
      <c r="A358" s="142"/>
      <c r="B358" s="142"/>
      <c r="C358" s="160"/>
      <c r="D358" s="160"/>
      <c r="E358" s="142"/>
      <c r="F358" s="161"/>
      <c r="G358" s="142"/>
      <c r="H358" s="142"/>
      <c r="I358" s="142"/>
      <c r="J358" s="245"/>
      <c r="K358" s="142"/>
      <c r="L358" s="245"/>
      <c r="M358" s="167"/>
      <c r="N358" s="246"/>
      <c r="O358" s="142"/>
      <c r="P358" s="213"/>
    </row>
    <row r="359" ht="15.75" customHeight="1">
      <c r="A359" s="142"/>
      <c r="B359" s="142"/>
      <c r="C359" s="160"/>
      <c r="D359" s="160"/>
      <c r="E359" s="142"/>
      <c r="F359" s="161"/>
      <c r="G359" s="142"/>
      <c r="H359" s="142"/>
      <c r="I359" s="142"/>
      <c r="J359" s="245"/>
      <c r="K359" s="142"/>
      <c r="L359" s="245"/>
      <c r="M359" s="167"/>
      <c r="N359" s="246"/>
      <c r="O359" s="142"/>
      <c r="P359" s="213"/>
    </row>
    <row r="360" ht="15.75" customHeight="1">
      <c r="A360" s="142"/>
      <c r="B360" s="142"/>
      <c r="C360" s="160"/>
      <c r="D360" s="160"/>
      <c r="E360" s="142"/>
      <c r="F360" s="161"/>
      <c r="G360" s="142"/>
      <c r="H360" s="142"/>
      <c r="I360" s="142"/>
      <c r="J360" s="245"/>
      <c r="K360" s="142"/>
      <c r="L360" s="245"/>
      <c r="M360" s="167"/>
      <c r="N360" s="246"/>
      <c r="O360" s="142"/>
      <c r="P360" s="213"/>
    </row>
    <row r="361" ht="15.75" customHeight="1">
      <c r="A361" s="142"/>
      <c r="B361" s="142"/>
      <c r="C361" s="160"/>
      <c r="D361" s="160"/>
      <c r="E361" s="142"/>
      <c r="F361" s="161"/>
      <c r="G361" s="142"/>
      <c r="H361" s="142"/>
      <c r="I361" s="142"/>
      <c r="J361" s="245"/>
      <c r="K361" s="142"/>
      <c r="L361" s="245"/>
      <c r="M361" s="167"/>
      <c r="N361" s="246"/>
      <c r="O361" s="142"/>
      <c r="P361" s="213"/>
    </row>
    <row r="362" ht="15.75" customHeight="1">
      <c r="A362" s="142"/>
      <c r="B362" s="142"/>
      <c r="C362" s="160"/>
      <c r="D362" s="160"/>
      <c r="E362" s="142"/>
      <c r="F362" s="161"/>
      <c r="G362" s="142"/>
      <c r="H362" s="142"/>
      <c r="I362" s="142"/>
      <c r="J362" s="245"/>
      <c r="K362" s="142"/>
      <c r="L362" s="245"/>
      <c r="M362" s="167"/>
      <c r="N362" s="246"/>
      <c r="O362" s="142"/>
      <c r="P362" s="213"/>
    </row>
    <row r="363" ht="15.75" customHeight="1">
      <c r="A363" s="142"/>
      <c r="B363" s="142"/>
      <c r="C363" s="160"/>
      <c r="D363" s="160"/>
      <c r="E363" s="142"/>
      <c r="F363" s="161"/>
      <c r="G363" s="142"/>
      <c r="H363" s="142"/>
      <c r="I363" s="142"/>
      <c r="J363" s="245"/>
      <c r="K363" s="142"/>
      <c r="L363" s="245"/>
      <c r="M363" s="167"/>
      <c r="N363" s="246"/>
      <c r="O363" s="142"/>
      <c r="P363" s="213"/>
    </row>
    <row r="364" ht="15.75" customHeight="1">
      <c r="A364" s="142"/>
      <c r="B364" s="142"/>
      <c r="C364" s="160"/>
      <c r="D364" s="160"/>
      <c r="E364" s="142"/>
      <c r="F364" s="161"/>
      <c r="G364" s="142"/>
      <c r="H364" s="142"/>
      <c r="I364" s="142"/>
      <c r="J364" s="245"/>
      <c r="K364" s="142"/>
      <c r="L364" s="245"/>
      <c r="M364" s="167"/>
      <c r="N364" s="246"/>
      <c r="O364" s="142"/>
      <c r="P364" s="213"/>
    </row>
    <row r="365" ht="15.75" customHeight="1">
      <c r="A365" s="142"/>
      <c r="B365" s="142"/>
      <c r="C365" s="160"/>
      <c r="D365" s="160"/>
      <c r="E365" s="142"/>
      <c r="F365" s="161"/>
      <c r="G365" s="142"/>
      <c r="H365" s="142"/>
      <c r="I365" s="142"/>
      <c r="J365" s="245"/>
      <c r="K365" s="142"/>
      <c r="L365" s="245"/>
      <c r="M365" s="167"/>
      <c r="N365" s="246"/>
      <c r="O365" s="142"/>
      <c r="P365" s="213"/>
    </row>
    <row r="366" ht="15.75" customHeight="1">
      <c r="A366" s="142"/>
      <c r="B366" s="142"/>
      <c r="C366" s="160"/>
      <c r="D366" s="160"/>
      <c r="E366" s="142"/>
      <c r="F366" s="161"/>
      <c r="G366" s="142"/>
      <c r="H366" s="142"/>
      <c r="I366" s="142"/>
      <c r="J366" s="245"/>
      <c r="K366" s="142"/>
      <c r="L366" s="245"/>
      <c r="M366" s="167"/>
      <c r="N366" s="246"/>
      <c r="O366" s="142"/>
      <c r="P366" s="213"/>
    </row>
    <row r="367" ht="15.75" customHeight="1">
      <c r="A367" s="142"/>
      <c r="B367" s="142"/>
      <c r="C367" s="160"/>
      <c r="D367" s="160"/>
      <c r="E367" s="142"/>
      <c r="F367" s="161"/>
      <c r="G367" s="142"/>
      <c r="H367" s="142"/>
      <c r="I367" s="142"/>
      <c r="J367" s="245"/>
      <c r="K367" s="142"/>
      <c r="L367" s="245"/>
      <c r="M367" s="167"/>
      <c r="N367" s="246"/>
      <c r="O367" s="142"/>
      <c r="P367" s="213"/>
    </row>
    <row r="368" ht="15.75" customHeight="1">
      <c r="A368" s="142"/>
      <c r="B368" s="142"/>
      <c r="C368" s="160"/>
      <c r="D368" s="160"/>
      <c r="E368" s="142"/>
      <c r="F368" s="161"/>
      <c r="G368" s="142"/>
      <c r="H368" s="142"/>
      <c r="I368" s="142"/>
      <c r="J368" s="245"/>
      <c r="K368" s="142"/>
      <c r="L368" s="245"/>
      <c r="M368" s="167"/>
      <c r="N368" s="246"/>
      <c r="O368" s="142"/>
      <c r="P368" s="213"/>
    </row>
    <row r="369" ht="15.75" customHeight="1">
      <c r="A369" s="142"/>
      <c r="B369" s="142"/>
      <c r="C369" s="160"/>
      <c r="D369" s="160"/>
      <c r="E369" s="142"/>
      <c r="F369" s="161"/>
      <c r="G369" s="142"/>
      <c r="H369" s="142"/>
      <c r="I369" s="142"/>
      <c r="J369" s="245"/>
      <c r="K369" s="142"/>
      <c r="L369" s="245"/>
      <c r="M369" s="167"/>
      <c r="N369" s="246"/>
      <c r="O369" s="142"/>
      <c r="P369" s="213"/>
    </row>
    <row r="370" ht="15.75" customHeight="1">
      <c r="A370" s="142"/>
      <c r="B370" s="142"/>
      <c r="C370" s="160"/>
      <c r="D370" s="160"/>
      <c r="E370" s="142"/>
      <c r="F370" s="161"/>
      <c r="G370" s="142"/>
      <c r="H370" s="142"/>
      <c r="I370" s="142"/>
      <c r="J370" s="245"/>
      <c r="K370" s="142"/>
      <c r="L370" s="245"/>
      <c r="M370" s="167"/>
      <c r="N370" s="246"/>
      <c r="O370" s="142"/>
      <c r="P370" s="213"/>
    </row>
    <row r="371" ht="15.75" customHeight="1">
      <c r="A371" s="142"/>
      <c r="B371" s="142"/>
      <c r="C371" s="160"/>
      <c r="D371" s="160"/>
      <c r="E371" s="142"/>
      <c r="F371" s="161"/>
      <c r="G371" s="142"/>
      <c r="H371" s="142"/>
      <c r="I371" s="142"/>
      <c r="J371" s="245"/>
      <c r="K371" s="142"/>
      <c r="L371" s="245"/>
      <c r="M371" s="167"/>
      <c r="N371" s="246"/>
      <c r="O371" s="142"/>
      <c r="P371" s="213"/>
    </row>
    <row r="372" ht="15.75" customHeight="1">
      <c r="A372" s="142"/>
      <c r="B372" s="142"/>
      <c r="C372" s="160"/>
      <c r="D372" s="160"/>
      <c r="E372" s="142"/>
      <c r="F372" s="161"/>
      <c r="G372" s="142"/>
      <c r="H372" s="142"/>
      <c r="I372" s="142"/>
      <c r="J372" s="245"/>
      <c r="K372" s="142"/>
      <c r="L372" s="245"/>
      <c r="M372" s="167"/>
      <c r="N372" s="246"/>
      <c r="O372" s="142"/>
      <c r="P372" s="213"/>
    </row>
    <row r="373" ht="15.75" customHeight="1">
      <c r="A373" s="142"/>
      <c r="B373" s="142"/>
      <c r="C373" s="160"/>
      <c r="D373" s="160"/>
      <c r="E373" s="142"/>
      <c r="F373" s="161"/>
      <c r="G373" s="142"/>
      <c r="H373" s="142"/>
      <c r="I373" s="142"/>
      <c r="J373" s="245"/>
      <c r="K373" s="142"/>
      <c r="L373" s="245"/>
      <c r="M373" s="167"/>
      <c r="N373" s="246"/>
      <c r="O373" s="142"/>
      <c r="P373" s="213"/>
    </row>
    <row r="374" ht="15.75" customHeight="1">
      <c r="A374" s="142"/>
      <c r="B374" s="142"/>
      <c r="C374" s="160"/>
      <c r="D374" s="160"/>
      <c r="E374" s="142"/>
      <c r="F374" s="161"/>
      <c r="G374" s="142"/>
      <c r="H374" s="142"/>
      <c r="I374" s="142"/>
      <c r="J374" s="245"/>
      <c r="K374" s="142"/>
      <c r="L374" s="245"/>
      <c r="M374" s="167"/>
      <c r="N374" s="246"/>
      <c r="O374" s="142"/>
      <c r="P374" s="213"/>
    </row>
    <row r="375" ht="15.75" customHeight="1">
      <c r="A375" s="142"/>
      <c r="B375" s="142"/>
      <c r="C375" s="160"/>
      <c r="D375" s="160"/>
      <c r="E375" s="142"/>
      <c r="F375" s="161"/>
      <c r="G375" s="142"/>
      <c r="H375" s="142"/>
      <c r="I375" s="142"/>
      <c r="J375" s="245"/>
      <c r="K375" s="142"/>
      <c r="L375" s="245"/>
      <c r="M375" s="167"/>
      <c r="N375" s="246"/>
      <c r="O375" s="142"/>
      <c r="P375" s="213"/>
    </row>
    <row r="376" ht="15.75" customHeight="1">
      <c r="A376" s="142"/>
      <c r="B376" s="142"/>
      <c r="C376" s="160"/>
      <c r="D376" s="160"/>
      <c r="E376" s="142"/>
      <c r="F376" s="161"/>
      <c r="G376" s="142"/>
      <c r="H376" s="142"/>
      <c r="I376" s="142"/>
      <c r="J376" s="245"/>
      <c r="K376" s="142"/>
      <c r="L376" s="245"/>
      <c r="M376" s="167"/>
      <c r="N376" s="246"/>
      <c r="O376" s="142"/>
      <c r="P376" s="213"/>
    </row>
    <row r="377" ht="15.75" customHeight="1">
      <c r="A377" s="142"/>
      <c r="B377" s="142"/>
      <c r="C377" s="160"/>
      <c r="D377" s="160"/>
      <c r="E377" s="142"/>
      <c r="F377" s="161"/>
      <c r="G377" s="142"/>
      <c r="H377" s="142"/>
      <c r="I377" s="142"/>
      <c r="J377" s="245"/>
      <c r="K377" s="142"/>
      <c r="L377" s="245"/>
      <c r="M377" s="167"/>
      <c r="N377" s="246"/>
      <c r="O377" s="142"/>
      <c r="P377" s="213"/>
    </row>
    <row r="378" ht="15.75" customHeight="1">
      <c r="A378" s="142"/>
      <c r="B378" s="142"/>
      <c r="C378" s="160"/>
      <c r="D378" s="160"/>
      <c r="E378" s="142"/>
      <c r="F378" s="161"/>
      <c r="G378" s="142"/>
      <c r="H378" s="142"/>
      <c r="I378" s="142"/>
      <c r="J378" s="245"/>
      <c r="K378" s="142"/>
      <c r="L378" s="245"/>
      <c r="M378" s="167"/>
      <c r="N378" s="246"/>
      <c r="O378" s="142"/>
      <c r="P378" s="213"/>
    </row>
    <row r="379" ht="15.75" customHeight="1">
      <c r="A379" s="142"/>
      <c r="B379" s="142"/>
      <c r="C379" s="160"/>
      <c r="D379" s="160"/>
      <c r="E379" s="142"/>
      <c r="F379" s="161"/>
      <c r="G379" s="142"/>
      <c r="H379" s="142"/>
      <c r="I379" s="142"/>
      <c r="J379" s="245"/>
      <c r="K379" s="142"/>
      <c r="L379" s="245"/>
      <c r="M379" s="167"/>
      <c r="N379" s="246"/>
      <c r="O379" s="142"/>
      <c r="P379" s="213"/>
    </row>
    <row r="380" ht="15.75" customHeight="1">
      <c r="A380" s="142"/>
      <c r="B380" s="142"/>
      <c r="C380" s="160"/>
      <c r="D380" s="160"/>
      <c r="E380" s="142"/>
      <c r="F380" s="161"/>
      <c r="G380" s="142"/>
      <c r="H380" s="142"/>
      <c r="I380" s="142"/>
      <c r="J380" s="245"/>
      <c r="K380" s="142"/>
      <c r="L380" s="245"/>
      <c r="M380" s="167"/>
      <c r="N380" s="246"/>
      <c r="O380" s="142"/>
      <c r="P380" s="213"/>
    </row>
    <row r="381" ht="15.75" customHeight="1">
      <c r="A381" s="142"/>
      <c r="B381" s="142"/>
      <c r="C381" s="160"/>
      <c r="D381" s="160"/>
      <c r="E381" s="142"/>
      <c r="F381" s="161"/>
      <c r="G381" s="142"/>
      <c r="H381" s="142"/>
      <c r="I381" s="142"/>
      <c r="J381" s="245"/>
      <c r="K381" s="142"/>
      <c r="L381" s="245"/>
      <c r="M381" s="167"/>
      <c r="N381" s="246"/>
      <c r="O381" s="142"/>
      <c r="P381" s="213"/>
    </row>
    <row r="382" ht="15.75" customHeight="1">
      <c r="A382" s="142"/>
      <c r="B382" s="142"/>
      <c r="C382" s="160"/>
      <c r="D382" s="160"/>
      <c r="E382" s="142"/>
      <c r="F382" s="161"/>
      <c r="G382" s="142"/>
      <c r="H382" s="142"/>
      <c r="I382" s="142"/>
      <c r="J382" s="245"/>
      <c r="K382" s="142"/>
      <c r="L382" s="245"/>
      <c r="M382" s="167"/>
      <c r="N382" s="246"/>
      <c r="O382" s="142"/>
      <c r="P382" s="213"/>
    </row>
    <row r="383" ht="15.75" customHeight="1">
      <c r="A383" s="142"/>
      <c r="B383" s="142"/>
      <c r="C383" s="160"/>
      <c r="D383" s="160"/>
      <c r="E383" s="142"/>
      <c r="F383" s="161"/>
      <c r="G383" s="142"/>
      <c r="H383" s="142"/>
      <c r="I383" s="142"/>
      <c r="J383" s="245"/>
      <c r="K383" s="142"/>
      <c r="L383" s="245"/>
      <c r="M383" s="167"/>
      <c r="N383" s="246"/>
      <c r="O383" s="142"/>
      <c r="P383" s="213"/>
    </row>
    <row r="384" ht="15.75" customHeight="1">
      <c r="A384" s="142"/>
      <c r="B384" s="142"/>
      <c r="C384" s="160"/>
      <c r="D384" s="160"/>
      <c r="E384" s="142"/>
      <c r="F384" s="161"/>
      <c r="G384" s="142"/>
      <c r="H384" s="142"/>
      <c r="I384" s="142"/>
      <c r="J384" s="245"/>
      <c r="K384" s="142"/>
      <c r="L384" s="245"/>
      <c r="M384" s="167"/>
      <c r="N384" s="246"/>
      <c r="O384" s="142"/>
      <c r="P384" s="213"/>
    </row>
    <row r="385" ht="15.75" customHeight="1">
      <c r="A385" s="142"/>
      <c r="B385" s="142"/>
      <c r="C385" s="160"/>
      <c r="D385" s="160"/>
      <c r="E385" s="142"/>
      <c r="F385" s="161"/>
      <c r="G385" s="142"/>
      <c r="H385" s="142"/>
      <c r="I385" s="142"/>
      <c r="J385" s="245"/>
      <c r="K385" s="142"/>
      <c r="L385" s="245"/>
      <c r="M385" s="167"/>
      <c r="N385" s="246"/>
      <c r="O385" s="142"/>
      <c r="P385" s="213"/>
    </row>
    <row r="386" ht="15.75" customHeight="1">
      <c r="A386" s="142"/>
      <c r="B386" s="142"/>
      <c r="C386" s="160"/>
      <c r="D386" s="160"/>
      <c r="E386" s="142"/>
      <c r="F386" s="161"/>
      <c r="G386" s="142"/>
      <c r="H386" s="142"/>
      <c r="I386" s="142"/>
      <c r="J386" s="245"/>
      <c r="K386" s="142"/>
      <c r="L386" s="245"/>
      <c r="M386" s="167"/>
      <c r="N386" s="246"/>
      <c r="O386" s="142"/>
      <c r="P386" s="213"/>
    </row>
    <row r="387" ht="15.75" customHeight="1">
      <c r="A387" s="142"/>
      <c r="B387" s="142"/>
      <c r="C387" s="160"/>
      <c r="D387" s="160"/>
      <c r="E387" s="142"/>
      <c r="F387" s="161"/>
      <c r="G387" s="142"/>
      <c r="H387" s="142"/>
      <c r="I387" s="142"/>
      <c r="J387" s="245"/>
      <c r="K387" s="142"/>
      <c r="L387" s="245"/>
      <c r="M387" s="167"/>
      <c r="N387" s="246"/>
      <c r="O387" s="142"/>
      <c r="P387" s="213"/>
    </row>
    <row r="388" ht="15.75" customHeight="1">
      <c r="A388" s="142"/>
      <c r="B388" s="142"/>
      <c r="C388" s="160"/>
      <c r="D388" s="160"/>
      <c r="E388" s="142"/>
      <c r="F388" s="161"/>
      <c r="G388" s="142"/>
      <c r="H388" s="142"/>
      <c r="I388" s="142"/>
      <c r="J388" s="245"/>
      <c r="K388" s="142"/>
      <c r="L388" s="245"/>
      <c r="M388" s="167"/>
      <c r="N388" s="246"/>
      <c r="O388" s="142"/>
      <c r="P388" s="213"/>
    </row>
    <row r="389" ht="15.75" customHeight="1">
      <c r="A389" s="142"/>
      <c r="B389" s="142"/>
      <c r="C389" s="160"/>
      <c r="D389" s="160"/>
      <c r="E389" s="142"/>
      <c r="F389" s="161"/>
      <c r="G389" s="142"/>
      <c r="H389" s="142"/>
      <c r="I389" s="142"/>
      <c r="J389" s="245"/>
      <c r="K389" s="142"/>
      <c r="L389" s="245"/>
      <c r="M389" s="167"/>
      <c r="N389" s="246"/>
      <c r="O389" s="142"/>
      <c r="P389" s="213"/>
    </row>
    <row r="390" ht="15.75" customHeight="1">
      <c r="A390" s="142"/>
      <c r="B390" s="142"/>
      <c r="C390" s="160"/>
      <c r="D390" s="160"/>
      <c r="E390" s="142"/>
      <c r="F390" s="161"/>
      <c r="G390" s="142"/>
      <c r="H390" s="142"/>
      <c r="I390" s="142"/>
      <c r="J390" s="245"/>
      <c r="K390" s="142"/>
      <c r="L390" s="245"/>
      <c r="M390" s="167"/>
      <c r="N390" s="246"/>
      <c r="O390" s="142"/>
      <c r="P390" s="213"/>
    </row>
    <row r="391" ht="15.75" customHeight="1">
      <c r="A391" s="142"/>
      <c r="B391" s="142"/>
      <c r="C391" s="160"/>
      <c r="D391" s="160"/>
      <c r="E391" s="142"/>
      <c r="F391" s="161"/>
      <c r="G391" s="142"/>
      <c r="H391" s="142"/>
      <c r="I391" s="142"/>
      <c r="J391" s="245"/>
      <c r="K391" s="142"/>
      <c r="L391" s="245"/>
      <c r="M391" s="167"/>
      <c r="N391" s="246"/>
      <c r="O391" s="142"/>
      <c r="P391" s="213"/>
    </row>
    <row r="392" ht="15.75" customHeight="1">
      <c r="A392" s="142"/>
      <c r="B392" s="142"/>
      <c r="C392" s="160"/>
      <c r="D392" s="160"/>
      <c r="E392" s="142"/>
      <c r="F392" s="161"/>
      <c r="G392" s="142"/>
      <c r="H392" s="142"/>
      <c r="I392" s="142"/>
      <c r="J392" s="245"/>
      <c r="K392" s="142"/>
      <c r="L392" s="245"/>
      <c r="M392" s="167"/>
      <c r="N392" s="246"/>
      <c r="O392" s="142"/>
      <c r="P392" s="213"/>
    </row>
    <row r="393" ht="15.75" customHeight="1">
      <c r="A393" s="142"/>
      <c r="B393" s="142"/>
      <c r="C393" s="160"/>
      <c r="D393" s="160"/>
      <c r="E393" s="142"/>
      <c r="F393" s="161"/>
      <c r="G393" s="142"/>
      <c r="H393" s="142"/>
      <c r="I393" s="142"/>
      <c r="J393" s="245"/>
      <c r="K393" s="142"/>
      <c r="L393" s="245"/>
      <c r="M393" s="167"/>
      <c r="N393" s="246"/>
      <c r="O393" s="142"/>
      <c r="P393" s="213"/>
    </row>
    <row r="394" ht="15.75" customHeight="1">
      <c r="A394" s="142"/>
      <c r="B394" s="142"/>
      <c r="C394" s="160"/>
      <c r="D394" s="160"/>
      <c r="E394" s="142"/>
      <c r="F394" s="161"/>
      <c r="G394" s="142"/>
      <c r="H394" s="142"/>
      <c r="I394" s="142"/>
      <c r="J394" s="245"/>
      <c r="K394" s="142"/>
      <c r="L394" s="245"/>
      <c r="M394" s="167"/>
      <c r="N394" s="246"/>
      <c r="O394" s="142"/>
      <c r="P394" s="213"/>
    </row>
    <row r="395" ht="15.75" customHeight="1">
      <c r="A395" s="142"/>
      <c r="B395" s="142"/>
      <c r="C395" s="160"/>
      <c r="D395" s="160"/>
      <c r="E395" s="142"/>
      <c r="F395" s="161"/>
      <c r="G395" s="142"/>
      <c r="H395" s="142"/>
      <c r="I395" s="142"/>
      <c r="J395" s="245"/>
      <c r="K395" s="142"/>
      <c r="L395" s="245"/>
      <c r="M395" s="167"/>
      <c r="N395" s="246"/>
      <c r="O395" s="142"/>
      <c r="P395" s="213"/>
    </row>
    <row r="396" ht="15.75" customHeight="1">
      <c r="A396" s="142"/>
      <c r="B396" s="142"/>
      <c r="C396" s="160"/>
      <c r="D396" s="160"/>
      <c r="E396" s="142"/>
      <c r="F396" s="161"/>
      <c r="G396" s="142"/>
      <c r="H396" s="142"/>
      <c r="I396" s="142"/>
      <c r="J396" s="245"/>
      <c r="K396" s="142"/>
      <c r="L396" s="245"/>
      <c r="M396" s="167"/>
      <c r="N396" s="246"/>
      <c r="O396" s="142"/>
      <c r="P396" s="213"/>
    </row>
    <row r="397" ht="15.75" customHeight="1">
      <c r="A397" s="142"/>
      <c r="B397" s="142"/>
      <c r="C397" s="160"/>
      <c r="D397" s="160"/>
      <c r="E397" s="142"/>
      <c r="F397" s="161"/>
      <c r="G397" s="142"/>
      <c r="H397" s="142"/>
      <c r="I397" s="142"/>
      <c r="J397" s="245"/>
      <c r="K397" s="142"/>
      <c r="L397" s="245"/>
      <c r="M397" s="167"/>
      <c r="N397" s="246"/>
      <c r="O397" s="142"/>
      <c r="P397" s="213"/>
    </row>
    <row r="398" ht="15.75" customHeight="1">
      <c r="A398" s="142"/>
      <c r="B398" s="142"/>
      <c r="C398" s="160"/>
      <c r="D398" s="160"/>
      <c r="E398" s="142"/>
      <c r="F398" s="161"/>
      <c r="G398" s="142"/>
      <c r="H398" s="142"/>
      <c r="I398" s="142"/>
      <c r="J398" s="245"/>
      <c r="K398" s="142"/>
      <c r="L398" s="245"/>
      <c r="M398" s="167"/>
      <c r="N398" s="246"/>
      <c r="O398" s="142"/>
      <c r="P398" s="213"/>
    </row>
    <row r="399" ht="15.75" customHeight="1">
      <c r="A399" s="142"/>
      <c r="B399" s="142"/>
      <c r="C399" s="160"/>
      <c r="D399" s="160"/>
      <c r="E399" s="142"/>
      <c r="F399" s="161"/>
      <c r="G399" s="142"/>
      <c r="H399" s="142"/>
      <c r="I399" s="142"/>
      <c r="J399" s="245"/>
      <c r="K399" s="142"/>
      <c r="L399" s="245"/>
      <c r="M399" s="167"/>
      <c r="N399" s="246"/>
      <c r="O399" s="142"/>
      <c r="P399" s="213"/>
    </row>
    <row r="400" ht="15.75" customHeight="1">
      <c r="A400" s="142"/>
      <c r="B400" s="142"/>
      <c r="C400" s="160"/>
      <c r="D400" s="160"/>
      <c r="E400" s="142"/>
      <c r="F400" s="161"/>
      <c r="G400" s="142"/>
      <c r="H400" s="142"/>
      <c r="I400" s="142"/>
      <c r="J400" s="245"/>
      <c r="K400" s="142"/>
      <c r="L400" s="245"/>
      <c r="M400" s="167"/>
      <c r="N400" s="246"/>
      <c r="O400" s="142"/>
      <c r="P400" s="213"/>
    </row>
    <row r="401" ht="15.75" customHeight="1">
      <c r="A401" s="142"/>
      <c r="B401" s="142"/>
      <c r="C401" s="160"/>
      <c r="D401" s="160"/>
      <c r="E401" s="142"/>
      <c r="F401" s="161"/>
      <c r="G401" s="142"/>
      <c r="H401" s="142"/>
      <c r="I401" s="142"/>
      <c r="J401" s="245"/>
      <c r="K401" s="142"/>
      <c r="L401" s="245"/>
      <c r="M401" s="167"/>
      <c r="N401" s="246"/>
      <c r="O401" s="142"/>
      <c r="P401" s="213"/>
    </row>
    <row r="402" ht="15.75" customHeight="1">
      <c r="A402" s="142"/>
      <c r="B402" s="142"/>
      <c r="C402" s="160"/>
      <c r="D402" s="160"/>
      <c r="E402" s="142"/>
      <c r="F402" s="161"/>
      <c r="G402" s="142"/>
      <c r="H402" s="142"/>
      <c r="I402" s="142"/>
      <c r="J402" s="245"/>
      <c r="K402" s="142"/>
      <c r="L402" s="245"/>
      <c r="M402" s="167"/>
      <c r="N402" s="246"/>
      <c r="O402" s="142"/>
      <c r="P402" s="213"/>
    </row>
    <row r="403" ht="15.75" customHeight="1">
      <c r="A403" s="142"/>
      <c r="B403" s="142"/>
      <c r="C403" s="160"/>
      <c r="D403" s="160"/>
      <c r="E403" s="142"/>
      <c r="F403" s="161"/>
      <c r="G403" s="142"/>
      <c r="H403" s="142"/>
      <c r="I403" s="142"/>
      <c r="J403" s="245"/>
      <c r="K403" s="142"/>
      <c r="L403" s="245"/>
      <c r="M403" s="167"/>
      <c r="N403" s="246"/>
      <c r="O403" s="142"/>
      <c r="P403" s="213"/>
    </row>
    <row r="404" ht="15.75" customHeight="1">
      <c r="A404" s="142"/>
      <c r="B404" s="142"/>
      <c r="C404" s="160"/>
      <c r="D404" s="160"/>
      <c r="E404" s="142"/>
      <c r="F404" s="161"/>
      <c r="G404" s="142"/>
      <c r="H404" s="142"/>
      <c r="I404" s="142"/>
      <c r="J404" s="245"/>
      <c r="K404" s="142"/>
      <c r="L404" s="245"/>
      <c r="M404" s="167"/>
      <c r="N404" s="246"/>
      <c r="O404" s="142"/>
      <c r="P404" s="213"/>
    </row>
    <row r="405" ht="15.75" customHeight="1">
      <c r="A405" s="142"/>
      <c r="B405" s="142"/>
      <c r="C405" s="160"/>
      <c r="D405" s="160"/>
      <c r="E405" s="142"/>
      <c r="F405" s="161"/>
      <c r="G405" s="142"/>
      <c r="H405" s="142"/>
      <c r="I405" s="142"/>
      <c r="J405" s="245"/>
      <c r="K405" s="142"/>
      <c r="L405" s="245"/>
      <c r="M405" s="167"/>
      <c r="N405" s="246"/>
      <c r="O405" s="142"/>
      <c r="P405" s="213"/>
    </row>
    <row r="406" ht="15.75" customHeight="1">
      <c r="A406" s="142"/>
      <c r="B406" s="142"/>
      <c r="C406" s="160"/>
      <c r="D406" s="160"/>
      <c r="E406" s="142"/>
      <c r="F406" s="161"/>
      <c r="G406" s="142"/>
      <c r="H406" s="142"/>
      <c r="I406" s="142"/>
      <c r="J406" s="245"/>
      <c r="K406" s="142"/>
      <c r="L406" s="245"/>
      <c r="M406" s="167"/>
      <c r="N406" s="246"/>
      <c r="O406" s="142"/>
      <c r="P406" s="213"/>
    </row>
    <row r="407" ht="15.75" customHeight="1">
      <c r="A407" s="142"/>
      <c r="B407" s="142"/>
      <c r="C407" s="160"/>
      <c r="D407" s="160"/>
      <c r="E407" s="142"/>
      <c r="F407" s="161"/>
      <c r="G407" s="142"/>
      <c r="H407" s="142"/>
      <c r="I407" s="142"/>
      <c r="J407" s="245"/>
      <c r="K407" s="142"/>
      <c r="L407" s="245"/>
      <c r="M407" s="167"/>
      <c r="N407" s="246"/>
      <c r="O407" s="142"/>
      <c r="P407" s="213"/>
    </row>
    <row r="408" ht="15.75" customHeight="1">
      <c r="A408" s="142"/>
      <c r="B408" s="142"/>
      <c r="C408" s="160"/>
      <c r="D408" s="160"/>
      <c r="E408" s="142"/>
      <c r="F408" s="161"/>
      <c r="G408" s="142"/>
      <c r="H408" s="142"/>
      <c r="I408" s="142"/>
      <c r="J408" s="245"/>
      <c r="K408" s="142"/>
      <c r="L408" s="245"/>
      <c r="M408" s="167"/>
      <c r="N408" s="246"/>
      <c r="O408" s="142"/>
      <c r="P408" s="213"/>
    </row>
    <row r="409" ht="15.75" customHeight="1">
      <c r="A409" s="142"/>
      <c r="B409" s="142"/>
      <c r="C409" s="160"/>
      <c r="D409" s="160"/>
      <c r="E409" s="142"/>
      <c r="F409" s="161"/>
      <c r="G409" s="142"/>
      <c r="H409" s="142"/>
      <c r="I409" s="142"/>
      <c r="J409" s="245"/>
      <c r="K409" s="142"/>
      <c r="L409" s="245"/>
      <c r="M409" s="167"/>
      <c r="N409" s="246"/>
      <c r="O409" s="142"/>
      <c r="P409" s="213"/>
    </row>
    <row r="410" ht="15.75" customHeight="1">
      <c r="A410" s="142"/>
      <c r="B410" s="142"/>
      <c r="C410" s="160"/>
      <c r="D410" s="160"/>
      <c r="E410" s="142"/>
      <c r="F410" s="161"/>
      <c r="G410" s="142"/>
      <c r="H410" s="142"/>
      <c r="I410" s="142"/>
      <c r="J410" s="245"/>
      <c r="K410" s="142"/>
      <c r="L410" s="245"/>
      <c r="M410" s="167"/>
      <c r="N410" s="246"/>
      <c r="O410" s="142"/>
      <c r="P410" s="213"/>
    </row>
    <row r="411" ht="15.75" customHeight="1">
      <c r="A411" s="142"/>
      <c r="B411" s="142"/>
      <c r="C411" s="160"/>
      <c r="D411" s="160"/>
      <c r="E411" s="142"/>
      <c r="F411" s="161"/>
      <c r="G411" s="142"/>
      <c r="H411" s="142"/>
      <c r="I411" s="142"/>
      <c r="J411" s="245"/>
      <c r="K411" s="142"/>
      <c r="L411" s="245"/>
      <c r="M411" s="167"/>
      <c r="N411" s="246"/>
      <c r="O411" s="142"/>
      <c r="P411" s="213"/>
    </row>
    <row r="412" ht="15.75" customHeight="1">
      <c r="A412" s="142"/>
      <c r="B412" s="142"/>
      <c r="C412" s="160"/>
      <c r="D412" s="160"/>
      <c r="E412" s="142"/>
      <c r="F412" s="161"/>
      <c r="G412" s="142"/>
      <c r="H412" s="142"/>
      <c r="I412" s="142"/>
      <c r="J412" s="245"/>
      <c r="K412" s="142"/>
      <c r="L412" s="245"/>
      <c r="M412" s="167"/>
      <c r="N412" s="246"/>
      <c r="O412" s="142"/>
      <c r="P412" s="213"/>
    </row>
    <row r="413" ht="15.75" customHeight="1">
      <c r="A413" s="142"/>
      <c r="B413" s="142"/>
      <c r="C413" s="160"/>
      <c r="D413" s="160"/>
      <c r="E413" s="142"/>
      <c r="F413" s="161"/>
      <c r="G413" s="142"/>
      <c r="H413" s="142"/>
      <c r="I413" s="142"/>
      <c r="J413" s="245"/>
      <c r="K413" s="142"/>
      <c r="L413" s="245"/>
      <c r="M413" s="167"/>
      <c r="N413" s="246"/>
      <c r="O413" s="142"/>
      <c r="P413" s="213"/>
    </row>
    <row r="414" ht="15.75" customHeight="1">
      <c r="A414" s="142"/>
      <c r="B414" s="142"/>
      <c r="C414" s="160"/>
      <c r="D414" s="160"/>
      <c r="E414" s="142"/>
      <c r="F414" s="161"/>
      <c r="G414" s="142"/>
      <c r="H414" s="142"/>
      <c r="I414" s="142"/>
      <c r="J414" s="245"/>
      <c r="K414" s="142"/>
      <c r="L414" s="245"/>
      <c r="M414" s="167"/>
      <c r="N414" s="246"/>
      <c r="O414" s="142"/>
      <c r="P414" s="213"/>
    </row>
    <row r="415" ht="15.75" customHeight="1">
      <c r="A415" s="142"/>
      <c r="B415" s="142"/>
      <c r="C415" s="160"/>
      <c r="D415" s="160"/>
      <c r="E415" s="142"/>
      <c r="F415" s="161"/>
      <c r="G415" s="142"/>
      <c r="H415" s="142"/>
      <c r="I415" s="142"/>
      <c r="J415" s="245"/>
      <c r="K415" s="142"/>
      <c r="L415" s="245"/>
      <c r="M415" s="167"/>
      <c r="N415" s="246"/>
      <c r="O415" s="142"/>
      <c r="P415" s="213"/>
    </row>
    <row r="416" ht="15.75" customHeight="1">
      <c r="A416" s="142"/>
      <c r="B416" s="142"/>
      <c r="C416" s="160"/>
      <c r="D416" s="160"/>
      <c r="E416" s="142"/>
      <c r="F416" s="161"/>
      <c r="G416" s="142"/>
      <c r="H416" s="142"/>
      <c r="I416" s="142"/>
      <c r="J416" s="245"/>
      <c r="K416" s="142"/>
      <c r="L416" s="245"/>
      <c r="M416" s="167"/>
      <c r="N416" s="246"/>
      <c r="O416" s="142"/>
      <c r="P416" s="213"/>
    </row>
    <row r="417" ht="15.75" customHeight="1">
      <c r="A417" s="142"/>
      <c r="B417" s="142"/>
      <c r="C417" s="160"/>
      <c r="D417" s="160"/>
      <c r="E417" s="142"/>
      <c r="F417" s="161"/>
      <c r="G417" s="142"/>
      <c r="H417" s="142"/>
      <c r="I417" s="142"/>
      <c r="J417" s="245"/>
      <c r="K417" s="142"/>
      <c r="L417" s="245"/>
      <c r="M417" s="167"/>
      <c r="N417" s="246"/>
      <c r="O417" s="142"/>
      <c r="P417" s="213"/>
    </row>
    <row r="418" ht="15.75" customHeight="1">
      <c r="A418" s="142"/>
      <c r="B418" s="142"/>
      <c r="C418" s="160"/>
      <c r="D418" s="160"/>
      <c r="E418" s="142"/>
      <c r="F418" s="161"/>
      <c r="G418" s="142"/>
      <c r="H418" s="142"/>
      <c r="I418" s="142"/>
      <c r="J418" s="245"/>
      <c r="K418" s="142"/>
      <c r="L418" s="245"/>
      <c r="M418" s="167"/>
      <c r="N418" s="246"/>
      <c r="O418" s="142"/>
      <c r="P418" s="213"/>
    </row>
    <row r="419" ht="15.75" customHeight="1">
      <c r="A419" s="142"/>
      <c r="B419" s="142"/>
      <c r="C419" s="160"/>
      <c r="D419" s="160"/>
      <c r="E419" s="142"/>
      <c r="F419" s="161"/>
      <c r="G419" s="142"/>
      <c r="H419" s="142"/>
      <c r="I419" s="142"/>
      <c r="J419" s="245"/>
      <c r="K419" s="142"/>
      <c r="L419" s="245"/>
      <c r="M419" s="167"/>
      <c r="N419" s="246"/>
      <c r="O419" s="142"/>
      <c r="P419" s="213"/>
    </row>
    <row r="420" ht="15.75" customHeight="1">
      <c r="A420" s="142"/>
      <c r="B420" s="142"/>
      <c r="C420" s="160"/>
      <c r="D420" s="160"/>
      <c r="E420" s="142"/>
      <c r="F420" s="161"/>
      <c r="G420" s="142"/>
      <c r="H420" s="142"/>
      <c r="I420" s="142"/>
      <c r="J420" s="245"/>
      <c r="K420" s="142"/>
      <c r="L420" s="245"/>
      <c r="M420" s="167"/>
      <c r="N420" s="246"/>
      <c r="O420" s="142"/>
      <c r="P420" s="213"/>
    </row>
    <row r="421" ht="15.75" customHeight="1">
      <c r="A421" s="142"/>
      <c r="B421" s="142"/>
      <c r="C421" s="160"/>
      <c r="D421" s="160"/>
      <c r="E421" s="142"/>
      <c r="F421" s="161"/>
      <c r="G421" s="142"/>
      <c r="H421" s="142"/>
      <c r="I421" s="142"/>
      <c r="J421" s="245"/>
      <c r="K421" s="142"/>
      <c r="L421" s="245"/>
      <c r="M421" s="167"/>
      <c r="N421" s="246"/>
      <c r="O421" s="142"/>
      <c r="P421" s="213"/>
    </row>
    <row r="422" ht="15.75" customHeight="1">
      <c r="A422" s="142"/>
      <c r="B422" s="142"/>
      <c r="C422" s="160"/>
      <c r="D422" s="160"/>
      <c r="E422" s="142"/>
      <c r="F422" s="161"/>
      <c r="G422" s="142"/>
      <c r="H422" s="142"/>
      <c r="I422" s="142"/>
      <c r="J422" s="245"/>
      <c r="K422" s="142"/>
      <c r="L422" s="245"/>
      <c r="M422" s="167"/>
      <c r="N422" s="246"/>
      <c r="O422" s="142"/>
      <c r="P422" s="213"/>
    </row>
    <row r="423" ht="15.75" customHeight="1">
      <c r="A423" s="142"/>
      <c r="B423" s="142"/>
      <c r="C423" s="160"/>
      <c r="D423" s="160"/>
      <c r="E423" s="142"/>
      <c r="F423" s="161"/>
      <c r="G423" s="142"/>
      <c r="H423" s="142"/>
      <c r="I423" s="142"/>
      <c r="J423" s="245"/>
      <c r="K423" s="142"/>
      <c r="L423" s="245"/>
      <c r="M423" s="167"/>
      <c r="N423" s="246"/>
      <c r="O423" s="142"/>
      <c r="P423" s="213"/>
    </row>
    <row r="424" ht="15.75" customHeight="1">
      <c r="A424" s="142"/>
      <c r="B424" s="142"/>
      <c r="C424" s="160"/>
      <c r="D424" s="160"/>
      <c r="E424" s="142"/>
      <c r="F424" s="161"/>
      <c r="G424" s="142"/>
      <c r="H424" s="142"/>
      <c r="I424" s="142"/>
      <c r="J424" s="245"/>
      <c r="K424" s="142"/>
      <c r="L424" s="245"/>
      <c r="M424" s="167"/>
      <c r="N424" s="246"/>
      <c r="O424" s="142"/>
      <c r="P424" s="213"/>
    </row>
    <row r="425" ht="15.75" customHeight="1">
      <c r="A425" s="142"/>
      <c r="B425" s="142"/>
      <c r="C425" s="160"/>
      <c r="D425" s="160"/>
      <c r="E425" s="142"/>
      <c r="F425" s="161"/>
      <c r="G425" s="142"/>
      <c r="H425" s="142"/>
      <c r="I425" s="142"/>
      <c r="J425" s="245"/>
      <c r="K425" s="142"/>
      <c r="L425" s="245"/>
      <c r="M425" s="167"/>
      <c r="N425" s="246"/>
      <c r="O425" s="142"/>
      <c r="P425" s="213"/>
    </row>
    <row r="426" ht="15.75" customHeight="1">
      <c r="A426" s="142"/>
      <c r="B426" s="142"/>
      <c r="C426" s="160"/>
      <c r="D426" s="160"/>
      <c r="E426" s="142"/>
      <c r="F426" s="161"/>
      <c r="G426" s="142"/>
      <c r="H426" s="142"/>
      <c r="I426" s="142"/>
      <c r="J426" s="245"/>
      <c r="K426" s="142"/>
      <c r="L426" s="245"/>
      <c r="M426" s="167"/>
      <c r="N426" s="246"/>
      <c r="O426" s="142"/>
      <c r="P426" s="213"/>
    </row>
    <row r="427" ht="15.75" customHeight="1">
      <c r="A427" s="142"/>
      <c r="B427" s="142"/>
      <c r="C427" s="160"/>
      <c r="D427" s="160"/>
      <c r="E427" s="142"/>
      <c r="F427" s="161"/>
      <c r="G427" s="142"/>
      <c r="H427" s="142"/>
      <c r="I427" s="142"/>
      <c r="J427" s="245"/>
      <c r="K427" s="142"/>
      <c r="L427" s="245"/>
      <c r="M427" s="167"/>
      <c r="N427" s="246"/>
      <c r="O427" s="142"/>
      <c r="P427" s="213"/>
    </row>
    <row r="428" ht="15.75" customHeight="1">
      <c r="A428" s="142"/>
      <c r="B428" s="142"/>
      <c r="C428" s="160"/>
      <c r="D428" s="160"/>
      <c r="E428" s="142"/>
      <c r="F428" s="161"/>
      <c r="G428" s="142"/>
      <c r="H428" s="142"/>
      <c r="I428" s="142"/>
      <c r="J428" s="245"/>
      <c r="K428" s="142"/>
      <c r="L428" s="245"/>
      <c r="M428" s="167"/>
      <c r="N428" s="246"/>
      <c r="O428" s="142"/>
      <c r="P428" s="213"/>
    </row>
    <row r="429" ht="15.75" customHeight="1">
      <c r="A429" s="142"/>
      <c r="B429" s="142"/>
      <c r="C429" s="160"/>
      <c r="D429" s="160"/>
      <c r="E429" s="142"/>
      <c r="F429" s="161"/>
      <c r="G429" s="142"/>
      <c r="H429" s="142"/>
      <c r="I429" s="142"/>
      <c r="J429" s="245"/>
      <c r="K429" s="142"/>
      <c r="L429" s="245"/>
      <c r="M429" s="167"/>
      <c r="N429" s="246"/>
      <c r="O429" s="142"/>
      <c r="P429" s="213"/>
    </row>
    <row r="430" ht="15.75" customHeight="1">
      <c r="A430" s="142"/>
      <c r="B430" s="142"/>
      <c r="C430" s="160"/>
      <c r="D430" s="160"/>
      <c r="E430" s="142"/>
      <c r="F430" s="161"/>
      <c r="G430" s="142"/>
      <c r="H430" s="142"/>
      <c r="I430" s="142"/>
      <c r="J430" s="245"/>
      <c r="K430" s="142"/>
      <c r="L430" s="245"/>
      <c r="M430" s="167"/>
      <c r="N430" s="246"/>
      <c r="O430" s="142"/>
      <c r="P430" s="213"/>
    </row>
    <row r="431" ht="15.75" customHeight="1">
      <c r="A431" s="142"/>
      <c r="B431" s="142"/>
      <c r="C431" s="160"/>
      <c r="D431" s="160"/>
      <c r="E431" s="142"/>
      <c r="F431" s="161"/>
      <c r="G431" s="142"/>
      <c r="H431" s="142"/>
      <c r="I431" s="142"/>
      <c r="J431" s="245"/>
      <c r="K431" s="142"/>
      <c r="L431" s="245"/>
      <c r="M431" s="167"/>
      <c r="N431" s="246"/>
      <c r="O431" s="142"/>
      <c r="P431" s="213"/>
    </row>
    <row r="432" ht="15.75" customHeight="1">
      <c r="A432" s="142"/>
      <c r="B432" s="142"/>
      <c r="C432" s="160"/>
      <c r="D432" s="160"/>
      <c r="E432" s="142"/>
      <c r="F432" s="161"/>
      <c r="G432" s="142"/>
      <c r="H432" s="142"/>
      <c r="I432" s="142"/>
      <c r="J432" s="245"/>
      <c r="K432" s="142"/>
      <c r="L432" s="245"/>
      <c r="M432" s="167"/>
      <c r="N432" s="246"/>
      <c r="O432" s="142"/>
      <c r="P432" s="213"/>
    </row>
    <row r="433" ht="15.75" customHeight="1">
      <c r="A433" s="142"/>
      <c r="B433" s="142"/>
      <c r="C433" s="160"/>
      <c r="D433" s="160"/>
      <c r="E433" s="142"/>
      <c r="F433" s="161"/>
      <c r="G433" s="142"/>
      <c r="H433" s="142"/>
      <c r="I433" s="142"/>
      <c r="J433" s="245"/>
      <c r="K433" s="142"/>
      <c r="L433" s="245"/>
      <c r="M433" s="167"/>
      <c r="N433" s="246"/>
      <c r="O433" s="142"/>
      <c r="P433" s="213"/>
    </row>
    <row r="434" ht="15.75" customHeight="1">
      <c r="A434" s="142"/>
      <c r="B434" s="142"/>
      <c r="C434" s="160"/>
      <c r="D434" s="160"/>
      <c r="E434" s="142"/>
      <c r="F434" s="161"/>
      <c r="G434" s="142"/>
      <c r="H434" s="142"/>
      <c r="I434" s="142"/>
      <c r="J434" s="245"/>
      <c r="K434" s="142"/>
      <c r="L434" s="245"/>
      <c r="M434" s="167"/>
      <c r="N434" s="246"/>
      <c r="O434" s="142"/>
      <c r="P434" s="213"/>
    </row>
    <row r="435" ht="15.75" customHeight="1">
      <c r="A435" s="142"/>
      <c r="B435" s="142"/>
      <c r="C435" s="160"/>
      <c r="D435" s="160"/>
      <c r="E435" s="142"/>
      <c r="F435" s="161"/>
      <c r="G435" s="142"/>
      <c r="H435" s="142"/>
      <c r="I435" s="142"/>
      <c r="J435" s="245"/>
      <c r="K435" s="142"/>
      <c r="L435" s="245"/>
      <c r="M435" s="167"/>
      <c r="N435" s="246"/>
      <c r="O435" s="142"/>
      <c r="P435" s="213"/>
    </row>
    <row r="436" ht="15.75" customHeight="1">
      <c r="A436" s="142"/>
      <c r="B436" s="142"/>
      <c r="C436" s="160"/>
      <c r="D436" s="160"/>
      <c r="E436" s="142"/>
      <c r="F436" s="161"/>
      <c r="G436" s="142"/>
      <c r="H436" s="142"/>
      <c r="I436" s="142"/>
      <c r="J436" s="245"/>
      <c r="K436" s="142"/>
      <c r="L436" s="245"/>
      <c r="M436" s="167"/>
      <c r="N436" s="246"/>
      <c r="O436" s="142"/>
      <c r="P436" s="213"/>
    </row>
    <row r="437" ht="15.75" customHeight="1">
      <c r="A437" s="142"/>
      <c r="B437" s="142"/>
      <c r="C437" s="160"/>
      <c r="D437" s="160"/>
      <c r="E437" s="142"/>
      <c r="F437" s="161"/>
      <c r="G437" s="142"/>
      <c r="H437" s="142"/>
      <c r="I437" s="142"/>
      <c r="J437" s="245"/>
      <c r="K437" s="142"/>
      <c r="L437" s="245"/>
      <c r="M437" s="167"/>
      <c r="N437" s="246"/>
      <c r="O437" s="142"/>
      <c r="P437" s="213"/>
    </row>
    <row r="438" ht="15.75" customHeight="1">
      <c r="A438" s="142"/>
      <c r="B438" s="142"/>
      <c r="C438" s="160"/>
      <c r="D438" s="160"/>
      <c r="E438" s="142"/>
      <c r="F438" s="161"/>
      <c r="G438" s="142"/>
      <c r="H438" s="142"/>
      <c r="I438" s="142"/>
      <c r="J438" s="245"/>
      <c r="K438" s="142"/>
      <c r="L438" s="245"/>
      <c r="M438" s="167"/>
      <c r="N438" s="246"/>
      <c r="O438" s="142"/>
      <c r="P438" s="213"/>
    </row>
    <row r="439" ht="15.75" customHeight="1">
      <c r="A439" s="142"/>
      <c r="B439" s="142"/>
      <c r="C439" s="160"/>
      <c r="D439" s="160"/>
      <c r="E439" s="142"/>
      <c r="F439" s="161"/>
      <c r="G439" s="142"/>
      <c r="H439" s="142"/>
      <c r="I439" s="142"/>
      <c r="J439" s="245"/>
      <c r="K439" s="142"/>
      <c r="L439" s="245"/>
      <c r="M439" s="167"/>
      <c r="N439" s="246"/>
      <c r="O439" s="142"/>
      <c r="P439" s="213"/>
    </row>
    <row r="440" ht="15.75" customHeight="1">
      <c r="A440" s="142"/>
      <c r="B440" s="142"/>
      <c r="C440" s="160"/>
      <c r="D440" s="160"/>
      <c r="E440" s="142"/>
      <c r="F440" s="161"/>
      <c r="G440" s="142"/>
      <c r="H440" s="142"/>
      <c r="I440" s="142"/>
      <c r="J440" s="245"/>
      <c r="K440" s="142"/>
      <c r="L440" s="245"/>
      <c r="M440" s="167"/>
      <c r="N440" s="246"/>
      <c r="O440" s="142"/>
      <c r="P440" s="213"/>
    </row>
    <row r="441" ht="15.75" customHeight="1">
      <c r="A441" s="142"/>
      <c r="B441" s="142"/>
      <c r="C441" s="160"/>
      <c r="D441" s="160"/>
      <c r="E441" s="142"/>
      <c r="F441" s="161"/>
      <c r="G441" s="142"/>
      <c r="H441" s="142"/>
      <c r="I441" s="142"/>
      <c r="J441" s="245"/>
      <c r="K441" s="142"/>
      <c r="L441" s="245"/>
      <c r="M441" s="167"/>
      <c r="N441" s="246"/>
      <c r="O441" s="142"/>
      <c r="P441" s="213"/>
    </row>
    <row r="442" ht="15.75" customHeight="1">
      <c r="A442" s="142"/>
      <c r="B442" s="142"/>
      <c r="C442" s="160"/>
      <c r="D442" s="160"/>
      <c r="E442" s="142"/>
      <c r="F442" s="161"/>
      <c r="G442" s="142"/>
      <c r="H442" s="142"/>
      <c r="I442" s="142"/>
      <c r="J442" s="245"/>
      <c r="K442" s="142"/>
      <c r="L442" s="245"/>
      <c r="M442" s="167"/>
      <c r="N442" s="246"/>
      <c r="O442" s="142"/>
      <c r="P442" s="213"/>
    </row>
    <row r="443" ht="15.75" customHeight="1">
      <c r="A443" s="142"/>
      <c r="B443" s="142"/>
      <c r="C443" s="160"/>
      <c r="D443" s="160"/>
      <c r="E443" s="142"/>
      <c r="F443" s="161"/>
      <c r="G443" s="142"/>
      <c r="H443" s="142"/>
      <c r="I443" s="142"/>
      <c r="J443" s="245"/>
      <c r="K443" s="142"/>
      <c r="L443" s="245"/>
      <c r="M443" s="167"/>
      <c r="N443" s="246"/>
      <c r="O443" s="142"/>
      <c r="P443" s="213"/>
    </row>
    <row r="444" ht="15.75" customHeight="1">
      <c r="A444" s="142"/>
      <c r="B444" s="142"/>
      <c r="C444" s="160"/>
      <c r="D444" s="160"/>
      <c r="E444" s="142"/>
      <c r="F444" s="161"/>
      <c r="G444" s="142"/>
      <c r="H444" s="142"/>
      <c r="I444" s="142"/>
      <c r="J444" s="245"/>
      <c r="K444" s="142"/>
      <c r="L444" s="245"/>
      <c r="M444" s="167"/>
      <c r="N444" s="246"/>
      <c r="O444" s="142"/>
      <c r="P444" s="213"/>
    </row>
    <row r="445" ht="15.75" customHeight="1">
      <c r="A445" s="142"/>
      <c r="B445" s="142"/>
      <c r="C445" s="160"/>
      <c r="D445" s="160"/>
      <c r="E445" s="142"/>
      <c r="F445" s="161"/>
      <c r="G445" s="142"/>
      <c r="H445" s="142"/>
      <c r="I445" s="142"/>
      <c r="J445" s="245"/>
      <c r="K445" s="142"/>
      <c r="L445" s="245"/>
      <c r="M445" s="167"/>
      <c r="N445" s="246"/>
      <c r="O445" s="142"/>
      <c r="P445" s="213"/>
    </row>
    <row r="446" ht="15.75" customHeight="1">
      <c r="A446" s="142"/>
      <c r="B446" s="142"/>
      <c r="C446" s="160"/>
      <c r="D446" s="160"/>
      <c r="E446" s="142"/>
      <c r="F446" s="161"/>
      <c r="G446" s="142"/>
      <c r="H446" s="142"/>
      <c r="I446" s="142"/>
      <c r="J446" s="245"/>
      <c r="K446" s="142"/>
      <c r="L446" s="245"/>
      <c r="M446" s="167"/>
      <c r="N446" s="246"/>
      <c r="O446" s="142"/>
      <c r="P446" s="213"/>
    </row>
    <row r="447" ht="15.75" customHeight="1">
      <c r="A447" s="142"/>
      <c r="B447" s="142"/>
      <c r="C447" s="160"/>
      <c r="D447" s="160"/>
      <c r="E447" s="142"/>
      <c r="F447" s="161"/>
      <c r="G447" s="142"/>
      <c r="H447" s="142"/>
      <c r="I447" s="142"/>
      <c r="J447" s="245"/>
      <c r="K447" s="142"/>
      <c r="L447" s="245"/>
      <c r="M447" s="167"/>
      <c r="N447" s="246"/>
      <c r="O447" s="142"/>
      <c r="P447" s="213"/>
    </row>
    <row r="448" ht="15.75" customHeight="1">
      <c r="A448" s="142"/>
      <c r="B448" s="142"/>
      <c r="C448" s="160"/>
      <c r="D448" s="160"/>
      <c r="E448" s="142"/>
      <c r="F448" s="161"/>
      <c r="G448" s="142"/>
      <c r="H448" s="142"/>
      <c r="I448" s="142"/>
      <c r="J448" s="245"/>
      <c r="K448" s="142"/>
      <c r="L448" s="245"/>
      <c r="M448" s="167"/>
      <c r="N448" s="246"/>
      <c r="O448" s="142"/>
      <c r="P448" s="213"/>
    </row>
    <row r="449" ht="15.75" customHeight="1">
      <c r="A449" s="142"/>
      <c r="B449" s="142"/>
      <c r="C449" s="160"/>
      <c r="D449" s="160"/>
      <c r="E449" s="142"/>
      <c r="F449" s="161"/>
      <c r="G449" s="142"/>
      <c r="H449" s="142"/>
      <c r="I449" s="142"/>
      <c r="J449" s="245"/>
      <c r="K449" s="142"/>
      <c r="L449" s="245"/>
      <c r="M449" s="167"/>
      <c r="N449" s="246"/>
      <c r="O449" s="142"/>
      <c r="P449" s="213"/>
    </row>
    <row r="450" ht="15.75" customHeight="1">
      <c r="A450" s="142"/>
      <c r="B450" s="142"/>
      <c r="C450" s="160"/>
      <c r="D450" s="160"/>
      <c r="E450" s="142"/>
      <c r="F450" s="161"/>
      <c r="G450" s="142"/>
      <c r="H450" s="142"/>
      <c r="I450" s="142"/>
      <c r="J450" s="245"/>
      <c r="K450" s="142"/>
      <c r="L450" s="245"/>
      <c r="M450" s="167"/>
      <c r="N450" s="246"/>
      <c r="O450" s="142"/>
      <c r="P450" s="213"/>
    </row>
    <row r="451" ht="15.75" customHeight="1">
      <c r="A451" s="142"/>
      <c r="B451" s="142"/>
      <c r="C451" s="160"/>
      <c r="D451" s="160"/>
      <c r="E451" s="142"/>
      <c r="F451" s="161"/>
      <c r="G451" s="142"/>
      <c r="H451" s="142"/>
      <c r="I451" s="142"/>
      <c r="J451" s="245"/>
      <c r="K451" s="142"/>
      <c r="L451" s="245"/>
      <c r="M451" s="167"/>
      <c r="N451" s="246"/>
      <c r="O451" s="142"/>
      <c r="P451" s="213"/>
    </row>
    <row r="452" ht="15.75" customHeight="1">
      <c r="A452" s="142"/>
      <c r="B452" s="142"/>
      <c r="C452" s="160"/>
      <c r="D452" s="160"/>
      <c r="E452" s="142"/>
      <c r="F452" s="161"/>
      <c r="G452" s="142"/>
      <c r="H452" s="142"/>
      <c r="I452" s="142"/>
      <c r="J452" s="245"/>
      <c r="K452" s="142"/>
      <c r="L452" s="245"/>
      <c r="M452" s="167"/>
      <c r="N452" s="246"/>
      <c r="O452" s="142"/>
      <c r="P452" s="213"/>
    </row>
    <row r="453" ht="15.75" customHeight="1">
      <c r="A453" s="142"/>
      <c r="B453" s="142"/>
      <c r="C453" s="160"/>
      <c r="D453" s="160"/>
      <c r="E453" s="142"/>
      <c r="F453" s="161"/>
      <c r="G453" s="142"/>
      <c r="H453" s="142"/>
      <c r="I453" s="142"/>
      <c r="J453" s="245"/>
      <c r="K453" s="142"/>
      <c r="L453" s="245"/>
      <c r="M453" s="167"/>
      <c r="N453" s="246"/>
      <c r="O453" s="142"/>
      <c r="P453" s="213"/>
    </row>
    <row r="454" ht="15.75" customHeight="1">
      <c r="A454" s="142"/>
      <c r="B454" s="142"/>
      <c r="C454" s="160"/>
      <c r="D454" s="160"/>
      <c r="E454" s="142"/>
      <c r="F454" s="161"/>
      <c r="G454" s="142"/>
      <c r="H454" s="142"/>
      <c r="I454" s="142"/>
      <c r="J454" s="245"/>
      <c r="K454" s="142"/>
      <c r="L454" s="245"/>
      <c r="M454" s="167"/>
      <c r="N454" s="246"/>
      <c r="O454" s="142"/>
      <c r="P454" s="213"/>
    </row>
    <row r="455" ht="15.75" customHeight="1">
      <c r="A455" s="142"/>
      <c r="B455" s="142"/>
      <c r="C455" s="160"/>
      <c r="D455" s="160"/>
      <c r="E455" s="142"/>
      <c r="F455" s="161"/>
      <c r="G455" s="142"/>
      <c r="H455" s="142"/>
      <c r="I455" s="142"/>
      <c r="J455" s="245"/>
      <c r="K455" s="142"/>
      <c r="L455" s="245"/>
      <c r="M455" s="167"/>
      <c r="N455" s="246"/>
      <c r="O455" s="142"/>
      <c r="P455" s="213"/>
    </row>
    <row r="456" ht="15.75" customHeight="1">
      <c r="A456" s="142"/>
      <c r="B456" s="142"/>
      <c r="C456" s="160"/>
      <c r="D456" s="160"/>
      <c r="E456" s="142"/>
      <c r="F456" s="161"/>
      <c r="G456" s="142"/>
      <c r="H456" s="142"/>
      <c r="I456" s="142"/>
      <c r="J456" s="245"/>
      <c r="K456" s="142"/>
      <c r="L456" s="245"/>
      <c r="M456" s="167"/>
      <c r="N456" s="246"/>
      <c r="O456" s="142"/>
      <c r="P456" s="213"/>
    </row>
    <row r="457" ht="15.75" customHeight="1">
      <c r="A457" s="142"/>
      <c r="B457" s="142"/>
      <c r="C457" s="160"/>
      <c r="D457" s="160"/>
      <c r="E457" s="142"/>
      <c r="F457" s="161"/>
      <c r="G457" s="142"/>
      <c r="H457" s="142"/>
      <c r="I457" s="142"/>
      <c r="J457" s="245"/>
      <c r="K457" s="142"/>
      <c r="L457" s="245"/>
      <c r="M457" s="167"/>
      <c r="N457" s="246"/>
      <c r="O457" s="142"/>
      <c r="P457" s="213"/>
    </row>
    <row r="458" ht="15.75" customHeight="1">
      <c r="A458" s="142"/>
      <c r="B458" s="142"/>
      <c r="C458" s="160"/>
      <c r="D458" s="160"/>
      <c r="E458" s="142"/>
      <c r="F458" s="161"/>
      <c r="G458" s="142"/>
      <c r="H458" s="142"/>
      <c r="I458" s="142"/>
      <c r="J458" s="245"/>
      <c r="K458" s="142"/>
      <c r="L458" s="245"/>
      <c r="M458" s="167"/>
      <c r="N458" s="246"/>
      <c r="O458" s="142"/>
      <c r="P458" s="213"/>
    </row>
    <row r="459" ht="15.75" customHeight="1">
      <c r="A459" s="142"/>
      <c r="B459" s="142"/>
      <c r="C459" s="160"/>
      <c r="D459" s="160"/>
      <c r="E459" s="142"/>
      <c r="F459" s="161"/>
      <c r="G459" s="142"/>
      <c r="H459" s="142"/>
      <c r="I459" s="142"/>
      <c r="J459" s="245"/>
      <c r="K459" s="142"/>
      <c r="L459" s="245"/>
      <c r="M459" s="167"/>
      <c r="N459" s="246"/>
      <c r="O459" s="142"/>
      <c r="P459" s="213"/>
    </row>
    <row r="460" ht="15.75" customHeight="1">
      <c r="A460" s="142"/>
      <c r="B460" s="142"/>
      <c r="C460" s="160"/>
      <c r="D460" s="160"/>
      <c r="E460" s="142"/>
      <c r="F460" s="161"/>
      <c r="G460" s="142"/>
      <c r="H460" s="142"/>
      <c r="I460" s="142"/>
      <c r="J460" s="245"/>
      <c r="K460" s="142"/>
      <c r="L460" s="245"/>
      <c r="M460" s="167"/>
      <c r="N460" s="246"/>
      <c r="O460" s="142"/>
      <c r="P460" s="213"/>
    </row>
    <row r="461" ht="15.75" customHeight="1">
      <c r="A461" s="142"/>
      <c r="B461" s="142"/>
      <c r="C461" s="160"/>
      <c r="D461" s="160"/>
      <c r="E461" s="142"/>
      <c r="F461" s="161"/>
      <c r="G461" s="142"/>
      <c r="H461" s="142"/>
      <c r="I461" s="142"/>
      <c r="J461" s="245"/>
      <c r="K461" s="142"/>
      <c r="L461" s="245"/>
      <c r="M461" s="167"/>
      <c r="N461" s="246"/>
      <c r="O461" s="142"/>
      <c r="P461" s="213"/>
    </row>
    <row r="462" ht="15.75" customHeight="1">
      <c r="A462" s="142"/>
      <c r="B462" s="142"/>
      <c r="C462" s="160"/>
      <c r="D462" s="160"/>
      <c r="E462" s="142"/>
      <c r="F462" s="161"/>
      <c r="G462" s="142"/>
      <c r="H462" s="142"/>
      <c r="I462" s="142"/>
      <c r="J462" s="245"/>
      <c r="K462" s="142"/>
      <c r="L462" s="245"/>
      <c r="M462" s="167"/>
      <c r="N462" s="246"/>
      <c r="O462" s="142"/>
      <c r="P462" s="213"/>
    </row>
    <row r="463" ht="15.75" customHeight="1">
      <c r="A463" s="142"/>
      <c r="B463" s="142"/>
      <c r="C463" s="160"/>
      <c r="D463" s="160"/>
      <c r="E463" s="142"/>
      <c r="F463" s="161"/>
      <c r="G463" s="142"/>
      <c r="H463" s="142"/>
      <c r="I463" s="142"/>
      <c r="J463" s="245"/>
      <c r="K463" s="142"/>
      <c r="L463" s="245"/>
      <c r="M463" s="167"/>
      <c r="N463" s="246"/>
      <c r="O463" s="142"/>
      <c r="P463" s="213"/>
    </row>
    <row r="464" ht="15.75" customHeight="1">
      <c r="A464" s="142"/>
      <c r="B464" s="142"/>
      <c r="C464" s="160"/>
      <c r="D464" s="160"/>
      <c r="E464" s="142"/>
      <c r="F464" s="161"/>
      <c r="G464" s="142"/>
      <c r="H464" s="142"/>
      <c r="I464" s="142"/>
      <c r="J464" s="245"/>
      <c r="K464" s="142"/>
      <c r="L464" s="245"/>
      <c r="M464" s="167"/>
      <c r="N464" s="246"/>
      <c r="O464" s="142"/>
      <c r="P464" s="213"/>
    </row>
    <row r="465" ht="15.75" customHeight="1">
      <c r="A465" s="142"/>
      <c r="B465" s="142"/>
      <c r="C465" s="160"/>
      <c r="D465" s="160"/>
      <c r="E465" s="142"/>
      <c r="F465" s="161"/>
      <c r="G465" s="142"/>
      <c r="H465" s="142"/>
      <c r="I465" s="142"/>
      <c r="J465" s="245"/>
      <c r="K465" s="142"/>
      <c r="L465" s="245"/>
      <c r="M465" s="167"/>
      <c r="N465" s="246"/>
      <c r="O465" s="142"/>
      <c r="P465" s="213"/>
    </row>
    <row r="466" ht="15.75" customHeight="1">
      <c r="A466" s="142"/>
      <c r="B466" s="142"/>
      <c r="C466" s="160"/>
      <c r="D466" s="160"/>
      <c r="E466" s="142"/>
      <c r="F466" s="161"/>
      <c r="G466" s="142"/>
      <c r="H466" s="142"/>
      <c r="I466" s="142"/>
      <c r="J466" s="245"/>
      <c r="K466" s="142"/>
      <c r="L466" s="245"/>
      <c r="M466" s="167"/>
      <c r="N466" s="246"/>
      <c r="O466" s="142"/>
      <c r="P466" s="213"/>
    </row>
    <row r="467" ht="15.75" customHeight="1">
      <c r="A467" s="142"/>
      <c r="B467" s="142"/>
      <c r="C467" s="160"/>
      <c r="D467" s="160"/>
      <c r="E467" s="142"/>
      <c r="F467" s="161"/>
      <c r="G467" s="142"/>
      <c r="H467" s="142"/>
      <c r="I467" s="142"/>
      <c r="J467" s="245"/>
      <c r="K467" s="142"/>
      <c r="L467" s="245"/>
      <c r="M467" s="167"/>
      <c r="N467" s="246"/>
      <c r="O467" s="142"/>
      <c r="P467" s="213"/>
    </row>
    <row r="468" ht="15.75" customHeight="1">
      <c r="A468" s="142"/>
      <c r="B468" s="142"/>
      <c r="C468" s="160"/>
      <c r="D468" s="160"/>
      <c r="E468" s="142"/>
      <c r="F468" s="161"/>
      <c r="G468" s="142"/>
      <c r="H468" s="142"/>
      <c r="I468" s="142"/>
      <c r="J468" s="245"/>
      <c r="K468" s="142"/>
      <c r="L468" s="245"/>
      <c r="M468" s="167"/>
      <c r="N468" s="246"/>
      <c r="O468" s="142"/>
      <c r="P468" s="213"/>
    </row>
    <row r="469" ht="15.75" customHeight="1">
      <c r="A469" s="142"/>
      <c r="B469" s="142"/>
      <c r="C469" s="160"/>
      <c r="D469" s="160"/>
      <c r="E469" s="142"/>
      <c r="F469" s="161"/>
      <c r="G469" s="142"/>
      <c r="H469" s="142"/>
      <c r="I469" s="142"/>
      <c r="J469" s="245"/>
      <c r="K469" s="142"/>
      <c r="L469" s="245"/>
      <c r="M469" s="167"/>
      <c r="N469" s="246"/>
      <c r="O469" s="142"/>
      <c r="P469" s="213"/>
    </row>
    <row r="470" ht="15.75" customHeight="1">
      <c r="A470" s="142"/>
      <c r="B470" s="142"/>
      <c r="C470" s="160"/>
      <c r="D470" s="160"/>
      <c r="E470" s="142"/>
      <c r="F470" s="161"/>
      <c r="G470" s="142"/>
      <c r="H470" s="142"/>
      <c r="I470" s="142"/>
      <c r="J470" s="245"/>
      <c r="K470" s="142"/>
      <c r="L470" s="245"/>
      <c r="M470" s="167"/>
      <c r="N470" s="246"/>
      <c r="O470" s="142"/>
      <c r="P470" s="213"/>
    </row>
    <row r="471" ht="15.75" customHeight="1">
      <c r="A471" s="142"/>
      <c r="B471" s="142"/>
      <c r="C471" s="160"/>
      <c r="D471" s="160"/>
      <c r="E471" s="142"/>
      <c r="F471" s="161"/>
      <c r="G471" s="142"/>
      <c r="H471" s="142"/>
      <c r="I471" s="142"/>
      <c r="J471" s="245"/>
      <c r="K471" s="142"/>
      <c r="L471" s="245"/>
      <c r="M471" s="167"/>
      <c r="N471" s="246"/>
      <c r="O471" s="142"/>
      <c r="P471" s="213"/>
    </row>
    <row r="472" ht="15.75" customHeight="1">
      <c r="A472" s="142"/>
      <c r="B472" s="142"/>
      <c r="C472" s="160"/>
      <c r="D472" s="160"/>
      <c r="E472" s="142"/>
      <c r="F472" s="161"/>
      <c r="G472" s="142"/>
      <c r="H472" s="142"/>
      <c r="I472" s="142"/>
      <c r="J472" s="245"/>
      <c r="K472" s="142"/>
      <c r="L472" s="245"/>
      <c r="M472" s="167"/>
      <c r="N472" s="246"/>
      <c r="O472" s="142"/>
      <c r="P472" s="213"/>
    </row>
    <row r="473" ht="15.75" customHeight="1">
      <c r="A473" s="142"/>
      <c r="B473" s="142"/>
      <c r="C473" s="160"/>
      <c r="D473" s="160"/>
      <c r="E473" s="142"/>
      <c r="F473" s="161"/>
      <c r="G473" s="142"/>
      <c r="H473" s="142"/>
      <c r="I473" s="142"/>
      <c r="J473" s="245"/>
      <c r="K473" s="142"/>
      <c r="L473" s="245"/>
      <c r="M473" s="167"/>
      <c r="N473" s="246"/>
      <c r="O473" s="142"/>
      <c r="P473" s="213"/>
    </row>
    <row r="474" ht="15.75" customHeight="1">
      <c r="A474" s="142"/>
      <c r="B474" s="142"/>
      <c r="C474" s="160"/>
      <c r="D474" s="160"/>
      <c r="E474" s="142"/>
      <c r="F474" s="161"/>
      <c r="G474" s="142"/>
      <c r="H474" s="142"/>
      <c r="I474" s="142"/>
      <c r="J474" s="245"/>
      <c r="K474" s="142"/>
      <c r="L474" s="245"/>
      <c r="M474" s="167"/>
      <c r="N474" s="246"/>
      <c r="O474" s="142"/>
      <c r="P474" s="213"/>
    </row>
    <row r="475" ht="15.75" customHeight="1">
      <c r="A475" s="142"/>
      <c r="B475" s="142"/>
      <c r="C475" s="160"/>
      <c r="D475" s="160"/>
      <c r="E475" s="142"/>
      <c r="F475" s="161"/>
      <c r="G475" s="142"/>
      <c r="H475" s="142"/>
      <c r="I475" s="142"/>
      <c r="J475" s="245"/>
      <c r="K475" s="142"/>
      <c r="L475" s="245"/>
      <c r="M475" s="167"/>
      <c r="N475" s="246"/>
      <c r="O475" s="142"/>
      <c r="P475" s="213"/>
    </row>
    <row r="476" ht="15.75" customHeight="1">
      <c r="A476" s="142"/>
      <c r="B476" s="142"/>
      <c r="C476" s="160"/>
      <c r="D476" s="160"/>
      <c r="E476" s="142"/>
      <c r="F476" s="161"/>
      <c r="G476" s="142"/>
      <c r="H476" s="142"/>
      <c r="I476" s="142"/>
      <c r="J476" s="245"/>
      <c r="K476" s="142"/>
      <c r="L476" s="245"/>
      <c r="M476" s="167"/>
      <c r="N476" s="246"/>
      <c r="O476" s="142"/>
      <c r="P476" s="213"/>
    </row>
    <row r="477" ht="15.75" customHeight="1">
      <c r="A477" s="142"/>
      <c r="B477" s="142"/>
      <c r="C477" s="160"/>
      <c r="D477" s="160"/>
      <c r="E477" s="142"/>
      <c r="F477" s="161"/>
      <c r="G477" s="142"/>
      <c r="H477" s="142"/>
      <c r="I477" s="142"/>
      <c r="J477" s="245"/>
      <c r="K477" s="142"/>
      <c r="L477" s="245"/>
      <c r="M477" s="167"/>
      <c r="N477" s="246"/>
      <c r="O477" s="142"/>
      <c r="P477" s="213"/>
    </row>
    <row r="478" ht="15.75" customHeight="1">
      <c r="A478" s="142"/>
      <c r="B478" s="142"/>
      <c r="C478" s="160"/>
      <c r="D478" s="160"/>
      <c r="E478" s="142"/>
      <c r="F478" s="161"/>
      <c r="G478" s="142"/>
      <c r="H478" s="142"/>
      <c r="I478" s="142"/>
      <c r="J478" s="245"/>
      <c r="K478" s="142"/>
      <c r="L478" s="245"/>
      <c r="M478" s="167"/>
      <c r="N478" s="246"/>
      <c r="O478" s="142"/>
      <c r="P478" s="213"/>
    </row>
    <row r="479" ht="15.75" customHeight="1">
      <c r="A479" s="142"/>
      <c r="B479" s="142"/>
      <c r="C479" s="160"/>
      <c r="D479" s="160"/>
      <c r="E479" s="142"/>
      <c r="F479" s="161"/>
      <c r="G479" s="142"/>
      <c r="H479" s="142"/>
      <c r="I479" s="142"/>
      <c r="J479" s="245"/>
      <c r="K479" s="142"/>
      <c r="L479" s="245"/>
      <c r="M479" s="167"/>
      <c r="N479" s="246"/>
      <c r="O479" s="142"/>
      <c r="P479" s="213"/>
    </row>
    <row r="480" ht="15.75" customHeight="1">
      <c r="A480" s="142"/>
      <c r="B480" s="142"/>
      <c r="C480" s="160"/>
      <c r="D480" s="160"/>
      <c r="E480" s="142"/>
      <c r="F480" s="161"/>
      <c r="G480" s="142"/>
      <c r="H480" s="142"/>
      <c r="I480" s="142"/>
      <c r="J480" s="245"/>
      <c r="K480" s="142"/>
      <c r="L480" s="245"/>
      <c r="M480" s="167"/>
      <c r="N480" s="246"/>
      <c r="O480" s="142"/>
      <c r="P480" s="213"/>
    </row>
    <row r="481" ht="15.75" customHeight="1">
      <c r="A481" s="142"/>
      <c r="B481" s="142"/>
      <c r="C481" s="160"/>
      <c r="D481" s="160"/>
      <c r="E481" s="142"/>
      <c r="F481" s="161"/>
      <c r="G481" s="142"/>
      <c r="H481" s="142"/>
      <c r="I481" s="142"/>
      <c r="J481" s="245"/>
      <c r="K481" s="142"/>
      <c r="L481" s="245"/>
      <c r="M481" s="167"/>
      <c r="N481" s="246"/>
      <c r="O481" s="142"/>
      <c r="P481" s="213"/>
    </row>
    <row r="482" ht="15.75" customHeight="1">
      <c r="A482" s="142"/>
      <c r="B482" s="142"/>
      <c r="C482" s="160"/>
      <c r="D482" s="160"/>
      <c r="E482" s="142"/>
      <c r="F482" s="161"/>
      <c r="G482" s="142"/>
      <c r="H482" s="142"/>
      <c r="I482" s="142"/>
      <c r="J482" s="245"/>
      <c r="K482" s="142"/>
      <c r="L482" s="245"/>
      <c r="M482" s="167"/>
      <c r="N482" s="246"/>
      <c r="O482" s="142"/>
      <c r="P482" s="213"/>
    </row>
    <row r="483" ht="15.75" customHeight="1">
      <c r="A483" s="142"/>
      <c r="B483" s="142"/>
      <c r="C483" s="160"/>
      <c r="D483" s="160"/>
      <c r="E483" s="142"/>
      <c r="F483" s="161"/>
      <c r="G483" s="142"/>
      <c r="H483" s="142"/>
      <c r="I483" s="142"/>
      <c r="J483" s="245"/>
      <c r="K483" s="142"/>
      <c r="L483" s="245"/>
      <c r="M483" s="167"/>
      <c r="N483" s="246"/>
      <c r="O483" s="142"/>
      <c r="P483" s="213"/>
    </row>
    <row r="484" ht="15.75" customHeight="1">
      <c r="A484" s="142"/>
      <c r="B484" s="142"/>
      <c r="C484" s="160"/>
      <c r="D484" s="160"/>
      <c r="E484" s="142"/>
      <c r="F484" s="161"/>
      <c r="G484" s="142"/>
      <c r="H484" s="142"/>
      <c r="I484" s="142"/>
      <c r="J484" s="245"/>
      <c r="K484" s="142"/>
      <c r="L484" s="245"/>
      <c r="M484" s="167"/>
      <c r="N484" s="246"/>
      <c r="O484" s="142"/>
      <c r="P484" s="213"/>
    </row>
    <row r="485" ht="15.75" customHeight="1">
      <c r="A485" s="142"/>
      <c r="B485" s="142"/>
      <c r="C485" s="160"/>
      <c r="D485" s="160"/>
      <c r="E485" s="142"/>
      <c r="F485" s="161"/>
      <c r="G485" s="142"/>
      <c r="H485" s="142"/>
      <c r="I485" s="142"/>
      <c r="J485" s="245"/>
      <c r="K485" s="142"/>
      <c r="L485" s="245"/>
      <c r="M485" s="167"/>
      <c r="N485" s="246"/>
      <c r="O485" s="142"/>
      <c r="P485" s="213"/>
    </row>
    <row r="486" ht="15.75" customHeight="1">
      <c r="A486" s="142"/>
      <c r="B486" s="142"/>
      <c r="C486" s="160"/>
      <c r="D486" s="160"/>
      <c r="E486" s="142"/>
      <c r="F486" s="161"/>
      <c r="G486" s="142"/>
      <c r="H486" s="142"/>
      <c r="I486" s="142"/>
      <c r="J486" s="245"/>
      <c r="K486" s="142"/>
      <c r="L486" s="245"/>
      <c r="M486" s="167"/>
      <c r="N486" s="246"/>
      <c r="O486" s="142"/>
      <c r="P486" s="213"/>
    </row>
    <row r="487" ht="15.75" customHeight="1">
      <c r="A487" s="142"/>
      <c r="B487" s="142"/>
      <c r="C487" s="160"/>
      <c r="D487" s="160"/>
      <c r="E487" s="142"/>
      <c r="F487" s="161"/>
      <c r="G487" s="142"/>
      <c r="H487" s="142"/>
      <c r="I487" s="142"/>
      <c r="J487" s="245"/>
      <c r="K487" s="142"/>
      <c r="L487" s="245"/>
      <c r="M487" s="167"/>
      <c r="N487" s="246"/>
      <c r="O487" s="142"/>
      <c r="P487" s="213"/>
    </row>
    <row r="488" ht="15.75" customHeight="1">
      <c r="A488" s="142"/>
      <c r="B488" s="142"/>
      <c r="C488" s="160"/>
      <c r="D488" s="160"/>
      <c r="E488" s="142"/>
      <c r="F488" s="161"/>
      <c r="G488" s="142"/>
      <c r="H488" s="142"/>
      <c r="I488" s="142"/>
      <c r="J488" s="245"/>
      <c r="K488" s="142"/>
      <c r="L488" s="245"/>
      <c r="M488" s="167"/>
      <c r="N488" s="246"/>
      <c r="O488" s="142"/>
      <c r="P488" s="213"/>
    </row>
    <row r="489" ht="15.75" customHeight="1">
      <c r="A489" s="142"/>
      <c r="B489" s="142"/>
      <c r="C489" s="160"/>
      <c r="D489" s="160"/>
      <c r="E489" s="142"/>
      <c r="F489" s="161"/>
      <c r="G489" s="142"/>
      <c r="H489" s="142"/>
      <c r="I489" s="142"/>
      <c r="J489" s="245"/>
      <c r="K489" s="142"/>
      <c r="L489" s="245"/>
      <c r="M489" s="167"/>
      <c r="N489" s="246"/>
      <c r="O489" s="142"/>
      <c r="P489" s="213"/>
    </row>
    <row r="490" ht="15.75" customHeight="1">
      <c r="A490" s="142"/>
      <c r="B490" s="142"/>
      <c r="C490" s="160"/>
      <c r="D490" s="160"/>
      <c r="E490" s="142"/>
      <c r="F490" s="161"/>
      <c r="G490" s="142"/>
      <c r="H490" s="142"/>
      <c r="I490" s="142"/>
      <c r="J490" s="245"/>
      <c r="K490" s="142"/>
      <c r="L490" s="245"/>
      <c r="M490" s="167"/>
      <c r="N490" s="246"/>
      <c r="O490" s="142"/>
      <c r="P490" s="213"/>
    </row>
    <row r="491" ht="15.75" customHeight="1">
      <c r="A491" s="142"/>
      <c r="B491" s="142"/>
      <c r="C491" s="160"/>
      <c r="D491" s="160"/>
      <c r="E491" s="142"/>
      <c r="F491" s="161"/>
      <c r="G491" s="142"/>
      <c r="H491" s="142"/>
      <c r="I491" s="142"/>
      <c r="J491" s="245"/>
      <c r="K491" s="142"/>
      <c r="L491" s="245"/>
      <c r="M491" s="167"/>
      <c r="N491" s="246"/>
      <c r="O491" s="142"/>
      <c r="P491" s="213"/>
    </row>
    <row r="492" ht="15.75" customHeight="1">
      <c r="A492" s="142"/>
      <c r="B492" s="142"/>
      <c r="C492" s="160"/>
      <c r="D492" s="160"/>
      <c r="E492" s="142"/>
      <c r="F492" s="161"/>
      <c r="G492" s="142"/>
      <c r="H492" s="142"/>
      <c r="I492" s="142"/>
      <c r="J492" s="245"/>
      <c r="K492" s="142"/>
      <c r="L492" s="245"/>
      <c r="M492" s="167"/>
      <c r="N492" s="246"/>
      <c r="O492" s="142"/>
      <c r="P492" s="213"/>
    </row>
    <row r="493" ht="15.75" customHeight="1">
      <c r="A493" s="142"/>
      <c r="B493" s="142"/>
      <c r="C493" s="160"/>
      <c r="D493" s="160"/>
      <c r="E493" s="142"/>
      <c r="F493" s="161"/>
      <c r="G493" s="142"/>
      <c r="H493" s="142"/>
      <c r="I493" s="142"/>
      <c r="J493" s="245"/>
      <c r="K493" s="142"/>
      <c r="L493" s="245"/>
      <c r="M493" s="167"/>
      <c r="N493" s="246"/>
      <c r="O493" s="142"/>
      <c r="P493" s="213"/>
    </row>
    <row r="494" ht="15.75" customHeight="1">
      <c r="A494" s="142"/>
      <c r="B494" s="142"/>
      <c r="C494" s="160"/>
      <c r="D494" s="160"/>
      <c r="E494" s="142"/>
      <c r="F494" s="161"/>
      <c r="G494" s="142"/>
      <c r="H494" s="142"/>
      <c r="I494" s="142"/>
      <c r="J494" s="245"/>
      <c r="K494" s="142"/>
      <c r="L494" s="245"/>
      <c r="M494" s="167"/>
      <c r="N494" s="246"/>
      <c r="O494" s="142"/>
      <c r="P494" s="213"/>
    </row>
    <row r="495" ht="15.75" customHeight="1">
      <c r="A495" s="142"/>
      <c r="B495" s="142"/>
      <c r="C495" s="160"/>
      <c r="D495" s="160"/>
      <c r="E495" s="142"/>
      <c r="F495" s="161"/>
      <c r="G495" s="142"/>
      <c r="H495" s="142"/>
      <c r="I495" s="142"/>
      <c r="J495" s="245"/>
      <c r="K495" s="142"/>
      <c r="L495" s="245"/>
      <c r="M495" s="167"/>
      <c r="N495" s="246"/>
      <c r="O495" s="142"/>
      <c r="P495" s="213"/>
    </row>
    <row r="496" ht="15.75" customHeight="1">
      <c r="A496" s="142"/>
      <c r="B496" s="142"/>
      <c r="C496" s="160"/>
      <c r="D496" s="160"/>
      <c r="E496" s="142"/>
      <c r="F496" s="161"/>
      <c r="G496" s="142"/>
      <c r="H496" s="142"/>
      <c r="I496" s="142"/>
      <c r="J496" s="245"/>
      <c r="K496" s="142"/>
      <c r="L496" s="245"/>
      <c r="M496" s="167"/>
      <c r="N496" s="246"/>
      <c r="O496" s="142"/>
      <c r="P496" s="213"/>
    </row>
    <row r="497" ht="15.75" customHeight="1">
      <c r="A497" s="142"/>
      <c r="B497" s="142"/>
      <c r="C497" s="160"/>
      <c r="D497" s="160"/>
      <c r="E497" s="142"/>
      <c r="F497" s="161"/>
      <c r="G497" s="142"/>
      <c r="H497" s="142"/>
      <c r="I497" s="142"/>
      <c r="J497" s="245"/>
      <c r="K497" s="142"/>
      <c r="L497" s="245"/>
      <c r="M497" s="167"/>
      <c r="N497" s="246"/>
      <c r="O497" s="142"/>
      <c r="P497" s="213"/>
    </row>
    <row r="498" ht="15.75" customHeight="1">
      <c r="A498" s="142"/>
      <c r="B498" s="142"/>
      <c r="C498" s="160"/>
      <c r="D498" s="160"/>
      <c r="E498" s="142"/>
      <c r="F498" s="161"/>
      <c r="G498" s="142"/>
      <c r="H498" s="142"/>
      <c r="I498" s="142"/>
      <c r="J498" s="245"/>
      <c r="K498" s="142"/>
      <c r="L498" s="245"/>
      <c r="M498" s="167"/>
      <c r="N498" s="246"/>
      <c r="O498" s="142"/>
      <c r="P498" s="213"/>
    </row>
    <row r="499" ht="15.75" customHeight="1">
      <c r="A499" s="142"/>
      <c r="B499" s="142"/>
      <c r="C499" s="160"/>
      <c r="D499" s="160"/>
      <c r="E499" s="142"/>
      <c r="F499" s="161"/>
      <c r="G499" s="142"/>
      <c r="H499" s="142"/>
      <c r="I499" s="142"/>
      <c r="J499" s="245"/>
      <c r="K499" s="142"/>
      <c r="L499" s="245"/>
      <c r="M499" s="167"/>
      <c r="N499" s="246"/>
      <c r="O499" s="142"/>
      <c r="P499" s="213"/>
    </row>
    <row r="500" ht="15.75" customHeight="1">
      <c r="A500" s="142"/>
      <c r="B500" s="142"/>
      <c r="C500" s="160"/>
      <c r="D500" s="160"/>
      <c r="E500" s="142"/>
      <c r="F500" s="161"/>
      <c r="G500" s="142"/>
      <c r="H500" s="142"/>
      <c r="I500" s="142"/>
      <c r="J500" s="245"/>
      <c r="K500" s="142"/>
      <c r="L500" s="245"/>
      <c r="M500" s="167"/>
      <c r="N500" s="246"/>
      <c r="O500" s="142"/>
      <c r="P500" s="213"/>
    </row>
    <row r="501" ht="15.75" customHeight="1">
      <c r="A501" s="142"/>
      <c r="B501" s="142"/>
      <c r="C501" s="160"/>
      <c r="D501" s="160"/>
      <c r="E501" s="142"/>
      <c r="F501" s="161"/>
      <c r="G501" s="142"/>
      <c r="H501" s="142"/>
      <c r="I501" s="142"/>
      <c r="J501" s="245"/>
      <c r="K501" s="142"/>
      <c r="L501" s="245"/>
      <c r="M501" s="167"/>
      <c r="N501" s="246"/>
      <c r="O501" s="142"/>
      <c r="P501" s="213"/>
    </row>
    <row r="502" ht="15.75" customHeight="1">
      <c r="A502" s="142"/>
      <c r="B502" s="142"/>
      <c r="C502" s="160"/>
      <c r="D502" s="160"/>
      <c r="E502" s="142"/>
      <c r="F502" s="161"/>
      <c r="G502" s="142"/>
      <c r="H502" s="142"/>
      <c r="I502" s="142"/>
      <c r="J502" s="245"/>
      <c r="K502" s="142"/>
      <c r="L502" s="245"/>
      <c r="M502" s="167"/>
      <c r="N502" s="246"/>
      <c r="O502" s="142"/>
      <c r="P502" s="213"/>
    </row>
    <row r="503" ht="15.75" customHeight="1">
      <c r="A503" s="142"/>
      <c r="B503" s="142"/>
      <c r="C503" s="160"/>
      <c r="D503" s="160"/>
      <c r="E503" s="142"/>
      <c r="F503" s="161"/>
      <c r="G503" s="142"/>
      <c r="H503" s="142"/>
      <c r="I503" s="142"/>
      <c r="J503" s="245"/>
      <c r="K503" s="142"/>
      <c r="L503" s="245"/>
      <c r="M503" s="167"/>
      <c r="N503" s="246"/>
      <c r="O503" s="142"/>
      <c r="P503" s="213"/>
    </row>
    <row r="504" ht="15.75" customHeight="1">
      <c r="A504" s="142"/>
      <c r="B504" s="142"/>
      <c r="C504" s="160"/>
      <c r="D504" s="160"/>
      <c r="E504" s="142"/>
      <c r="F504" s="161"/>
      <c r="G504" s="142"/>
      <c r="H504" s="142"/>
      <c r="I504" s="142"/>
      <c r="J504" s="245"/>
      <c r="K504" s="142"/>
      <c r="L504" s="245"/>
      <c r="M504" s="167"/>
      <c r="N504" s="246"/>
      <c r="O504" s="142"/>
      <c r="P504" s="213"/>
    </row>
    <row r="505" ht="15.75" customHeight="1">
      <c r="A505" s="142"/>
      <c r="B505" s="142"/>
      <c r="C505" s="160"/>
      <c r="D505" s="160"/>
      <c r="E505" s="142"/>
      <c r="F505" s="161"/>
      <c r="G505" s="142"/>
      <c r="H505" s="142"/>
      <c r="I505" s="142"/>
      <c r="J505" s="245"/>
      <c r="K505" s="142"/>
      <c r="L505" s="245"/>
      <c r="M505" s="167"/>
      <c r="N505" s="246"/>
      <c r="O505" s="142"/>
      <c r="P505" s="213"/>
    </row>
    <row r="506" ht="15.75" customHeight="1">
      <c r="A506" s="142"/>
      <c r="B506" s="142"/>
      <c r="C506" s="160"/>
      <c r="D506" s="160"/>
      <c r="E506" s="142"/>
      <c r="F506" s="161"/>
      <c r="G506" s="142"/>
      <c r="H506" s="142"/>
      <c r="I506" s="142"/>
      <c r="J506" s="245"/>
      <c r="K506" s="142"/>
      <c r="L506" s="245"/>
      <c r="M506" s="167"/>
      <c r="N506" s="246"/>
      <c r="O506" s="142"/>
      <c r="P506" s="213"/>
    </row>
    <row r="507" ht="15.75" customHeight="1">
      <c r="A507" s="142"/>
      <c r="B507" s="142"/>
      <c r="C507" s="160"/>
      <c r="D507" s="160"/>
      <c r="E507" s="142"/>
      <c r="F507" s="161"/>
      <c r="G507" s="142"/>
      <c r="H507" s="142"/>
      <c r="I507" s="142"/>
      <c r="J507" s="245"/>
      <c r="K507" s="142"/>
      <c r="L507" s="245"/>
      <c r="M507" s="167"/>
      <c r="N507" s="246"/>
      <c r="O507" s="142"/>
      <c r="P507" s="213"/>
    </row>
    <row r="508" ht="15.75" customHeight="1">
      <c r="A508" s="142"/>
      <c r="B508" s="142"/>
      <c r="C508" s="160"/>
      <c r="D508" s="160"/>
      <c r="E508" s="142"/>
      <c r="F508" s="161"/>
      <c r="G508" s="142"/>
      <c r="H508" s="142"/>
      <c r="I508" s="142"/>
      <c r="J508" s="245"/>
      <c r="K508" s="142"/>
      <c r="L508" s="245"/>
      <c r="M508" s="167"/>
      <c r="N508" s="246"/>
      <c r="O508" s="142"/>
      <c r="P508" s="213"/>
    </row>
    <row r="509" ht="15.75" customHeight="1">
      <c r="A509" s="142"/>
      <c r="B509" s="142"/>
      <c r="C509" s="160"/>
      <c r="D509" s="160"/>
      <c r="E509" s="142"/>
      <c r="F509" s="161"/>
      <c r="G509" s="142"/>
      <c r="H509" s="142"/>
      <c r="I509" s="142"/>
      <c r="J509" s="245"/>
      <c r="K509" s="142"/>
      <c r="L509" s="245"/>
      <c r="M509" s="167"/>
      <c r="N509" s="246"/>
      <c r="O509" s="142"/>
      <c r="P509" s="213"/>
    </row>
    <row r="510" ht="15.75" customHeight="1">
      <c r="A510" s="142"/>
      <c r="B510" s="142"/>
      <c r="C510" s="160"/>
      <c r="D510" s="160"/>
      <c r="E510" s="142"/>
      <c r="F510" s="161"/>
      <c r="G510" s="142"/>
      <c r="H510" s="142"/>
      <c r="I510" s="142"/>
      <c r="J510" s="245"/>
      <c r="K510" s="142"/>
      <c r="L510" s="245"/>
      <c r="M510" s="167"/>
      <c r="N510" s="246"/>
      <c r="O510" s="142"/>
      <c r="P510" s="213"/>
    </row>
    <row r="511" ht="15.75" customHeight="1">
      <c r="A511" s="142"/>
      <c r="B511" s="142"/>
      <c r="C511" s="160"/>
      <c r="D511" s="160"/>
      <c r="E511" s="142"/>
      <c r="F511" s="161"/>
      <c r="G511" s="142"/>
      <c r="H511" s="142"/>
      <c r="I511" s="142"/>
      <c r="J511" s="245"/>
      <c r="K511" s="142"/>
      <c r="L511" s="245"/>
      <c r="M511" s="167"/>
      <c r="N511" s="246"/>
      <c r="O511" s="142"/>
      <c r="P511" s="213"/>
    </row>
    <row r="512" ht="15.75" customHeight="1">
      <c r="A512" s="142"/>
      <c r="B512" s="142"/>
      <c r="C512" s="160"/>
      <c r="D512" s="160"/>
      <c r="E512" s="142"/>
      <c r="F512" s="161"/>
      <c r="G512" s="142"/>
      <c r="H512" s="142"/>
      <c r="I512" s="142"/>
      <c r="J512" s="245"/>
      <c r="K512" s="142"/>
      <c r="L512" s="245"/>
      <c r="M512" s="167"/>
      <c r="N512" s="246"/>
      <c r="O512" s="142"/>
      <c r="P512" s="213"/>
    </row>
    <row r="513" ht="15.75" customHeight="1">
      <c r="A513" s="142"/>
      <c r="B513" s="142"/>
      <c r="C513" s="160"/>
      <c r="D513" s="160"/>
      <c r="E513" s="142"/>
      <c r="F513" s="161"/>
      <c r="G513" s="142"/>
      <c r="H513" s="142"/>
      <c r="I513" s="142"/>
      <c r="J513" s="245"/>
      <c r="K513" s="142"/>
      <c r="L513" s="245"/>
      <c r="M513" s="167"/>
      <c r="N513" s="246"/>
      <c r="O513" s="142"/>
      <c r="P513" s="213"/>
    </row>
    <row r="514" ht="15.75" customHeight="1">
      <c r="A514" s="142"/>
      <c r="B514" s="142"/>
      <c r="C514" s="160"/>
      <c r="D514" s="160"/>
      <c r="E514" s="142"/>
      <c r="F514" s="161"/>
      <c r="G514" s="142"/>
      <c r="H514" s="142"/>
      <c r="I514" s="142"/>
      <c r="J514" s="245"/>
      <c r="K514" s="142"/>
      <c r="L514" s="245"/>
      <c r="M514" s="167"/>
      <c r="N514" s="246"/>
      <c r="O514" s="142"/>
      <c r="P514" s="213"/>
    </row>
    <row r="515" ht="15.75" customHeight="1">
      <c r="A515" s="142"/>
      <c r="B515" s="142"/>
      <c r="C515" s="160"/>
      <c r="D515" s="160"/>
      <c r="E515" s="142"/>
      <c r="F515" s="161"/>
      <c r="G515" s="142"/>
      <c r="H515" s="142"/>
      <c r="I515" s="142"/>
      <c r="J515" s="245"/>
      <c r="K515" s="142"/>
      <c r="L515" s="245"/>
      <c r="M515" s="167"/>
      <c r="N515" s="246"/>
      <c r="O515" s="142"/>
      <c r="P515" s="213"/>
    </row>
    <row r="516" ht="15.75" customHeight="1">
      <c r="A516" s="142"/>
      <c r="B516" s="142"/>
      <c r="C516" s="160"/>
      <c r="D516" s="160"/>
      <c r="E516" s="142"/>
      <c r="F516" s="161"/>
      <c r="G516" s="142"/>
      <c r="H516" s="142"/>
      <c r="I516" s="142"/>
      <c r="J516" s="245"/>
      <c r="K516" s="142"/>
      <c r="L516" s="245"/>
      <c r="M516" s="167"/>
      <c r="N516" s="246"/>
      <c r="O516" s="142"/>
      <c r="P516" s="213"/>
    </row>
    <row r="517" ht="15.75" customHeight="1">
      <c r="A517" s="142"/>
      <c r="B517" s="142"/>
      <c r="C517" s="160"/>
      <c r="D517" s="160"/>
      <c r="E517" s="142"/>
      <c r="F517" s="161"/>
      <c r="G517" s="142"/>
      <c r="H517" s="142"/>
      <c r="I517" s="142"/>
      <c r="J517" s="245"/>
      <c r="K517" s="142"/>
      <c r="L517" s="245"/>
      <c r="M517" s="167"/>
      <c r="N517" s="246"/>
      <c r="O517" s="142"/>
      <c r="P517" s="213"/>
    </row>
    <row r="518" ht="15.75" customHeight="1">
      <c r="A518" s="142"/>
      <c r="B518" s="142"/>
      <c r="C518" s="160"/>
      <c r="D518" s="160"/>
      <c r="E518" s="142"/>
      <c r="F518" s="161"/>
      <c r="G518" s="142"/>
      <c r="H518" s="142"/>
      <c r="I518" s="142"/>
      <c r="J518" s="245"/>
      <c r="K518" s="142"/>
      <c r="L518" s="245"/>
      <c r="M518" s="167"/>
      <c r="N518" s="246"/>
      <c r="O518" s="142"/>
      <c r="P518" s="213"/>
    </row>
    <row r="519" ht="15.75" customHeight="1">
      <c r="A519" s="142"/>
      <c r="B519" s="142"/>
      <c r="C519" s="160"/>
      <c r="D519" s="160"/>
      <c r="E519" s="142"/>
      <c r="F519" s="161"/>
      <c r="G519" s="142"/>
      <c r="H519" s="142"/>
      <c r="I519" s="142"/>
      <c r="J519" s="245"/>
      <c r="K519" s="142"/>
      <c r="L519" s="245"/>
      <c r="M519" s="167"/>
      <c r="N519" s="246"/>
      <c r="O519" s="142"/>
      <c r="P519" s="213"/>
    </row>
    <row r="520" ht="15.75" customHeight="1">
      <c r="A520" s="142"/>
      <c r="B520" s="142"/>
      <c r="C520" s="160"/>
      <c r="D520" s="160"/>
      <c r="E520" s="142"/>
      <c r="F520" s="161"/>
      <c r="G520" s="142"/>
      <c r="H520" s="142"/>
      <c r="I520" s="142"/>
      <c r="J520" s="245"/>
      <c r="K520" s="142"/>
      <c r="L520" s="245"/>
      <c r="M520" s="167"/>
      <c r="N520" s="246"/>
      <c r="O520" s="142"/>
      <c r="P520" s="213"/>
    </row>
    <row r="521" ht="15.75" customHeight="1">
      <c r="A521" s="142"/>
      <c r="B521" s="142"/>
      <c r="C521" s="160"/>
      <c r="D521" s="160"/>
      <c r="E521" s="142"/>
      <c r="F521" s="161"/>
      <c r="G521" s="142"/>
      <c r="H521" s="142"/>
      <c r="I521" s="142"/>
      <c r="J521" s="245"/>
      <c r="K521" s="142"/>
      <c r="L521" s="245"/>
      <c r="M521" s="167"/>
      <c r="N521" s="246"/>
      <c r="O521" s="142"/>
      <c r="P521" s="213"/>
    </row>
    <row r="522" ht="15.75" customHeight="1">
      <c r="A522" s="142"/>
      <c r="B522" s="142"/>
      <c r="C522" s="160"/>
      <c r="D522" s="160"/>
      <c r="E522" s="142"/>
      <c r="F522" s="161"/>
      <c r="G522" s="142"/>
      <c r="H522" s="142"/>
      <c r="I522" s="142"/>
      <c r="J522" s="245"/>
      <c r="K522" s="142"/>
      <c r="L522" s="245"/>
      <c r="M522" s="167"/>
      <c r="N522" s="246"/>
      <c r="O522" s="142"/>
      <c r="P522" s="213"/>
    </row>
    <row r="523" ht="15.75" customHeight="1">
      <c r="A523" s="142"/>
      <c r="B523" s="142"/>
      <c r="C523" s="160"/>
      <c r="D523" s="160"/>
      <c r="E523" s="142"/>
      <c r="F523" s="161"/>
      <c r="G523" s="142"/>
      <c r="H523" s="142"/>
      <c r="I523" s="142"/>
      <c r="J523" s="245"/>
      <c r="K523" s="142"/>
      <c r="L523" s="245"/>
      <c r="M523" s="167"/>
      <c r="N523" s="246"/>
      <c r="O523" s="142"/>
      <c r="P523" s="213"/>
    </row>
    <row r="524" ht="15.75" customHeight="1">
      <c r="A524" s="142"/>
      <c r="B524" s="142"/>
      <c r="C524" s="160"/>
      <c r="D524" s="160"/>
      <c r="E524" s="142"/>
      <c r="F524" s="161"/>
      <c r="G524" s="142"/>
      <c r="H524" s="142"/>
      <c r="I524" s="142"/>
      <c r="J524" s="245"/>
      <c r="K524" s="142"/>
      <c r="L524" s="245"/>
      <c r="M524" s="167"/>
      <c r="N524" s="246"/>
      <c r="O524" s="142"/>
      <c r="P524" s="213"/>
    </row>
    <row r="525" ht="15.75" customHeight="1">
      <c r="A525" s="142"/>
      <c r="B525" s="142"/>
      <c r="C525" s="160"/>
      <c r="D525" s="160"/>
      <c r="E525" s="142"/>
      <c r="F525" s="161"/>
      <c r="G525" s="142"/>
      <c r="H525" s="142"/>
      <c r="I525" s="142"/>
      <c r="J525" s="245"/>
      <c r="K525" s="142"/>
      <c r="L525" s="245"/>
      <c r="M525" s="167"/>
      <c r="N525" s="246"/>
      <c r="O525" s="142"/>
      <c r="P525" s="213"/>
    </row>
    <row r="526" ht="15.75" customHeight="1">
      <c r="A526" s="142"/>
      <c r="B526" s="142"/>
      <c r="C526" s="160"/>
      <c r="D526" s="160"/>
      <c r="E526" s="142"/>
      <c r="F526" s="161"/>
      <c r="G526" s="142"/>
      <c r="H526" s="142"/>
      <c r="I526" s="142"/>
      <c r="J526" s="245"/>
      <c r="K526" s="142"/>
      <c r="L526" s="245"/>
      <c r="M526" s="167"/>
      <c r="N526" s="246"/>
      <c r="O526" s="142"/>
      <c r="P526" s="213"/>
    </row>
    <row r="527" ht="15.75" customHeight="1">
      <c r="A527" s="142"/>
      <c r="B527" s="142"/>
      <c r="C527" s="160"/>
      <c r="D527" s="160"/>
      <c r="E527" s="142"/>
      <c r="F527" s="161"/>
      <c r="G527" s="142"/>
      <c r="H527" s="142"/>
      <c r="I527" s="142"/>
      <c r="J527" s="245"/>
      <c r="K527" s="142"/>
      <c r="L527" s="245"/>
      <c r="M527" s="167"/>
      <c r="N527" s="246"/>
      <c r="O527" s="142"/>
      <c r="P527" s="213"/>
    </row>
    <row r="528" ht="15.75" customHeight="1">
      <c r="A528" s="142"/>
      <c r="B528" s="142"/>
      <c r="C528" s="160"/>
      <c r="D528" s="160"/>
      <c r="E528" s="142"/>
      <c r="F528" s="161"/>
      <c r="G528" s="142"/>
      <c r="H528" s="142"/>
      <c r="I528" s="142"/>
      <c r="J528" s="245"/>
      <c r="K528" s="142"/>
      <c r="L528" s="245"/>
      <c r="M528" s="167"/>
      <c r="N528" s="246"/>
      <c r="O528" s="142"/>
      <c r="P528" s="213"/>
    </row>
    <row r="529" ht="15.75" customHeight="1">
      <c r="A529" s="142"/>
      <c r="B529" s="142"/>
      <c r="C529" s="160"/>
      <c r="D529" s="160"/>
      <c r="E529" s="142"/>
      <c r="F529" s="161"/>
      <c r="G529" s="142"/>
      <c r="H529" s="142"/>
      <c r="I529" s="142"/>
      <c r="J529" s="245"/>
      <c r="K529" s="142"/>
      <c r="L529" s="245"/>
      <c r="M529" s="167"/>
      <c r="N529" s="246"/>
      <c r="O529" s="142"/>
      <c r="P529" s="213"/>
    </row>
    <row r="530" ht="15.75" customHeight="1">
      <c r="A530" s="142"/>
      <c r="B530" s="142"/>
      <c r="C530" s="160"/>
      <c r="D530" s="160"/>
      <c r="E530" s="142"/>
      <c r="F530" s="161"/>
      <c r="G530" s="142"/>
      <c r="H530" s="142"/>
      <c r="I530" s="142"/>
      <c r="J530" s="245"/>
      <c r="K530" s="142"/>
      <c r="L530" s="245"/>
      <c r="M530" s="167"/>
      <c r="N530" s="246"/>
      <c r="O530" s="142"/>
      <c r="P530" s="213"/>
    </row>
    <row r="531" ht="15.75" customHeight="1">
      <c r="A531" s="142"/>
      <c r="B531" s="142"/>
      <c r="C531" s="160"/>
      <c r="D531" s="160"/>
      <c r="E531" s="142"/>
      <c r="F531" s="161"/>
      <c r="G531" s="142"/>
      <c r="H531" s="142"/>
      <c r="I531" s="142"/>
      <c r="J531" s="245"/>
      <c r="K531" s="142"/>
      <c r="L531" s="245"/>
      <c r="M531" s="167"/>
      <c r="N531" s="246"/>
      <c r="O531" s="142"/>
      <c r="P531" s="213"/>
    </row>
    <row r="532" ht="15.75" customHeight="1">
      <c r="A532" s="142"/>
      <c r="B532" s="142"/>
      <c r="C532" s="160"/>
      <c r="D532" s="160"/>
      <c r="E532" s="142"/>
      <c r="F532" s="161"/>
      <c r="G532" s="142"/>
      <c r="H532" s="142"/>
      <c r="I532" s="142"/>
      <c r="J532" s="245"/>
      <c r="K532" s="142"/>
      <c r="L532" s="245"/>
      <c r="M532" s="167"/>
      <c r="N532" s="246"/>
      <c r="O532" s="142"/>
      <c r="P532" s="213"/>
    </row>
    <row r="533" ht="15.75" customHeight="1">
      <c r="A533" s="142"/>
      <c r="B533" s="142"/>
      <c r="C533" s="160"/>
      <c r="D533" s="160"/>
      <c r="E533" s="142"/>
      <c r="F533" s="161"/>
      <c r="G533" s="142"/>
      <c r="H533" s="142"/>
      <c r="I533" s="142"/>
      <c r="J533" s="245"/>
      <c r="K533" s="142"/>
      <c r="L533" s="245"/>
      <c r="M533" s="167"/>
      <c r="N533" s="246"/>
      <c r="O533" s="142"/>
      <c r="P533" s="213"/>
    </row>
    <row r="534" ht="15.75" customHeight="1">
      <c r="A534" s="142"/>
      <c r="B534" s="142"/>
      <c r="C534" s="160"/>
      <c r="D534" s="160"/>
      <c r="E534" s="142"/>
      <c r="F534" s="161"/>
      <c r="G534" s="142"/>
      <c r="H534" s="142"/>
      <c r="I534" s="142"/>
      <c r="J534" s="245"/>
      <c r="K534" s="142"/>
      <c r="L534" s="245"/>
      <c r="M534" s="167"/>
      <c r="N534" s="246"/>
      <c r="O534" s="142"/>
      <c r="P534" s="213"/>
    </row>
    <row r="535" ht="15.75" customHeight="1">
      <c r="A535" s="142"/>
      <c r="B535" s="142"/>
      <c r="C535" s="160"/>
      <c r="D535" s="160"/>
      <c r="E535" s="142"/>
      <c r="F535" s="161"/>
      <c r="G535" s="142"/>
      <c r="H535" s="142"/>
      <c r="I535" s="142"/>
      <c r="J535" s="245"/>
      <c r="K535" s="142"/>
      <c r="L535" s="245"/>
      <c r="M535" s="167"/>
      <c r="N535" s="246"/>
      <c r="O535" s="142"/>
      <c r="P535" s="213"/>
    </row>
    <row r="536" ht="15.75" customHeight="1">
      <c r="A536" s="142"/>
      <c r="B536" s="142"/>
      <c r="C536" s="160"/>
      <c r="D536" s="160"/>
      <c r="E536" s="142"/>
      <c r="F536" s="161"/>
      <c r="G536" s="142"/>
      <c r="H536" s="142"/>
      <c r="I536" s="142"/>
      <c r="J536" s="245"/>
      <c r="K536" s="142"/>
      <c r="L536" s="245"/>
      <c r="M536" s="167"/>
      <c r="N536" s="246"/>
      <c r="O536" s="142"/>
      <c r="P536" s="213"/>
    </row>
    <row r="537" ht="15.75" customHeight="1">
      <c r="A537" s="142"/>
      <c r="B537" s="142"/>
      <c r="C537" s="160"/>
      <c r="D537" s="160"/>
      <c r="E537" s="142"/>
      <c r="F537" s="161"/>
      <c r="G537" s="142"/>
      <c r="H537" s="142"/>
      <c r="I537" s="142"/>
      <c r="J537" s="245"/>
      <c r="K537" s="142"/>
      <c r="L537" s="245"/>
      <c r="M537" s="167"/>
      <c r="N537" s="246"/>
      <c r="O537" s="142"/>
      <c r="P537" s="213"/>
    </row>
    <row r="538" ht="15.75" customHeight="1">
      <c r="A538" s="142"/>
      <c r="B538" s="142"/>
      <c r="C538" s="160"/>
      <c r="D538" s="160"/>
      <c r="E538" s="142"/>
      <c r="F538" s="161"/>
      <c r="G538" s="142"/>
      <c r="H538" s="142"/>
      <c r="I538" s="142"/>
      <c r="J538" s="245"/>
      <c r="K538" s="142"/>
      <c r="L538" s="245"/>
      <c r="M538" s="167"/>
      <c r="N538" s="246"/>
      <c r="O538" s="142"/>
      <c r="P538" s="213"/>
    </row>
    <row r="539" ht="15.75" customHeight="1">
      <c r="A539" s="142"/>
      <c r="B539" s="142"/>
      <c r="C539" s="160"/>
      <c r="D539" s="160"/>
      <c r="E539" s="142"/>
      <c r="F539" s="161"/>
      <c r="G539" s="142"/>
      <c r="H539" s="142"/>
      <c r="I539" s="142"/>
      <c r="J539" s="245"/>
      <c r="K539" s="142"/>
      <c r="L539" s="245"/>
      <c r="M539" s="167"/>
      <c r="N539" s="246"/>
      <c r="O539" s="142"/>
      <c r="P539" s="213"/>
    </row>
    <row r="540" ht="15.75" customHeight="1">
      <c r="A540" s="142"/>
      <c r="B540" s="142"/>
      <c r="C540" s="160"/>
      <c r="D540" s="160"/>
      <c r="E540" s="142"/>
      <c r="F540" s="161"/>
      <c r="G540" s="142"/>
      <c r="H540" s="142"/>
      <c r="I540" s="142"/>
      <c r="J540" s="245"/>
      <c r="K540" s="142"/>
      <c r="L540" s="245"/>
      <c r="M540" s="167"/>
      <c r="N540" s="246"/>
      <c r="O540" s="142"/>
      <c r="P540" s="213"/>
    </row>
    <row r="541" ht="15.75" customHeight="1">
      <c r="A541" s="142"/>
      <c r="B541" s="142"/>
      <c r="C541" s="160"/>
      <c r="D541" s="160"/>
      <c r="E541" s="142"/>
      <c r="F541" s="161"/>
      <c r="G541" s="142"/>
      <c r="H541" s="142"/>
      <c r="I541" s="142"/>
      <c r="J541" s="245"/>
      <c r="K541" s="142"/>
      <c r="L541" s="245"/>
      <c r="M541" s="167"/>
      <c r="N541" s="246"/>
      <c r="O541" s="142"/>
      <c r="P541" s="213"/>
    </row>
    <row r="542" ht="15.75" customHeight="1">
      <c r="A542" s="142"/>
      <c r="B542" s="142"/>
      <c r="C542" s="160"/>
      <c r="D542" s="160"/>
      <c r="E542" s="142"/>
      <c r="F542" s="161"/>
      <c r="G542" s="142"/>
      <c r="H542" s="142"/>
      <c r="I542" s="142"/>
      <c r="J542" s="245"/>
      <c r="K542" s="142"/>
      <c r="L542" s="245"/>
      <c r="M542" s="167"/>
      <c r="N542" s="246"/>
      <c r="O542" s="142"/>
      <c r="P542" s="213"/>
    </row>
    <row r="543" ht="15.75" customHeight="1">
      <c r="A543" s="142"/>
      <c r="B543" s="142"/>
      <c r="C543" s="160"/>
      <c r="D543" s="160"/>
      <c r="E543" s="142"/>
      <c r="F543" s="161"/>
      <c r="G543" s="142"/>
      <c r="H543" s="142"/>
      <c r="I543" s="142"/>
      <c r="J543" s="245"/>
      <c r="K543" s="142"/>
      <c r="L543" s="245"/>
      <c r="M543" s="167"/>
      <c r="N543" s="246"/>
      <c r="O543" s="142"/>
      <c r="P543" s="213"/>
    </row>
    <row r="544" ht="15.75" customHeight="1">
      <c r="A544" s="142"/>
      <c r="B544" s="142"/>
      <c r="C544" s="160"/>
      <c r="D544" s="160"/>
      <c r="E544" s="142"/>
      <c r="F544" s="161"/>
      <c r="G544" s="142"/>
      <c r="H544" s="142"/>
      <c r="I544" s="142"/>
      <c r="J544" s="245"/>
      <c r="K544" s="142"/>
      <c r="L544" s="245"/>
      <c r="M544" s="167"/>
      <c r="N544" s="246"/>
      <c r="O544" s="142"/>
      <c r="P544" s="213"/>
    </row>
    <row r="545" ht="15.75" customHeight="1">
      <c r="A545" s="142"/>
      <c r="B545" s="142"/>
      <c r="C545" s="160"/>
      <c r="D545" s="160"/>
      <c r="E545" s="142"/>
      <c r="F545" s="161"/>
      <c r="G545" s="142"/>
      <c r="H545" s="142"/>
      <c r="I545" s="142"/>
      <c r="J545" s="245"/>
      <c r="K545" s="142"/>
      <c r="L545" s="245"/>
      <c r="M545" s="167"/>
      <c r="N545" s="246"/>
      <c r="O545" s="142"/>
      <c r="P545" s="213"/>
    </row>
    <row r="546" ht="15.75" customHeight="1">
      <c r="A546" s="142"/>
      <c r="B546" s="142"/>
      <c r="C546" s="160"/>
      <c r="D546" s="160"/>
      <c r="E546" s="142"/>
      <c r="F546" s="161"/>
      <c r="G546" s="142"/>
      <c r="H546" s="142"/>
      <c r="I546" s="142"/>
      <c r="J546" s="245"/>
      <c r="K546" s="142"/>
      <c r="L546" s="245"/>
      <c r="M546" s="167"/>
      <c r="N546" s="246"/>
      <c r="O546" s="142"/>
      <c r="P546" s="213"/>
    </row>
    <row r="547" ht="15.75" customHeight="1">
      <c r="A547" s="142"/>
      <c r="B547" s="142"/>
      <c r="C547" s="160"/>
      <c r="D547" s="160"/>
      <c r="E547" s="142"/>
      <c r="F547" s="161"/>
      <c r="G547" s="142"/>
      <c r="H547" s="142"/>
      <c r="I547" s="142"/>
      <c r="J547" s="245"/>
      <c r="K547" s="142"/>
      <c r="L547" s="245"/>
      <c r="M547" s="167"/>
      <c r="N547" s="246"/>
      <c r="O547" s="142"/>
      <c r="P547" s="213"/>
    </row>
    <row r="548" ht="15.75" customHeight="1">
      <c r="A548" s="142"/>
      <c r="B548" s="142"/>
      <c r="C548" s="160"/>
      <c r="D548" s="160"/>
      <c r="E548" s="142"/>
      <c r="F548" s="161"/>
      <c r="G548" s="142"/>
      <c r="H548" s="142"/>
      <c r="I548" s="142"/>
      <c r="J548" s="245"/>
      <c r="K548" s="142"/>
      <c r="L548" s="245"/>
      <c r="M548" s="167"/>
      <c r="N548" s="246"/>
      <c r="O548" s="142"/>
      <c r="P548" s="213"/>
    </row>
    <row r="549" ht="15.75" customHeight="1">
      <c r="A549" s="142"/>
      <c r="B549" s="142"/>
      <c r="C549" s="160"/>
      <c r="D549" s="160"/>
      <c r="E549" s="142"/>
      <c r="F549" s="161"/>
      <c r="G549" s="142"/>
      <c r="H549" s="142"/>
      <c r="I549" s="142"/>
      <c r="J549" s="245"/>
      <c r="K549" s="142"/>
      <c r="L549" s="245"/>
      <c r="M549" s="167"/>
      <c r="N549" s="246"/>
      <c r="O549" s="142"/>
      <c r="P549" s="213"/>
    </row>
    <row r="550" ht="15.75" customHeight="1">
      <c r="A550" s="142"/>
      <c r="B550" s="142"/>
      <c r="C550" s="160"/>
      <c r="D550" s="160"/>
      <c r="E550" s="142"/>
      <c r="F550" s="161"/>
      <c r="G550" s="142"/>
      <c r="H550" s="142"/>
      <c r="I550" s="142"/>
      <c r="J550" s="245"/>
      <c r="K550" s="142"/>
      <c r="L550" s="245"/>
      <c r="M550" s="167"/>
      <c r="N550" s="246"/>
      <c r="O550" s="142"/>
      <c r="P550" s="213"/>
    </row>
    <row r="551" ht="15.75" customHeight="1">
      <c r="A551" s="142"/>
      <c r="B551" s="142"/>
      <c r="C551" s="160"/>
      <c r="D551" s="160"/>
      <c r="E551" s="142"/>
      <c r="F551" s="161"/>
      <c r="G551" s="142"/>
      <c r="H551" s="142"/>
      <c r="I551" s="142"/>
      <c r="J551" s="245"/>
      <c r="K551" s="142"/>
      <c r="L551" s="245"/>
      <c r="M551" s="167"/>
      <c r="N551" s="246"/>
      <c r="O551" s="142"/>
      <c r="P551" s="213"/>
    </row>
    <row r="552" ht="15.75" customHeight="1">
      <c r="A552" s="142"/>
      <c r="B552" s="142"/>
      <c r="C552" s="160"/>
      <c r="D552" s="160"/>
      <c r="E552" s="142"/>
      <c r="F552" s="161"/>
      <c r="G552" s="142"/>
      <c r="H552" s="142"/>
      <c r="I552" s="142"/>
      <c r="J552" s="245"/>
      <c r="K552" s="142"/>
      <c r="L552" s="245"/>
      <c r="M552" s="167"/>
      <c r="N552" s="246"/>
      <c r="O552" s="142"/>
      <c r="P552" s="213"/>
    </row>
    <row r="553" ht="15.75" customHeight="1">
      <c r="A553" s="142"/>
      <c r="B553" s="142"/>
      <c r="C553" s="160"/>
      <c r="D553" s="160"/>
      <c r="E553" s="142"/>
      <c r="F553" s="161"/>
      <c r="G553" s="142"/>
      <c r="H553" s="142"/>
      <c r="I553" s="142"/>
      <c r="J553" s="245"/>
      <c r="K553" s="142"/>
      <c r="L553" s="245"/>
      <c r="M553" s="167"/>
      <c r="N553" s="246"/>
      <c r="O553" s="142"/>
      <c r="P553" s="213"/>
    </row>
    <row r="554" ht="15.75" customHeight="1">
      <c r="A554" s="142"/>
      <c r="B554" s="142"/>
      <c r="C554" s="160"/>
      <c r="D554" s="160"/>
      <c r="E554" s="142"/>
      <c r="F554" s="161"/>
      <c r="G554" s="142"/>
      <c r="H554" s="142"/>
      <c r="I554" s="142"/>
      <c r="J554" s="245"/>
      <c r="K554" s="142"/>
      <c r="L554" s="245"/>
      <c r="M554" s="167"/>
      <c r="N554" s="246"/>
      <c r="O554" s="142"/>
      <c r="P554" s="213"/>
    </row>
    <row r="555" ht="15.75" customHeight="1">
      <c r="A555" s="142"/>
      <c r="B555" s="142"/>
      <c r="C555" s="160"/>
      <c r="D555" s="160"/>
      <c r="E555" s="142"/>
      <c r="F555" s="161"/>
      <c r="G555" s="142"/>
      <c r="H555" s="142"/>
      <c r="I555" s="142"/>
      <c r="J555" s="245"/>
      <c r="K555" s="142"/>
      <c r="L555" s="245"/>
      <c r="M555" s="167"/>
      <c r="N555" s="246"/>
      <c r="O555" s="142"/>
      <c r="P555" s="213"/>
    </row>
    <row r="556" ht="15.75" customHeight="1">
      <c r="A556" s="142"/>
      <c r="B556" s="142"/>
      <c r="C556" s="160"/>
      <c r="D556" s="160"/>
      <c r="E556" s="142"/>
      <c r="F556" s="161"/>
      <c r="G556" s="142"/>
      <c r="H556" s="142"/>
      <c r="I556" s="142"/>
      <c r="J556" s="245"/>
      <c r="K556" s="142"/>
      <c r="L556" s="245"/>
      <c r="M556" s="167"/>
      <c r="N556" s="246"/>
      <c r="O556" s="142"/>
      <c r="P556" s="213"/>
    </row>
    <row r="557" ht="15.75" customHeight="1">
      <c r="A557" s="142"/>
      <c r="B557" s="142"/>
      <c r="C557" s="160"/>
      <c r="D557" s="160"/>
      <c r="E557" s="142"/>
      <c r="F557" s="161"/>
      <c r="G557" s="142"/>
      <c r="H557" s="142"/>
      <c r="I557" s="142"/>
      <c r="J557" s="245"/>
      <c r="K557" s="142"/>
      <c r="L557" s="245"/>
      <c r="M557" s="167"/>
      <c r="N557" s="246"/>
      <c r="O557" s="142"/>
      <c r="P557" s="213"/>
    </row>
    <row r="558" ht="15.75" customHeight="1">
      <c r="A558" s="142"/>
      <c r="B558" s="142"/>
      <c r="C558" s="160"/>
      <c r="D558" s="160"/>
      <c r="E558" s="142"/>
      <c r="F558" s="161"/>
      <c r="G558" s="142"/>
      <c r="H558" s="142"/>
      <c r="I558" s="142"/>
      <c r="J558" s="245"/>
      <c r="K558" s="142"/>
      <c r="L558" s="245"/>
      <c r="M558" s="167"/>
      <c r="N558" s="246"/>
      <c r="O558" s="142"/>
      <c r="P558" s="213"/>
    </row>
    <row r="559" ht="15.75" customHeight="1">
      <c r="A559" s="142"/>
      <c r="B559" s="142"/>
      <c r="C559" s="160"/>
      <c r="D559" s="160"/>
      <c r="E559" s="142"/>
      <c r="F559" s="161"/>
      <c r="G559" s="142"/>
      <c r="H559" s="142"/>
      <c r="I559" s="142"/>
      <c r="J559" s="245"/>
      <c r="K559" s="142"/>
      <c r="L559" s="245"/>
      <c r="M559" s="167"/>
      <c r="N559" s="246"/>
      <c r="O559" s="142"/>
      <c r="P559" s="213"/>
    </row>
    <row r="560" ht="15.75" customHeight="1">
      <c r="A560" s="142"/>
      <c r="B560" s="142"/>
      <c r="C560" s="160"/>
      <c r="D560" s="160"/>
      <c r="E560" s="142"/>
      <c r="F560" s="161"/>
      <c r="G560" s="142"/>
      <c r="H560" s="142"/>
      <c r="I560" s="142"/>
      <c r="J560" s="245"/>
      <c r="K560" s="142"/>
      <c r="L560" s="245"/>
      <c r="M560" s="167"/>
      <c r="N560" s="246"/>
      <c r="O560" s="142"/>
      <c r="P560" s="213"/>
    </row>
    <row r="561" ht="15.75" customHeight="1">
      <c r="A561" s="142"/>
      <c r="B561" s="142"/>
      <c r="C561" s="160"/>
      <c r="D561" s="160"/>
      <c r="E561" s="142"/>
      <c r="F561" s="161"/>
      <c r="G561" s="142"/>
      <c r="H561" s="142"/>
      <c r="I561" s="142"/>
      <c r="J561" s="245"/>
      <c r="K561" s="142"/>
      <c r="L561" s="245"/>
      <c r="M561" s="167"/>
      <c r="N561" s="246"/>
      <c r="O561" s="142"/>
      <c r="P561" s="213"/>
    </row>
    <row r="562" ht="15.75" customHeight="1">
      <c r="A562" s="142"/>
      <c r="B562" s="142"/>
      <c r="C562" s="160"/>
      <c r="D562" s="160"/>
      <c r="E562" s="142"/>
      <c r="F562" s="161"/>
      <c r="G562" s="142"/>
      <c r="H562" s="142"/>
      <c r="I562" s="142"/>
      <c r="J562" s="245"/>
      <c r="K562" s="142"/>
      <c r="L562" s="245"/>
      <c r="M562" s="167"/>
      <c r="N562" s="246"/>
      <c r="O562" s="142"/>
      <c r="P562" s="213"/>
    </row>
    <row r="563" ht="15.75" customHeight="1">
      <c r="A563" s="142"/>
      <c r="B563" s="142"/>
      <c r="C563" s="160"/>
      <c r="D563" s="160"/>
      <c r="E563" s="142"/>
      <c r="F563" s="161"/>
      <c r="G563" s="142"/>
      <c r="H563" s="142"/>
      <c r="I563" s="142"/>
      <c r="J563" s="245"/>
      <c r="K563" s="142"/>
      <c r="L563" s="245"/>
      <c r="M563" s="167"/>
      <c r="N563" s="246"/>
      <c r="O563" s="142"/>
      <c r="P563" s="213"/>
    </row>
    <row r="564" ht="15.75" customHeight="1">
      <c r="A564" s="142"/>
      <c r="B564" s="142"/>
      <c r="C564" s="160"/>
      <c r="D564" s="160"/>
      <c r="E564" s="142"/>
      <c r="F564" s="161"/>
      <c r="G564" s="142"/>
      <c r="H564" s="142"/>
      <c r="I564" s="142"/>
      <c r="J564" s="245"/>
      <c r="K564" s="142"/>
      <c r="L564" s="245"/>
      <c r="M564" s="167"/>
      <c r="N564" s="246"/>
      <c r="O564" s="142"/>
      <c r="P564" s="213"/>
    </row>
    <row r="565" ht="15.75" customHeight="1">
      <c r="A565" s="142"/>
      <c r="B565" s="142"/>
      <c r="C565" s="160"/>
      <c r="D565" s="160"/>
      <c r="E565" s="142"/>
      <c r="F565" s="161"/>
      <c r="G565" s="142"/>
      <c r="H565" s="142"/>
      <c r="I565" s="142"/>
      <c r="J565" s="245"/>
      <c r="K565" s="142"/>
      <c r="L565" s="245"/>
      <c r="M565" s="167"/>
      <c r="N565" s="246"/>
      <c r="O565" s="142"/>
      <c r="P565" s="213"/>
    </row>
    <row r="566" ht="15.75" customHeight="1">
      <c r="A566" s="142"/>
      <c r="B566" s="142"/>
      <c r="C566" s="160"/>
      <c r="D566" s="160"/>
      <c r="E566" s="142"/>
      <c r="F566" s="161"/>
      <c r="G566" s="142"/>
      <c r="H566" s="142"/>
      <c r="I566" s="142"/>
      <c r="J566" s="245"/>
      <c r="K566" s="142"/>
      <c r="L566" s="245"/>
      <c r="M566" s="167"/>
      <c r="N566" s="246"/>
      <c r="O566" s="142"/>
      <c r="P566" s="213"/>
    </row>
    <row r="567" ht="15.75" customHeight="1">
      <c r="A567" s="142"/>
      <c r="B567" s="142"/>
      <c r="C567" s="160"/>
      <c r="D567" s="160"/>
      <c r="E567" s="142"/>
      <c r="F567" s="161"/>
      <c r="G567" s="142"/>
      <c r="H567" s="142"/>
      <c r="I567" s="142"/>
      <c r="J567" s="245"/>
      <c r="K567" s="142"/>
      <c r="L567" s="245"/>
      <c r="M567" s="167"/>
      <c r="N567" s="246"/>
      <c r="O567" s="142"/>
      <c r="P567" s="213"/>
    </row>
    <row r="568" ht="15.75" customHeight="1">
      <c r="A568" s="142"/>
      <c r="B568" s="142"/>
      <c r="C568" s="160"/>
      <c r="D568" s="160"/>
      <c r="E568" s="142"/>
      <c r="F568" s="161"/>
      <c r="G568" s="142"/>
      <c r="H568" s="142"/>
      <c r="I568" s="142"/>
      <c r="J568" s="245"/>
      <c r="K568" s="142"/>
      <c r="L568" s="245"/>
      <c r="M568" s="167"/>
      <c r="N568" s="246"/>
      <c r="O568" s="142"/>
      <c r="P568" s="213"/>
    </row>
    <row r="569" ht="15.75" customHeight="1">
      <c r="A569" s="142"/>
      <c r="B569" s="142"/>
      <c r="C569" s="160"/>
      <c r="D569" s="160"/>
      <c r="E569" s="142"/>
      <c r="F569" s="161"/>
      <c r="G569" s="142"/>
      <c r="H569" s="142"/>
      <c r="I569" s="142"/>
      <c r="J569" s="245"/>
      <c r="K569" s="142"/>
      <c r="L569" s="245"/>
      <c r="M569" s="167"/>
      <c r="N569" s="246"/>
      <c r="O569" s="142"/>
      <c r="P569" s="213"/>
    </row>
    <row r="570" ht="15.75" customHeight="1">
      <c r="A570" s="142"/>
      <c r="B570" s="142"/>
      <c r="C570" s="160"/>
      <c r="D570" s="160"/>
      <c r="E570" s="142"/>
      <c r="F570" s="161"/>
      <c r="G570" s="142"/>
      <c r="H570" s="142"/>
      <c r="I570" s="142"/>
      <c r="J570" s="245"/>
      <c r="K570" s="142"/>
      <c r="L570" s="245"/>
      <c r="M570" s="167"/>
      <c r="N570" s="246"/>
      <c r="O570" s="142"/>
      <c r="P570" s="213"/>
    </row>
    <row r="571" ht="15.75" customHeight="1">
      <c r="A571" s="142"/>
      <c r="B571" s="142"/>
      <c r="C571" s="160"/>
      <c r="D571" s="160"/>
      <c r="E571" s="142"/>
      <c r="F571" s="161"/>
      <c r="G571" s="142"/>
      <c r="H571" s="142"/>
      <c r="I571" s="142"/>
      <c r="J571" s="245"/>
      <c r="K571" s="142"/>
      <c r="L571" s="245"/>
      <c r="M571" s="167"/>
      <c r="N571" s="246"/>
      <c r="O571" s="142"/>
      <c r="P571" s="213"/>
    </row>
    <row r="572" ht="15.75" customHeight="1">
      <c r="A572" s="142"/>
      <c r="B572" s="142"/>
      <c r="C572" s="160"/>
      <c r="D572" s="160"/>
      <c r="E572" s="142"/>
      <c r="F572" s="161"/>
      <c r="G572" s="142"/>
      <c r="H572" s="142"/>
      <c r="I572" s="142"/>
      <c r="J572" s="245"/>
      <c r="K572" s="142"/>
      <c r="L572" s="245"/>
      <c r="M572" s="167"/>
      <c r="N572" s="246"/>
      <c r="O572" s="142"/>
      <c r="P572" s="213"/>
    </row>
    <row r="573" ht="15.75" customHeight="1">
      <c r="A573" s="142"/>
      <c r="B573" s="142"/>
      <c r="C573" s="160"/>
      <c r="D573" s="160"/>
      <c r="E573" s="142"/>
      <c r="F573" s="161"/>
      <c r="G573" s="142"/>
      <c r="H573" s="142"/>
      <c r="I573" s="142"/>
      <c r="J573" s="245"/>
      <c r="K573" s="142"/>
      <c r="L573" s="245"/>
      <c r="M573" s="167"/>
      <c r="N573" s="246"/>
      <c r="O573" s="142"/>
      <c r="P573" s="213"/>
    </row>
    <row r="574" ht="15.75" customHeight="1">
      <c r="A574" s="142"/>
      <c r="B574" s="142"/>
      <c r="C574" s="160"/>
      <c r="D574" s="160"/>
      <c r="E574" s="142"/>
      <c r="F574" s="161"/>
      <c r="G574" s="142"/>
      <c r="H574" s="142"/>
      <c r="I574" s="142"/>
      <c r="J574" s="245"/>
      <c r="K574" s="142"/>
      <c r="L574" s="245"/>
      <c r="M574" s="167"/>
      <c r="N574" s="246"/>
      <c r="O574" s="142"/>
      <c r="P574" s="213"/>
    </row>
    <row r="575" ht="15.75" customHeight="1">
      <c r="A575" s="142"/>
      <c r="B575" s="142"/>
      <c r="C575" s="160"/>
      <c r="D575" s="160"/>
      <c r="E575" s="142"/>
      <c r="F575" s="161"/>
      <c r="G575" s="142"/>
      <c r="H575" s="142"/>
      <c r="I575" s="142"/>
      <c r="J575" s="245"/>
      <c r="K575" s="142"/>
      <c r="L575" s="245"/>
      <c r="M575" s="167"/>
      <c r="N575" s="246"/>
      <c r="O575" s="142"/>
      <c r="P575" s="213"/>
    </row>
    <row r="576" ht="15.75" customHeight="1">
      <c r="A576" s="142"/>
      <c r="B576" s="142"/>
      <c r="C576" s="160"/>
      <c r="D576" s="160"/>
      <c r="E576" s="142"/>
      <c r="F576" s="161"/>
      <c r="G576" s="142"/>
      <c r="H576" s="142"/>
      <c r="I576" s="142"/>
      <c r="J576" s="245"/>
      <c r="K576" s="142"/>
      <c r="L576" s="245"/>
      <c r="M576" s="167"/>
      <c r="N576" s="246"/>
      <c r="O576" s="142"/>
      <c r="P576" s="213"/>
    </row>
    <row r="577" ht="15.75" customHeight="1">
      <c r="A577" s="142"/>
      <c r="B577" s="142"/>
      <c r="C577" s="160"/>
      <c r="D577" s="160"/>
      <c r="E577" s="142"/>
      <c r="F577" s="161"/>
      <c r="G577" s="142"/>
      <c r="H577" s="142"/>
      <c r="I577" s="142"/>
      <c r="J577" s="245"/>
      <c r="K577" s="142"/>
      <c r="L577" s="245"/>
      <c r="M577" s="167"/>
      <c r="N577" s="246"/>
      <c r="O577" s="142"/>
      <c r="P577" s="213"/>
    </row>
    <row r="578" ht="15.75" customHeight="1">
      <c r="A578" s="142"/>
      <c r="B578" s="142"/>
      <c r="C578" s="160"/>
      <c r="D578" s="160"/>
      <c r="E578" s="142"/>
      <c r="F578" s="161"/>
      <c r="G578" s="142"/>
      <c r="H578" s="142"/>
      <c r="I578" s="142"/>
      <c r="J578" s="245"/>
      <c r="K578" s="142"/>
      <c r="L578" s="245"/>
      <c r="M578" s="167"/>
      <c r="N578" s="246"/>
      <c r="O578" s="142"/>
      <c r="P578" s="213"/>
    </row>
    <row r="579" ht="15.75" customHeight="1">
      <c r="A579" s="142"/>
      <c r="B579" s="142"/>
      <c r="C579" s="160"/>
      <c r="D579" s="160"/>
      <c r="E579" s="142"/>
      <c r="F579" s="161"/>
      <c r="G579" s="142"/>
      <c r="H579" s="142"/>
      <c r="I579" s="142"/>
      <c r="J579" s="245"/>
      <c r="K579" s="142"/>
      <c r="L579" s="245"/>
      <c r="M579" s="167"/>
      <c r="N579" s="246"/>
      <c r="O579" s="142"/>
      <c r="P579" s="213"/>
    </row>
    <row r="580" ht="15.75" customHeight="1">
      <c r="A580" s="142"/>
      <c r="B580" s="142"/>
      <c r="C580" s="160"/>
      <c r="D580" s="160"/>
      <c r="E580" s="142"/>
      <c r="F580" s="161"/>
      <c r="G580" s="142"/>
      <c r="H580" s="142"/>
      <c r="I580" s="142"/>
      <c r="J580" s="245"/>
      <c r="K580" s="142"/>
      <c r="L580" s="245"/>
      <c r="M580" s="167"/>
      <c r="N580" s="246"/>
      <c r="O580" s="142"/>
      <c r="P580" s="213"/>
    </row>
    <row r="581" ht="15.75" customHeight="1">
      <c r="A581" s="142"/>
      <c r="B581" s="142"/>
      <c r="C581" s="160"/>
      <c r="D581" s="160"/>
      <c r="E581" s="142"/>
      <c r="F581" s="161"/>
      <c r="G581" s="142"/>
      <c r="H581" s="142"/>
      <c r="I581" s="142"/>
      <c r="J581" s="245"/>
      <c r="K581" s="142"/>
      <c r="L581" s="245"/>
      <c r="M581" s="167"/>
      <c r="N581" s="246"/>
      <c r="O581" s="142"/>
      <c r="P581" s="213"/>
    </row>
    <row r="582" ht="15.75" customHeight="1">
      <c r="A582" s="142"/>
      <c r="B582" s="142"/>
      <c r="C582" s="160"/>
      <c r="D582" s="160"/>
      <c r="E582" s="142"/>
      <c r="F582" s="161"/>
      <c r="G582" s="142"/>
      <c r="H582" s="142"/>
      <c r="I582" s="142"/>
      <c r="J582" s="245"/>
      <c r="K582" s="142"/>
      <c r="L582" s="245"/>
      <c r="M582" s="167"/>
      <c r="N582" s="246"/>
      <c r="O582" s="142"/>
      <c r="P582" s="213"/>
    </row>
    <row r="583" ht="15.75" customHeight="1">
      <c r="A583" s="142"/>
      <c r="B583" s="142"/>
      <c r="C583" s="160"/>
      <c r="D583" s="160"/>
      <c r="E583" s="142"/>
      <c r="F583" s="161"/>
      <c r="G583" s="142"/>
      <c r="H583" s="142"/>
      <c r="I583" s="142"/>
      <c r="J583" s="245"/>
      <c r="K583" s="142"/>
      <c r="L583" s="245"/>
      <c r="M583" s="167"/>
      <c r="N583" s="246"/>
      <c r="O583" s="142"/>
      <c r="P583" s="213"/>
    </row>
    <row r="584" ht="15.75" customHeight="1">
      <c r="A584" s="142"/>
      <c r="B584" s="142"/>
      <c r="C584" s="160"/>
      <c r="D584" s="160"/>
      <c r="E584" s="142"/>
      <c r="F584" s="161"/>
      <c r="G584" s="142"/>
      <c r="H584" s="142"/>
      <c r="I584" s="142"/>
      <c r="J584" s="245"/>
      <c r="K584" s="142"/>
      <c r="L584" s="245"/>
      <c r="M584" s="167"/>
      <c r="N584" s="246"/>
      <c r="O584" s="142"/>
      <c r="P584" s="213"/>
    </row>
    <row r="585" ht="15.75" customHeight="1">
      <c r="A585" s="142"/>
      <c r="B585" s="142"/>
      <c r="C585" s="160"/>
      <c r="D585" s="160"/>
      <c r="E585" s="142"/>
      <c r="F585" s="161"/>
      <c r="G585" s="142"/>
      <c r="H585" s="142"/>
      <c r="I585" s="142"/>
      <c r="J585" s="245"/>
      <c r="K585" s="142"/>
      <c r="L585" s="245"/>
      <c r="M585" s="167"/>
      <c r="N585" s="246"/>
      <c r="O585" s="142"/>
      <c r="P585" s="213"/>
    </row>
    <row r="586" ht="15.75" customHeight="1">
      <c r="A586" s="142"/>
      <c r="B586" s="142"/>
      <c r="C586" s="160"/>
      <c r="D586" s="160"/>
      <c r="E586" s="142"/>
      <c r="F586" s="161"/>
      <c r="G586" s="142"/>
      <c r="H586" s="142"/>
      <c r="I586" s="142"/>
      <c r="J586" s="245"/>
      <c r="K586" s="142"/>
      <c r="L586" s="245"/>
      <c r="M586" s="167"/>
      <c r="N586" s="246"/>
      <c r="O586" s="142"/>
      <c r="P586" s="213"/>
    </row>
    <row r="587" ht="15.75" customHeight="1">
      <c r="A587" s="142"/>
      <c r="B587" s="142"/>
      <c r="C587" s="160"/>
      <c r="D587" s="160"/>
      <c r="E587" s="142"/>
      <c r="F587" s="161"/>
      <c r="G587" s="142"/>
      <c r="H587" s="142"/>
      <c r="I587" s="142"/>
      <c r="J587" s="245"/>
      <c r="K587" s="142"/>
      <c r="L587" s="245"/>
      <c r="M587" s="167"/>
      <c r="N587" s="246"/>
      <c r="O587" s="142"/>
      <c r="P587" s="213"/>
    </row>
    <row r="588" ht="15.75" customHeight="1">
      <c r="A588" s="142"/>
      <c r="B588" s="142"/>
      <c r="C588" s="160"/>
      <c r="D588" s="160"/>
      <c r="E588" s="142"/>
      <c r="F588" s="161"/>
      <c r="G588" s="142"/>
      <c r="H588" s="142"/>
      <c r="I588" s="142"/>
      <c r="J588" s="245"/>
      <c r="K588" s="142"/>
      <c r="L588" s="245"/>
      <c r="M588" s="167"/>
      <c r="N588" s="246"/>
      <c r="O588" s="142"/>
      <c r="P588" s="213"/>
    </row>
    <row r="589" ht="15.75" customHeight="1">
      <c r="A589" s="142"/>
      <c r="B589" s="142"/>
      <c r="C589" s="160"/>
      <c r="D589" s="160"/>
      <c r="E589" s="142"/>
      <c r="F589" s="161"/>
      <c r="G589" s="142"/>
      <c r="H589" s="142"/>
      <c r="I589" s="142"/>
      <c r="J589" s="245"/>
      <c r="K589" s="142"/>
      <c r="L589" s="245"/>
      <c r="M589" s="167"/>
      <c r="N589" s="246"/>
      <c r="O589" s="142"/>
      <c r="P589" s="213"/>
    </row>
    <row r="590" ht="15.75" customHeight="1">
      <c r="A590" s="142"/>
      <c r="B590" s="142"/>
      <c r="C590" s="160"/>
      <c r="D590" s="160"/>
      <c r="E590" s="142"/>
      <c r="F590" s="161"/>
      <c r="G590" s="142"/>
      <c r="H590" s="142"/>
      <c r="I590" s="142"/>
      <c r="J590" s="245"/>
      <c r="K590" s="142"/>
      <c r="L590" s="245"/>
      <c r="M590" s="167"/>
      <c r="N590" s="246"/>
      <c r="O590" s="142"/>
      <c r="P590" s="213"/>
    </row>
    <row r="591" ht="15.75" customHeight="1">
      <c r="A591" s="142"/>
      <c r="B591" s="142"/>
      <c r="C591" s="160"/>
      <c r="D591" s="160"/>
      <c r="E591" s="142"/>
      <c r="F591" s="161"/>
      <c r="G591" s="142"/>
      <c r="H591" s="142"/>
      <c r="I591" s="142"/>
      <c r="J591" s="245"/>
      <c r="K591" s="142"/>
      <c r="L591" s="245"/>
      <c r="M591" s="167"/>
      <c r="N591" s="246"/>
      <c r="O591" s="142"/>
      <c r="P591" s="213"/>
    </row>
    <row r="592" ht="15.75" customHeight="1">
      <c r="A592" s="142"/>
      <c r="B592" s="142"/>
      <c r="C592" s="160"/>
      <c r="D592" s="160"/>
      <c r="E592" s="142"/>
      <c r="F592" s="161"/>
      <c r="G592" s="142"/>
      <c r="H592" s="142"/>
      <c r="I592" s="142"/>
      <c r="J592" s="245"/>
      <c r="K592" s="142"/>
      <c r="L592" s="245"/>
      <c r="M592" s="167"/>
      <c r="N592" s="246"/>
      <c r="O592" s="142"/>
      <c r="P592" s="213"/>
    </row>
    <row r="593" ht="15.75" customHeight="1">
      <c r="A593" s="142"/>
      <c r="B593" s="142"/>
      <c r="C593" s="160"/>
      <c r="D593" s="160"/>
      <c r="E593" s="142"/>
      <c r="F593" s="161"/>
      <c r="G593" s="142"/>
      <c r="H593" s="142"/>
      <c r="I593" s="142"/>
      <c r="J593" s="245"/>
      <c r="K593" s="142"/>
      <c r="L593" s="245"/>
      <c r="M593" s="167"/>
      <c r="N593" s="246"/>
      <c r="O593" s="142"/>
      <c r="P593" s="213"/>
    </row>
    <row r="594" ht="15.75" customHeight="1">
      <c r="A594" s="142"/>
      <c r="B594" s="142"/>
      <c r="C594" s="160"/>
      <c r="D594" s="160"/>
      <c r="E594" s="142"/>
      <c r="F594" s="161"/>
      <c r="G594" s="142"/>
      <c r="H594" s="142"/>
      <c r="I594" s="142"/>
      <c r="J594" s="245"/>
      <c r="K594" s="142"/>
      <c r="L594" s="245"/>
      <c r="M594" s="167"/>
      <c r="N594" s="246"/>
      <c r="O594" s="142"/>
      <c r="P594" s="213"/>
    </row>
    <row r="595" ht="15.75" customHeight="1">
      <c r="A595" s="142"/>
      <c r="B595" s="142"/>
      <c r="C595" s="160"/>
      <c r="D595" s="160"/>
      <c r="E595" s="142"/>
      <c r="F595" s="161"/>
      <c r="G595" s="142"/>
      <c r="H595" s="142"/>
      <c r="I595" s="142"/>
      <c r="J595" s="245"/>
      <c r="K595" s="142"/>
      <c r="L595" s="245"/>
      <c r="M595" s="167"/>
      <c r="N595" s="246"/>
      <c r="O595" s="142"/>
      <c r="P595" s="213"/>
    </row>
    <row r="596" ht="15.75" customHeight="1">
      <c r="A596" s="142"/>
      <c r="B596" s="142"/>
      <c r="C596" s="160"/>
      <c r="D596" s="160"/>
      <c r="E596" s="142"/>
      <c r="F596" s="161"/>
      <c r="G596" s="142"/>
      <c r="H596" s="142"/>
      <c r="I596" s="142"/>
      <c r="J596" s="245"/>
      <c r="K596" s="142"/>
      <c r="L596" s="245"/>
      <c r="M596" s="167"/>
      <c r="N596" s="246"/>
      <c r="O596" s="142"/>
      <c r="P596" s="213"/>
    </row>
    <row r="597" ht="15.75" customHeight="1">
      <c r="A597" s="142"/>
      <c r="B597" s="142"/>
      <c r="C597" s="160"/>
      <c r="D597" s="160"/>
      <c r="E597" s="142"/>
      <c r="F597" s="161"/>
      <c r="G597" s="142"/>
      <c r="H597" s="142"/>
      <c r="I597" s="142"/>
      <c r="J597" s="245"/>
      <c r="K597" s="142"/>
      <c r="L597" s="245"/>
      <c r="M597" s="167"/>
      <c r="N597" s="246"/>
      <c r="O597" s="142"/>
      <c r="P597" s="213"/>
    </row>
    <row r="598" ht="15.75" customHeight="1">
      <c r="A598" s="142"/>
      <c r="B598" s="142"/>
      <c r="C598" s="160"/>
      <c r="D598" s="160"/>
      <c r="E598" s="142"/>
      <c r="F598" s="161"/>
      <c r="G598" s="142"/>
      <c r="H598" s="142"/>
      <c r="I598" s="142"/>
      <c r="J598" s="245"/>
      <c r="K598" s="142"/>
      <c r="L598" s="245"/>
      <c r="M598" s="167"/>
      <c r="N598" s="246"/>
      <c r="O598" s="142"/>
      <c r="P598" s="213"/>
    </row>
    <row r="599" ht="15.75" customHeight="1">
      <c r="A599" s="142"/>
      <c r="B599" s="142"/>
      <c r="C599" s="160"/>
      <c r="D599" s="160"/>
      <c r="E599" s="142"/>
      <c r="F599" s="161"/>
      <c r="G599" s="142"/>
      <c r="H599" s="142"/>
      <c r="I599" s="142"/>
      <c r="J599" s="245"/>
      <c r="K599" s="142"/>
      <c r="L599" s="245"/>
      <c r="M599" s="167"/>
      <c r="N599" s="246"/>
      <c r="O599" s="142"/>
      <c r="P599" s="213"/>
    </row>
    <row r="600" ht="15.75" customHeight="1">
      <c r="A600" s="142"/>
      <c r="B600" s="142"/>
      <c r="C600" s="160"/>
      <c r="D600" s="160"/>
      <c r="E600" s="142"/>
      <c r="F600" s="161"/>
      <c r="G600" s="142"/>
      <c r="H600" s="142"/>
      <c r="I600" s="142"/>
      <c r="J600" s="245"/>
      <c r="K600" s="142"/>
      <c r="L600" s="245"/>
      <c r="M600" s="167"/>
      <c r="N600" s="246"/>
      <c r="O600" s="142"/>
      <c r="P600" s="213"/>
    </row>
    <row r="601" ht="15.75" customHeight="1">
      <c r="A601" s="142"/>
      <c r="B601" s="142"/>
      <c r="C601" s="160"/>
      <c r="D601" s="160"/>
      <c r="E601" s="142"/>
      <c r="F601" s="161"/>
      <c r="G601" s="142"/>
      <c r="H601" s="142"/>
      <c r="I601" s="142"/>
      <c r="J601" s="245"/>
      <c r="K601" s="142"/>
      <c r="L601" s="245"/>
      <c r="M601" s="167"/>
      <c r="N601" s="246"/>
      <c r="O601" s="142"/>
      <c r="P601" s="213"/>
    </row>
    <row r="602" ht="15.75" customHeight="1">
      <c r="A602" s="142"/>
      <c r="B602" s="142"/>
      <c r="C602" s="160"/>
      <c r="D602" s="160"/>
      <c r="E602" s="142"/>
      <c r="F602" s="161"/>
      <c r="G602" s="142"/>
      <c r="H602" s="142"/>
      <c r="I602" s="142"/>
      <c r="J602" s="245"/>
      <c r="K602" s="142"/>
      <c r="L602" s="245"/>
      <c r="M602" s="167"/>
      <c r="N602" s="246"/>
      <c r="O602" s="142"/>
      <c r="P602" s="213"/>
    </row>
    <row r="603" ht="15.75" customHeight="1">
      <c r="A603" s="142"/>
      <c r="B603" s="142"/>
      <c r="C603" s="160"/>
      <c r="D603" s="160"/>
      <c r="E603" s="142"/>
      <c r="F603" s="161"/>
      <c r="G603" s="142"/>
      <c r="H603" s="142"/>
      <c r="I603" s="142"/>
      <c r="J603" s="245"/>
      <c r="K603" s="142"/>
      <c r="L603" s="245"/>
      <c r="M603" s="167"/>
      <c r="N603" s="246"/>
      <c r="O603" s="142"/>
      <c r="P603" s="213"/>
    </row>
    <row r="604" ht="15.75" customHeight="1">
      <c r="A604" s="142"/>
      <c r="B604" s="142"/>
      <c r="C604" s="160"/>
      <c r="D604" s="160"/>
      <c r="E604" s="142"/>
      <c r="F604" s="161"/>
      <c r="G604" s="142"/>
      <c r="H604" s="142"/>
      <c r="I604" s="142"/>
      <c r="J604" s="245"/>
      <c r="K604" s="142"/>
      <c r="L604" s="245"/>
      <c r="M604" s="167"/>
      <c r="N604" s="246"/>
      <c r="O604" s="142"/>
      <c r="P604" s="213"/>
    </row>
    <row r="605" ht="15.75" customHeight="1">
      <c r="A605" s="142"/>
      <c r="B605" s="142"/>
      <c r="C605" s="160"/>
      <c r="D605" s="160"/>
      <c r="E605" s="142"/>
      <c r="F605" s="161"/>
      <c r="G605" s="142"/>
      <c r="H605" s="142"/>
      <c r="I605" s="142"/>
      <c r="J605" s="245"/>
      <c r="K605" s="142"/>
      <c r="L605" s="245"/>
      <c r="M605" s="167"/>
      <c r="N605" s="246"/>
      <c r="O605" s="142"/>
      <c r="P605" s="213"/>
    </row>
    <row r="606" ht="15.75" customHeight="1">
      <c r="A606" s="142"/>
      <c r="B606" s="142"/>
      <c r="C606" s="160"/>
      <c r="D606" s="160"/>
      <c r="E606" s="142"/>
      <c r="F606" s="161"/>
      <c r="G606" s="142"/>
      <c r="H606" s="142"/>
      <c r="I606" s="142"/>
      <c r="J606" s="245"/>
      <c r="K606" s="142"/>
      <c r="L606" s="245"/>
      <c r="M606" s="167"/>
      <c r="N606" s="246"/>
      <c r="O606" s="142"/>
      <c r="P606" s="213"/>
    </row>
    <row r="607" ht="15.75" customHeight="1">
      <c r="A607" s="142"/>
      <c r="B607" s="142"/>
      <c r="C607" s="160"/>
      <c r="D607" s="160"/>
      <c r="E607" s="142"/>
      <c r="F607" s="161"/>
      <c r="G607" s="142"/>
      <c r="H607" s="142"/>
      <c r="I607" s="142"/>
      <c r="J607" s="245"/>
      <c r="K607" s="142"/>
      <c r="L607" s="245"/>
      <c r="M607" s="167"/>
      <c r="N607" s="246"/>
      <c r="O607" s="142"/>
      <c r="P607" s="213"/>
    </row>
    <row r="608" ht="15.75" customHeight="1">
      <c r="A608" s="142"/>
      <c r="B608" s="142"/>
      <c r="C608" s="160"/>
      <c r="D608" s="160"/>
      <c r="E608" s="142"/>
      <c r="F608" s="161"/>
      <c r="G608" s="142"/>
      <c r="H608" s="142"/>
      <c r="I608" s="142"/>
      <c r="J608" s="245"/>
      <c r="K608" s="142"/>
      <c r="L608" s="245"/>
      <c r="M608" s="167"/>
      <c r="N608" s="246"/>
      <c r="O608" s="142"/>
      <c r="P608" s="213"/>
    </row>
    <row r="609" ht="15.75" customHeight="1">
      <c r="A609" s="142"/>
      <c r="B609" s="142"/>
      <c r="C609" s="160"/>
      <c r="D609" s="160"/>
      <c r="E609" s="142"/>
      <c r="F609" s="161"/>
      <c r="G609" s="142"/>
      <c r="H609" s="142"/>
      <c r="I609" s="142"/>
      <c r="J609" s="245"/>
      <c r="K609" s="142"/>
      <c r="L609" s="245"/>
      <c r="M609" s="167"/>
      <c r="N609" s="246"/>
      <c r="O609" s="142"/>
      <c r="P609" s="213"/>
    </row>
    <row r="610" ht="15.75" customHeight="1">
      <c r="A610" s="142"/>
      <c r="B610" s="142"/>
      <c r="C610" s="160"/>
      <c r="D610" s="160"/>
      <c r="E610" s="142"/>
      <c r="F610" s="161"/>
      <c r="G610" s="142"/>
      <c r="H610" s="142"/>
      <c r="I610" s="142"/>
      <c r="J610" s="245"/>
      <c r="K610" s="142"/>
      <c r="L610" s="245"/>
      <c r="M610" s="167"/>
      <c r="N610" s="246"/>
      <c r="O610" s="142"/>
      <c r="P610" s="213"/>
    </row>
    <row r="611" ht="15.75" customHeight="1">
      <c r="A611" s="142"/>
      <c r="B611" s="142"/>
      <c r="C611" s="160"/>
      <c r="D611" s="160"/>
      <c r="E611" s="142"/>
      <c r="F611" s="161"/>
      <c r="G611" s="142"/>
      <c r="H611" s="142"/>
      <c r="I611" s="142"/>
      <c r="J611" s="245"/>
      <c r="K611" s="142"/>
      <c r="L611" s="245"/>
      <c r="M611" s="167"/>
      <c r="N611" s="246"/>
      <c r="O611" s="142"/>
      <c r="P611" s="213"/>
    </row>
    <row r="612" ht="15.75" customHeight="1">
      <c r="A612" s="142"/>
      <c r="B612" s="142"/>
      <c r="C612" s="160"/>
      <c r="D612" s="160"/>
      <c r="E612" s="142"/>
      <c r="F612" s="161"/>
      <c r="G612" s="142"/>
      <c r="H612" s="142"/>
      <c r="I612" s="142"/>
      <c r="J612" s="245"/>
      <c r="K612" s="142"/>
      <c r="L612" s="245"/>
      <c r="M612" s="167"/>
      <c r="N612" s="246"/>
      <c r="O612" s="142"/>
      <c r="P612" s="213"/>
    </row>
    <row r="613" ht="15.75" customHeight="1">
      <c r="A613" s="142"/>
      <c r="B613" s="142"/>
      <c r="C613" s="160"/>
      <c r="D613" s="160"/>
      <c r="E613" s="142"/>
      <c r="F613" s="161"/>
      <c r="G613" s="142"/>
      <c r="H613" s="142"/>
      <c r="I613" s="142"/>
      <c r="J613" s="245"/>
      <c r="K613" s="142"/>
      <c r="L613" s="245"/>
      <c r="M613" s="167"/>
      <c r="N613" s="246"/>
      <c r="O613" s="142"/>
      <c r="P613" s="213"/>
    </row>
    <row r="614" ht="15.75" customHeight="1">
      <c r="A614" s="142"/>
      <c r="B614" s="142"/>
      <c r="C614" s="160"/>
      <c r="D614" s="160"/>
      <c r="E614" s="142"/>
      <c r="F614" s="161"/>
      <c r="G614" s="142"/>
      <c r="H614" s="142"/>
      <c r="I614" s="142"/>
      <c r="J614" s="245"/>
      <c r="K614" s="142"/>
      <c r="L614" s="245"/>
      <c r="M614" s="167"/>
      <c r="N614" s="246"/>
      <c r="O614" s="142"/>
      <c r="P614" s="213"/>
    </row>
    <row r="615" ht="15.75" customHeight="1">
      <c r="A615" s="142"/>
      <c r="B615" s="142"/>
      <c r="C615" s="160"/>
      <c r="D615" s="160"/>
      <c r="E615" s="142"/>
      <c r="F615" s="161"/>
      <c r="G615" s="142"/>
      <c r="H615" s="142"/>
      <c r="I615" s="142"/>
      <c r="J615" s="245"/>
      <c r="K615" s="142"/>
      <c r="L615" s="245"/>
      <c r="M615" s="167"/>
      <c r="N615" s="246"/>
      <c r="O615" s="142"/>
      <c r="P615" s="213"/>
    </row>
    <row r="616" ht="15.75" customHeight="1">
      <c r="A616" s="142"/>
      <c r="B616" s="142"/>
      <c r="C616" s="160"/>
      <c r="D616" s="160"/>
      <c r="E616" s="142"/>
      <c r="F616" s="161"/>
      <c r="G616" s="142"/>
      <c r="H616" s="142"/>
      <c r="I616" s="142"/>
      <c r="J616" s="245"/>
      <c r="K616" s="142"/>
      <c r="L616" s="245"/>
      <c r="M616" s="167"/>
      <c r="N616" s="246"/>
      <c r="O616" s="142"/>
      <c r="P616" s="213"/>
    </row>
    <row r="617" ht="15.75" customHeight="1">
      <c r="A617" s="142"/>
      <c r="B617" s="142"/>
      <c r="C617" s="160"/>
      <c r="D617" s="160"/>
      <c r="E617" s="142"/>
      <c r="F617" s="161"/>
      <c r="G617" s="142"/>
      <c r="H617" s="142"/>
      <c r="I617" s="142"/>
      <c r="J617" s="245"/>
      <c r="K617" s="142"/>
      <c r="L617" s="245"/>
      <c r="M617" s="167"/>
      <c r="N617" s="246"/>
      <c r="O617" s="142"/>
      <c r="P617" s="213"/>
    </row>
    <row r="618" ht="15.75" customHeight="1">
      <c r="A618" s="142"/>
      <c r="B618" s="142"/>
      <c r="C618" s="160"/>
      <c r="D618" s="160"/>
      <c r="E618" s="142"/>
      <c r="F618" s="161"/>
      <c r="G618" s="142"/>
      <c r="H618" s="142"/>
      <c r="I618" s="142"/>
      <c r="J618" s="245"/>
      <c r="K618" s="142"/>
      <c r="L618" s="245"/>
      <c r="M618" s="167"/>
      <c r="N618" s="246"/>
      <c r="O618" s="142"/>
      <c r="P618" s="213"/>
    </row>
    <row r="619" ht="15.75" customHeight="1">
      <c r="A619" s="142"/>
      <c r="B619" s="142"/>
      <c r="C619" s="160"/>
      <c r="D619" s="160"/>
      <c r="E619" s="142"/>
      <c r="F619" s="161"/>
      <c r="G619" s="142"/>
      <c r="H619" s="142"/>
      <c r="I619" s="142"/>
      <c r="J619" s="245"/>
      <c r="K619" s="142"/>
      <c r="L619" s="245"/>
      <c r="M619" s="167"/>
      <c r="N619" s="246"/>
      <c r="O619" s="142"/>
      <c r="P619" s="213"/>
    </row>
    <row r="620" ht="15.75" customHeight="1">
      <c r="A620" s="142"/>
      <c r="B620" s="142"/>
      <c r="C620" s="160"/>
      <c r="D620" s="160"/>
      <c r="E620" s="142"/>
      <c r="F620" s="161"/>
      <c r="G620" s="142"/>
      <c r="H620" s="142"/>
      <c r="I620" s="142"/>
      <c r="J620" s="245"/>
      <c r="K620" s="142"/>
      <c r="L620" s="245"/>
      <c r="M620" s="167"/>
      <c r="N620" s="246"/>
      <c r="O620" s="142"/>
      <c r="P620" s="213"/>
    </row>
    <row r="621" ht="15.75" customHeight="1">
      <c r="A621" s="142"/>
      <c r="B621" s="142"/>
      <c r="C621" s="160"/>
      <c r="D621" s="160"/>
      <c r="E621" s="142"/>
      <c r="F621" s="161"/>
      <c r="G621" s="142"/>
      <c r="H621" s="142"/>
      <c r="I621" s="142"/>
      <c r="J621" s="245"/>
      <c r="K621" s="142"/>
      <c r="L621" s="245"/>
      <c r="M621" s="167"/>
      <c r="N621" s="246"/>
      <c r="O621" s="142"/>
      <c r="P621" s="213"/>
    </row>
    <row r="622" ht="15.75" customHeight="1">
      <c r="A622" s="142"/>
      <c r="B622" s="142"/>
      <c r="C622" s="160"/>
      <c r="D622" s="160"/>
      <c r="E622" s="142"/>
      <c r="F622" s="161"/>
      <c r="G622" s="142"/>
      <c r="H622" s="142"/>
      <c r="I622" s="142"/>
      <c r="J622" s="245"/>
      <c r="K622" s="142"/>
      <c r="L622" s="245"/>
      <c r="M622" s="167"/>
      <c r="N622" s="246"/>
      <c r="O622" s="142"/>
      <c r="P622" s="213"/>
    </row>
    <row r="623" ht="15.75" customHeight="1">
      <c r="A623" s="142"/>
      <c r="B623" s="142"/>
      <c r="C623" s="160"/>
      <c r="D623" s="160"/>
      <c r="E623" s="142"/>
      <c r="F623" s="161"/>
      <c r="G623" s="142"/>
      <c r="H623" s="142"/>
      <c r="I623" s="142"/>
      <c r="J623" s="245"/>
      <c r="K623" s="142"/>
      <c r="L623" s="245"/>
      <c r="M623" s="167"/>
      <c r="N623" s="246"/>
      <c r="O623" s="142"/>
      <c r="P623" s="213"/>
    </row>
    <row r="624" ht="15.75" customHeight="1">
      <c r="A624" s="142"/>
      <c r="B624" s="142"/>
      <c r="C624" s="160"/>
      <c r="D624" s="160"/>
      <c r="E624" s="142"/>
      <c r="F624" s="161"/>
      <c r="G624" s="142"/>
      <c r="H624" s="142"/>
      <c r="I624" s="142"/>
      <c r="J624" s="245"/>
      <c r="K624" s="142"/>
      <c r="L624" s="245"/>
      <c r="M624" s="167"/>
      <c r="N624" s="246"/>
      <c r="O624" s="142"/>
      <c r="P624" s="213"/>
    </row>
    <row r="625" ht="15.75" customHeight="1">
      <c r="A625" s="142"/>
      <c r="B625" s="142"/>
      <c r="C625" s="160"/>
      <c r="D625" s="160"/>
      <c r="E625" s="142"/>
      <c r="F625" s="161"/>
      <c r="G625" s="142"/>
      <c r="H625" s="142"/>
      <c r="I625" s="142"/>
      <c r="J625" s="245"/>
      <c r="K625" s="142"/>
      <c r="L625" s="245"/>
      <c r="M625" s="167"/>
      <c r="N625" s="246"/>
      <c r="O625" s="142"/>
      <c r="P625" s="213"/>
    </row>
    <row r="626" ht="15.75" customHeight="1">
      <c r="A626" s="142"/>
      <c r="B626" s="142"/>
      <c r="C626" s="160"/>
      <c r="D626" s="160"/>
      <c r="E626" s="142"/>
      <c r="F626" s="161"/>
      <c r="G626" s="142"/>
      <c r="H626" s="142"/>
      <c r="I626" s="142"/>
      <c r="J626" s="245"/>
      <c r="K626" s="142"/>
      <c r="L626" s="245"/>
      <c r="M626" s="167"/>
      <c r="N626" s="246"/>
      <c r="O626" s="142"/>
      <c r="P626" s="213"/>
    </row>
    <row r="627" ht="15.75" customHeight="1">
      <c r="A627" s="142"/>
      <c r="B627" s="142"/>
      <c r="C627" s="160"/>
      <c r="D627" s="160"/>
      <c r="E627" s="142"/>
      <c r="F627" s="161"/>
      <c r="G627" s="142"/>
      <c r="H627" s="142"/>
      <c r="I627" s="142"/>
      <c r="J627" s="245"/>
      <c r="K627" s="142"/>
      <c r="L627" s="245"/>
      <c r="M627" s="167"/>
      <c r="N627" s="246"/>
      <c r="O627" s="142"/>
      <c r="P627" s="213"/>
    </row>
    <row r="628" ht="15.75" customHeight="1">
      <c r="A628" s="142"/>
      <c r="B628" s="142"/>
      <c r="C628" s="160"/>
      <c r="D628" s="160"/>
      <c r="E628" s="142"/>
      <c r="F628" s="161"/>
      <c r="G628" s="142"/>
      <c r="H628" s="142"/>
      <c r="I628" s="142"/>
      <c r="J628" s="245"/>
      <c r="K628" s="142"/>
      <c r="L628" s="245"/>
      <c r="M628" s="167"/>
      <c r="N628" s="246"/>
      <c r="O628" s="142"/>
      <c r="P628" s="213"/>
    </row>
    <row r="629" ht="15.75" customHeight="1">
      <c r="A629" s="142"/>
      <c r="B629" s="142"/>
      <c r="C629" s="160"/>
      <c r="D629" s="160"/>
      <c r="E629" s="142"/>
      <c r="F629" s="161"/>
      <c r="G629" s="142"/>
      <c r="H629" s="142"/>
      <c r="I629" s="142"/>
      <c r="J629" s="245"/>
      <c r="K629" s="142"/>
      <c r="L629" s="245"/>
      <c r="M629" s="167"/>
      <c r="N629" s="246"/>
      <c r="O629" s="142"/>
      <c r="P629" s="213"/>
    </row>
    <row r="630" ht="15.75" customHeight="1">
      <c r="A630" s="142"/>
      <c r="B630" s="142"/>
      <c r="C630" s="160"/>
      <c r="D630" s="160"/>
      <c r="E630" s="142"/>
      <c r="F630" s="161"/>
      <c r="G630" s="142"/>
      <c r="H630" s="142"/>
      <c r="I630" s="142"/>
      <c r="J630" s="245"/>
      <c r="K630" s="142"/>
      <c r="L630" s="245"/>
      <c r="M630" s="167"/>
      <c r="N630" s="246"/>
      <c r="O630" s="142"/>
      <c r="P630" s="213"/>
    </row>
    <row r="631" ht="15.75" customHeight="1">
      <c r="A631" s="142"/>
      <c r="B631" s="142"/>
      <c r="C631" s="160"/>
      <c r="D631" s="160"/>
      <c r="E631" s="142"/>
      <c r="F631" s="161"/>
      <c r="G631" s="142"/>
      <c r="H631" s="142"/>
      <c r="I631" s="142"/>
      <c r="J631" s="245"/>
      <c r="K631" s="142"/>
      <c r="L631" s="245"/>
      <c r="M631" s="167"/>
      <c r="N631" s="246"/>
      <c r="O631" s="142"/>
      <c r="P631" s="213"/>
    </row>
    <row r="632" ht="15.75" customHeight="1">
      <c r="A632" s="142"/>
      <c r="B632" s="142"/>
      <c r="C632" s="160"/>
      <c r="D632" s="160"/>
      <c r="E632" s="142"/>
      <c r="F632" s="161"/>
      <c r="G632" s="142"/>
      <c r="H632" s="142"/>
      <c r="I632" s="142"/>
      <c r="J632" s="245"/>
      <c r="K632" s="142"/>
      <c r="L632" s="245"/>
      <c r="M632" s="167"/>
      <c r="N632" s="246"/>
      <c r="O632" s="142"/>
      <c r="P632" s="213"/>
    </row>
    <row r="633" ht="15.75" customHeight="1">
      <c r="A633" s="142"/>
      <c r="B633" s="142"/>
      <c r="C633" s="160"/>
      <c r="D633" s="160"/>
      <c r="E633" s="142"/>
      <c r="F633" s="161"/>
      <c r="G633" s="142"/>
      <c r="H633" s="142"/>
      <c r="I633" s="142"/>
      <c r="J633" s="245"/>
      <c r="K633" s="142"/>
      <c r="L633" s="245"/>
      <c r="M633" s="167"/>
      <c r="N633" s="246"/>
      <c r="O633" s="142"/>
      <c r="P633" s="213"/>
    </row>
    <row r="634" ht="15.75" customHeight="1">
      <c r="A634" s="142"/>
      <c r="B634" s="142"/>
      <c r="C634" s="160"/>
      <c r="D634" s="160"/>
      <c r="E634" s="142"/>
      <c r="F634" s="161"/>
      <c r="G634" s="142"/>
      <c r="H634" s="142"/>
      <c r="I634" s="142"/>
      <c r="J634" s="245"/>
      <c r="K634" s="142"/>
      <c r="L634" s="245"/>
      <c r="M634" s="167"/>
      <c r="N634" s="246"/>
      <c r="O634" s="142"/>
      <c r="P634" s="213"/>
    </row>
    <row r="635" ht="15.75" customHeight="1">
      <c r="A635" s="142"/>
      <c r="B635" s="142"/>
      <c r="C635" s="160"/>
      <c r="D635" s="160"/>
      <c r="E635" s="142"/>
      <c r="F635" s="161"/>
      <c r="G635" s="142"/>
      <c r="H635" s="142"/>
      <c r="I635" s="142"/>
      <c r="J635" s="245"/>
      <c r="K635" s="142"/>
      <c r="L635" s="245"/>
      <c r="M635" s="167"/>
      <c r="N635" s="246"/>
      <c r="O635" s="142"/>
      <c r="P635" s="213"/>
    </row>
    <row r="636" ht="15.75" customHeight="1">
      <c r="A636" s="142"/>
      <c r="B636" s="142"/>
      <c r="C636" s="160"/>
      <c r="D636" s="160"/>
      <c r="E636" s="142"/>
      <c r="F636" s="161"/>
      <c r="G636" s="142"/>
      <c r="H636" s="142"/>
      <c r="I636" s="142"/>
      <c r="J636" s="245"/>
      <c r="K636" s="142"/>
      <c r="L636" s="245"/>
      <c r="M636" s="167"/>
      <c r="N636" s="246"/>
      <c r="O636" s="142"/>
      <c r="P636" s="213"/>
    </row>
    <row r="637" ht="15.75" customHeight="1">
      <c r="A637" s="142"/>
      <c r="B637" s="142"/>
      <c r="C637" s="160"/>
      <c r="D637" s="160"/>
      <c r="E637" s="142"/>
      <c r="F637" s="161"/>
      <c r="G637" s="142"/>
      <c r="H637" s="142"/>
      <c r="I637" s="142"/>
      <c r="J637" s="245"/>
      <c r="K637" s="142"/>
      <c r="L637" s="245"/>
      <c r="M637" s="167"/>
      <c r="N637" s="246"/>
      <c r="O637" s="142"/>
      <c r="P637" s="213"/>
    </row>
    <row r="638" ht="15.75" customHeight="1">
      <c r="A638" s="142"/>
      <c r="B638" s="142"/>
      <c r="C638" s="160"/>
      <c r="D638" s="160"/>
      <c r="E638" s="142"/>
      <c r="F638" s="161"/>
      <c r="G638" s="142"/>
      <c r="H638" s="142"/>
      <c r="I638" s="142"/>
      <c r="J638" s="245"/>
      <c r="K638" s="142"/>
      <c r="L638" s="245"/>
      <c r="M638" s="167"/>
      <c r="N638" s="246"/>
      <c r="O638" s="142"/>
      <c r="P638" s="213"/>
    </row>
    <row r="639" ht="15.75" customHeight="1">
      <c r="A639" s="142"/>
      <c r="B639" s="142"/>
      <c r="C639" s="160"/>
      <c r="D639" s="160"/>
      <c r="E639" s="142"/>
      <c r="F639" s="161"/>
      <c r="G639" s="142"/>
      <c r="H639" s="142"/>
      <c r="I639" s="142"/>
      <c r="J639" s="245"/>
      <c r="K639" s="142"/>
      <c r="L639" s="245"/>
      <c r="M639" s="167"/>
      <c r="N639" s="246"/>
      <c r="O639" s="142"/>
      <c r="P639" s="213"/>
    </row>
    <row r="640" ht="15.75" customHeight="1">
      <c r="A640" s="142"/>
      <c r="B640" s="142"/>
      <c r="C640" s="160"/>
      <c r="D640" s="160"/>
      <c r="E640" s="142"/>
      <c r="F640" s="161"/>
      <c r="G640" s="142"/>
      <c r="H640" s="142"/>
      <c r="I640" s="142"/>
      <c r="J640" s="245"/>
      <c r="K640" s="142"/>
      <c r="L640" s="245"/>
      <c r="M640" s="167"/>
      <c r="N640" s="246"/>
      <c r="O640" s="142"/>
      <c r="P640" s="213"/>
    </row>
    <row r="641" ht="15.75" customHeight="1">
      <c r="A641" s="142"/>
      <c r="B641" s="142"/>
      <c r="C641" s="160"/>
      <c r="D641" s="160"/>
      <c r="E641" s="142"/>
      <c r="F641" s="161"/>
      <c r="G641" s="142"/>
      <c r="H641" s="142"/>
      <c r="I641" s="142"/>
      <c r="J641" s="245"/>
      <c r="K641" s="142"/>
      <c r="L641" s="245"/>
      <c r="M641" s="167"/>
      <c r="N641" s="246"/>
      <c r="O641" s="142"/>
      <c r="P641" s="213"/>
    </row>
    <row r="642" ht="15.75" customHeight="1">
      <c r="A642" s="142"/>
      <c r="B642" s="142"/>
      <c r="C642" s="160"/>
      <c r="D642" s="160"/>
      <c r="E642" s="142"/>
      <c r="F642" s="161"/>
      <c r="G642" s="142"/>
      <c r="H642" s="142"/>
      <c r="I642" s="142"/>
      <c r="J642" s="245"/>
      <c r="K642" s="142"/>
      <c r="L642" s="245"/>
      <c r="M642" s="167"/>
      <c r="N642" s="246"/>
      <c r="O642" s="142"/>
      <c r="P642" s="213"/>
    </row>
    <row r="643" ht="15.75" customHeight="1">
      <c r="A643" s="142"/>
      <c r="B643" s="142"/>
      <c r="C643" s="160"/>
      <c r="D643" s="160"/>
      <c r="E643" s="142"/>
      <c r="F643" s="161"/>
      <c r="G643" s="142"/>
      <c r="H643" s="142"/>
      <c r="I643" s="142"/>
      <c r="J643" s="245"/>
      <c r="K643" s="142"/>
      <c r="L643" s="245"/>
      <c r="M643" s="167"/>
      <c r="N643" s="246"/>
      <c r="O643" s="142"/>
      <c r="P643" s="213"/>
    </row>
    <row r="644" ht="15.75" customHeight="1">
      <c r="A644" s="142"/>
      <c r="B644" s="142"/>
      <c r="C644" s="160"/>
      <c r="D644" s="160"/>
      <c r="E644" s="142"/>
      <c r="F644" s="161"/>
      <c r="G644" s="142"/>
      <c r="H644" s="142"/>
      <c r="I644" s="142"/>
      <c r="J644" s="245"/>
      <c r="K644" s="142"/>
      <c r="L644" s="245"/>
      <c r="M644" s="167"/>
      <c r="N644" s="246"/>
      <c r="O644" s="142"/>
      <c r="P644" s="213"/>
    </row>
    <row r="645" ht="15.75" customHeight="1">
      <c r="A645" s="142"/>
      <c r="B645" s="142"/>
      <c r="C645" s="160"/>
      <c r="D645" s="160"/>
      <c r="E645" s="142"/>
      <c r="F645" s="161"/>
      <c r="G645" s="142"/>
      <c r="H645" s="142"/>
      <c r="I645" s="142"/>
      <c r="J645" s="245"/>
      <c r="K645" s="142"/>
      <c r="L645" s="245"/>
      <c r="M645" s="167"/>
      <c r="N645" s="246"/>
      <c r="O645" s="142"/>
      <c r="P645" s="213"/>
    </row>
    <row r="646" ht="15.75" customHeight="1">
      <c r="A646" s="142"/>
      <c r="B646" s="142"/>
      <c r="C646" s="160"/>
      <c r="D646" s="160"/>
      <c r="E646" s="142"/>
      <c r="F646" s="161"/>
      <c r="G646" s="142"/>
      <c r="H646" s="142"/>
      <c r="I646" s="142"/>
      <c r="J646" s="245"/>
      <c r="K646" s="142"/>
      <c r="L646" s="245"/>
      <c r="M646" s="167"/>
      <c r="N646" s="246"/>
      <c r="O646" s="142"/>
      <c r="P646" s="213"/>
    </row>
    <row r="647" ht="15.75" customHeight="1">
      <c r="A647" s="142"/>
      <c r="B647" s="142"/>
      <c r="C647" s="160"/>
      <c r="D647" s="160"/>
      <c r="E647" s="142"/>
      <c r="F647" s="161"/>
      <c r="G647" s="142"/>
      <c r="H647" s="142"/>
      <c r="I647" s="142"/>
      <c r="J647" s="245"/>
      <c r="K647" s="142"/>
      <c r="L647" s="245"/>
      <c r="M647" s="167"/>
      <c r="N647" s="246"/>
      <c r="O647" s="142"/>
      <c r="P647" s="213"/>
    </row>
    <row r="648" ht="15.75" customHeight="1">
      <c r="A648" s="142"/>
      <c r="B648" s="142"/>
      <c r="C648" s="160"/>
      <c r="D648" s="160"/>
      <c r="E648" s="142"/>
      <c r="F648" s="161"/>
      <c r="G648" s="142"/>
      <c r="H648" s="142"/>
      <c r="I648" s="142"/>
      <c r="J648" s="245"/>
      <c r="K648" s="142"/>
      <c r="L648" s="245"/>
      <c r="M648" s="167"/>
      <c r="N648" s="246"/>
      <c r="O648" s="142"/>
      <c r="P648" s="213"/>
    </row>
    <row r="649" ht="15.75" customHeight="1">
      <c r="A649" s="142"/>
      <c r="B649" s="142"/>
      <c r="C649" s="160"/>
      <c r="D649" s="160"/>
      <c r="E649" s="142"/>
      <c r="F649" s="161"/>
      <c r="G649" s="142"/>
      <c r="H649" s="142"/>
      <c r="I649" s="142"/>
      <c r="J649" s="245"/>
      <c r="K649" s="142"/>
      <c r="L649" s="245"/>
      <c r="M649" s="167"/>
      <c r="N649" s="246"/>
      <c r="O649" s="142"/>
      <c r="P649" s="213"/>
    </row>
    <row r="650" ht="15.75" customHeight="1">
      <c r="A650" s="142"/>
      <c r="B650" s="142"/>
      <c r="C650" s="160"/>
      <c r="D650" s="160"/>
      <c r="E650" s="142"/>
      <c r="F650" s="161"/>
      <c r="G650" s="142"/>
      <c r="H650" s="142"/>
      <c r="I650" s="142"/>
      <c r="J650" s="245"/>
      <c r="K650" s="142"/>
      <c r="L650" s="245"/>
      <c r="M650" s="167"/>
      <c r="N650" s="246"/>
      <c r="O650" s="142"/>
      <c r="P650" s="213"/>
    </row>
    <row r="651" ht="15.75" customHeight="1">
      <c r="A651" s="142"/>
      <c r="B651" s="142"/>
      <c r="C651" s="160"/>
      <c r="D651" s="160"/>
      <c r="E651" s="142"/>
      <c r="F651" s="161"/>
      <c r="G651" s="142"/>
      <c r="H651" s="142"/>
      <c r="I651" s="142"/>
      <c r="J651" s="245"/>
      <c r="K651" s="142"/>
      <c r="L651" s="245"/>
      <c r="M651" s="167"/>
      <c r="N651" s="246"/>
      <c r="O651" s="142"/>
      <c r="P651" s="213"/>
    </row>
    <row r="652" ht="15.75" customHeight="1">
      <c r="A652" s="142"/>
      <c r="B652" s="142"/>
      <c r="C652" s="160"/>
      <c r="D652" s="160"/>
      <c r="E652" s="142"/>
      <c r="F652" s="161"/>
      <c r="G652" s="142"/>
      <c r="H652" s="142"/>
      <c r="I652" s="142"/>
      <c r="J652" s="245"/>
      <c r="K652" s="142"/>
      <c r="L652" s="245"/>
      <c r="M652" s="167"/>
      <c r="N652" s="246"/>
      <c r="O652" s="142"/>
      <c r="P652" s="213"/>
    </row>
    <row r="653" ht="15.75" customHeight="1">
      <c r="A653" s="142"/>
      <c r="B653" s="142"/>
      <c r="C653" s="160"/>
      <c r="D653" s="160"/>
      <c r="E653" s="142"/>
      <c r="F653" s="161"/>
      <c r="G653" s="142"/>
      <c r="H653" s="142"/>
      <c r="I653" s="142"/>
      <c r="J653" s="245"/>
      <c r="K653" s="142"/>
      <c r="L653" s="245"/>
      <c r="M653" s="167"/>
      <c r="N653" s="246"/>
      <c r="O653" s="142"/>
      <c r="P653" s="213"/>
    </row>
    <row r="654" ht="15.75" customHeight="1">
      <c r="A654" s="142"/>
      <c r="B654" s="142"/>
      <c r="C654" s="160"/>
      <c r="D654" s="160"/>
      <c r="E654" s="142"/>
      <c r="F654" s="161"/>
      <c r="G654" s="142"/>
      <c r="H654" s="142"/>
      <c r="I654" s="142"/>
      <c r="J654" s="245"/>
      <c r="K654" s="142"/>
      <c r="L654" s="245"/>
      <c r="M654" s="167"/>
      <c r="N654" s="246"/>
      <c r="O654" s="142"/>
      <c r="P654" s="213"/>
    </row>
    <row r="655" ht="15.75" customHeight="1">
      <c r="A655" s="142"/>
      <c r="B655" s="142"/>
      <c r="C655" s="160"/>
      <c r="D655" s="160"/>
      <c r="E655" s="142"/>
      <c r="F655" s="161"/>
      <c r="G655" s="142"/>
      <c r="H655" s="142"/>
      <c r="I655" s="142"/>
      <c r="J655" s="245"/>
      <c r="K655" s="142"/>
      <c r="L655" s="245"/>
      <c r="M655" s="167"/>
      <c r="N655" s="246"/>
      <c r="O655" s="142"/>
      <c r="P655" s="213"/>
    </row>
    <row r="656" ht="15.75" customHeight="1">
      <c r="A656" s="142"/>
      <c r="B656" s="142"/>
      <c r="C656" s="160"/>
      <c r="D656" s="160"/>
      <c r="E656" s="142"/>
      <c r="F656" s="161"/>
      <c r="G656" s="142"/>
      <c r="H656" s="142"/>
      <c r="I656" s="142"/>
      <c r="J656" s="245"/>
      <c r="K656" s="142"/>
      <c r="L656" s="245"/>
      <c r="M656" s="167"/>
      <c r="N656" s="246"/>
      <c r="O656" s="142"/>
      <c r="P656" s="213"/>
    </row>
    <row r="657" ht="15.75" customHeight="1">
      <c r="A657" s="142"/>
      <c r="B657" s="142"/>
      <c r="C657" s="160"/>
      <c r="D657" s="160"/>
      <c r="E657" s="142"/>
      <c r="F657" s="161"/>
      <c r="G657" s="142"/>
      <c r="H657" s="142"/>
      <c r="I657" s="142"/>
      <c r="J657" s="245"/>
      <c r="K657" s="142"/>
      <c r="L657" s="245"/>
      <c r="M657" s="167"/>
      <c r="N657" s="246"/>
      <c r="O657" s="142"/>
      <c r="P657" s="213"/>
    </row>
    <row r="658" ht="15.75" customHeight="1">
      <c r="A658" s="142"/>
      <c r="B658" s="142"/>
      <c r="C658" s="160"/>
      <c r="D658" s="160"/>
      <c r="E658" s="142"/>
      <c r="F658" s="161"/>
      <c r="G658" s="142"/>
      <c r="H658" s="142"/>
      <c r="I658" s="142"/>
      <c r="J658" s="245"/>
      <c r="K658" s="142"/>
      <c r="L658" s="245"/>
      <c r="M658" s="167"/>
      <c r="N658" s="246"/>
      <c r="O658" s="142"/>
      <c r="P658" s="213"/>
    </row>
    <row r="659" ht="15.75" customHeight="1">
      <c r="A659" s="142"/>
      <c r="B659" s="142"/>
      <c r="C659" s="160"/>
      <c r="D659" s="160"/>
      <c r="E659" s="142"/>
      <c r="F659" s="161"/>
      <c r="G659" s="142"/>
      <c r="H659" s="142"/>
      <c r="I659" s="142"/>
      <c r="J659" s="245"/>
      <c r="K659" s="142"/>
      <c r="L659" s="245"/>
      <c r="M659" s="167"/>
      <c r="N659" s="246"/>
      <c r="O659" s="142"/>
      <c r="P659" s="213"/>
    </row>
    <row r="660" ht="15.75" customHeight="1">
      <c r="A660" s="142"/>
      <c r="B660" s="142"/>
      <c r="C660" s="160"/>
      <c r="D660" s="160"/>
      <c r="E660" s="142"/>
      <c r="F660" s="161"/>
      <c r="G660" s="142"/>
      <c r="H660" s="142"/>
      <c r="I660" s="142"/>
      <c r="J660" s="245"/>
      <c r="K660" s="142"/>
      <c r="L660" s="245"/>
      <c r="M660" s="167"/>
      <c r="N660" s="246"/>
      <c r="O660" s="142"/>
      <c r="P660" s="213"/>
    </row>
    <row r="661" ht="15.75" customHeight="1">
      <c r="A661" s="142"/>
      <c r="B661" s="142"/>
      <c r="C661" s="160"/>
      <c r="D661" s="160"/>
      <c r="E661" s="142"/>
      <c r="F661" s="161"/>
      <c r="G661" s="142"/>
      <c r="H661" s="142"/>
      <c r="I661" s="142"/>
      <c r="J661" s="245"/>
      <c r="K661" s="142"/>
      <c r="L661" s="245"/>
      <c r="M661" s="167"/>
      <c r="N661" s="246"/>
      <c r="O661" s="142"/>
      <c r="P661" s="213"/>
    </row>
    <row r="662" ht="15.75" customHeight="1">
      <c r="A662" s="142"/>
      <c r="B662" s="142"/>
      <c r="C662" s="160"/>
      <c r="D662" s="160"/>
      <c r="E662" s="142"/>
      <c r="F662" s="161"/>
      <c r="G662" s="142"/>
      <c r="H662" s="142"/>
      <c r="I662" s="142"/>
      <c r="J662" s="245"/>
      <c r="K662" s="142"/>
      <c r="L662" s="245"/>
      <c r="M662" s="167"/>
      <c r="N662" s="246"/>
      <c r="O662" s="142"/>
      <c r="P662" s="213"/>
    </row>
    <row r="663" ht="15.75" customHeight="1">
      <c r="A663" s="142"/>
      <c r="B663" s="142"/>
      <c r="C663" s="160"/>
      <c r="D663" s="160"/>
      <c r="E663" s="142"/>
      <c r="F663" s="161"/>
      <c r="G663" s="142"/>
      <c r="H663" s="142"/>
      <c r="I663" s="142"/>
      <c r="J663" s="245"/>
      <c r="K663" s="142"/>
      <c r="L663" s="245"/>
      <c r="M663" s="167"/>
      <c r="N663" s="246"/>
      <c r="O663" s="142"/>
      <c r="P663" s="213"/>
    </row>
    <row r="664" ht="15.75" customHeight="1">
      <c r="A664" s="142"/>
      <c r="B664" s="142"/>
      <c r="C664" s="160"/>
      <c r="D664" s="160"/>
      <c r="E664" s="142"/>
      <c r="F664" s="161"/>
      <c r="G664" s="142"/>
      <c r="H664" s="142"/>
      <c r="I664" s="142"/>
      <c r="J664" s="245"/>
      <c r="K664" s="142"/>
      <c r="L664" s="245"/>
      <c r="M664" s="167"/>
      <c r="N664" s="246"/>
      <c r="O664" s="142"/>
      <c r="P664" s="213"/>
    </row>
    <row r="665" ht="15.75" customHeight="1">
      <c r="A665" s="142"/>
      <c r="B665" s="142"/>
      <c r="C665" s="160"/>
      <c r="D665" s="160"/>
      <c r="E665" s="142"/>
      <c r="F665" s="161"/>
      <c r="G665" s="142"/>
      <c r="H665" s="142"/>
      <c r="I665" s="142"/>
      <c r="J665" s="245"/>
      <c r="K665" s="142"/>
      <c r="L665" s="245"/>
      <c r="M665" s="167"/>
      <c r="N665" s="246"/>
      <c r="O665" s="142"/>
      <c r="P665" s="213"/>
    </row>
    <row r="666" ht="15.75" customHeight="1">
      <c r="A666" s="142"/>
      <c r="B666" s="142"/>
      <c r="C666" s="160"/>
      <c r="D666" s="160"/>
      <c r="E666" s="142"/>
      <c r="F666" s="161"/>
      <c r="G666" s="142"/>
      <c r="H666" s="142"/>
      <c r="I666" s="142"/>
      <c r="J666" s="245"/>
      <c r="K666" s="142"/>
      <c r="L666" s="245"/>
      <c r="M666" s="167"/>
      <c r="N666" s="246"/>
      <c r="O666" s="142"/>
      <c r="P666" s="213"/>
    </row>
    <row r="667" ht="15.75" customHeight="1">
      <c r="A667" s="142"/>
      <c r="B667" s="142"/>
      <c r="C667" s="160"/>
      <c r="D667" s="160"/>
      <c r="E667" s="142"/>
      <c r="F667" s="161"/>
      <c r="G667" s="142"/>
      <c r="H667" s="142"/>
      <c r="I667" s="142"/>
      <c r="J667" s="245"/>
      <c r="K667" s="142"/>
      <c r="L667" s="245"/>
      <c r="M667" s="167"/>
      <c r="N667" s="246"/>
      <c r="O667" s="142"/>
      <c r="P667" s="213"/>
    </row>
    <row r="668" ht="15.75" customHeight="1">
      <c r="A668" s="142"/>
      <c r="B668" s="142"/>
      <c r="C668" s="160"/>
      <c r="D668" s="160"/>
      <c r="E668" s="142"/>
      <c r="F668" s="161"/>
      <c r="G668" s="142"/>
      <c r="H668" s="142"/>
      <c r="I668" s="142"/>
      <c r="J668" s="245"/>
      <c r="K668" s="142"/>
      <c r="L668" s="245"/>
      <c r="M668" s="167"/>
      <c r="N668" s="246"/>
      <c r="O668" s="142"/>
      <c r="P668" s="213"/>
    </row>
    <row r="669" ht="15.75" customHeight="1">
      <c r="A669" s="142"/>
      <c r="B669" s="142"/>
      <c r="C669" s="160"/>
      <c r="D669" s="160"/>
      <c r="E669" s="142"/>
      <c r="F669" s="161"/>
      <c r="G669" s="142"/>
      <c r="H669" s="142"/>
      <c r="I669" s="142"/>
      <c r="J669" s="245"/>
      <c r="K669" s="142"/>
      <c r="L669" s="245"/>
      <c r="M669" s="167"/>
      <c r="N669" s="246"/>
      <c r="O669" s="142"/>
      <c r="P669" s="213"/>
    </row>
    <row r="670" ht="15.75" customHeight="1">
      <c r="A670" s="142"/>
      <c r="B670" s="142"/>
      <c r="C670" s="160"/>
      <c r="D670" s="160"/>
      <c r="E670" s="142"/>
      <c r="F670" s="161"/>
      <c r="G670" s="142"/>
      <c r="H670" s="142"/>
      <c r="I670" s="142"/>
      <c r="J670" s="245"/>
      <c r="K670" s="142"/>
      <c r="L670" s="245"/>
      <c r="M670" s="167"/>
      <c r="N670" s="246"/>
      <c r="O670" s="142"/>
      <c r="P670" s="213"/>
    </row>
    <row r="671" ht="15.75" customHeight="1">
      <c r="A671" s="142"/>
      <c r="B671" s="142"/>
      <c r="C671" s="160"/>
      <c r="D671" s="160"/>
      <c r="E671" s="142"/>
      <c r="F671" s="161"/>
      <c r="G671" s="142"/>
      <c r="H671" s="142"/>
      <c r="I671" s="142"/>
      <c r="J671" s="245"/>
      <c r="K671" s="142"/>
      <c r="L671" s="245"/>
      <c r="M671" s="167"/>
      <c r="N671" s="246"/>
      <c r="O671" s="142"/>
      <c r="P671" s="213"/>
    </row>
    <row r="672" ht="15.75" customHeight="1">
      <c r="A672" s="142"/>
      <c r="B672" s="142"/>
      <c r="C672" s="160"/>
      <c r="D672" s="160"/>
      <c r="E672" s="142"/>
      <c r="F672" s="161"/>
      <c r="G672" s="142"/>
      <c r="H672" s="142"/>
      <c r="I672" s="142"/>
      <c r="J672" s="245"/>
      <c r="K672" s="142"/>
      <c r="L672" s="245"/>
      <c r="M672" s="167"/>
      <c r="N672" s="246"/>
      <c r="O672" s="142"/>
      <c r="P672" s="213"/>
    </row>
    <row r="673" ht="15.75" customHeight="1">
      <c r="A673" s="142"/>
      <c r="B673" s="142"/>
      <c r="C673" s="160"/>
      <c r="D673" s="160"/>
      <c r="E673" s="142"/>
      <c r="F673" s="161"/>
      <c r="G673" s="142"/>
      <c r="H673" s="142"/>
      <c r="I673" s="142"/>
      <c r="J673" s="245"/>
      <c r="K673" s="142"/>
      <c r="L673" s="245"/>
      <c r="M673" s="167"/>
      <c r="N673" s="246"/>
      <c r="O673" s="142"/>
      <c r="P673" s="213"/>
    </row>
    <row r="674" ht="15.75" customHeight="1">
      <c r="A674" s="142"/>
      <c r="B674" s="142"/>
      <c r="C674" s="160"/>
      <c r="D674" s="160"/>
      <c r="E674" s="142"/>
      <c r="F674" s="161"/>
      <c r="G674" s="142"/>
      <c r="H674" s="142"/>
      <c r="I674" s="142"/>
      <c r="J674" s="245"/>
      <c r="K674" s="142"/>
      <c r="L674" s="245"/>
      <c r="M674" s="167"/>
      <c r="N674" s="246"/>
      <c r="O674" s="142"/>
      <c r="P674" s="213"/>
    </row>
    <row r="675" ht="15.75" customHeight="1">
      <c r="A675" s="142"/>
      <c r="B675" s="142"/>
      <c r="C675" s="160"/>
      <c r="D675" s="160"/>
      <c r="E675" s="142"/>
      <c r="F675" s="161"/>
      <c r="G675" s="142"/>
      <c r="H675" s="142"/>
      <c r="I675" s="142"/>
      <c r="J675" s="245"/>
      <c r="K675" s="142"/>
      <c r="L675" s="245"/>
      <c r="M675" s="167"/>
      <c r="N675" s="246"/>
      <c r="O675" s="142"/>
      <c r="P675" s="213"/>
    </row>
    <row r="676" ht="15.75" customHeight="1">
      <c r="A676" s="142"/>
      <c r="B676" s="142"/>
      <c r="C676" s="160"/>
      <c r="D676" s="160"/>
      <c r="E676" s="142"/>
      <c r="F676" s="161"/>
      <c r="G676" s="142"/>
      <c r="H676" s="142"/>
      <c r="I676" s="142"/>
      <c r="J676" s="245"/>
      <c r="K676" s="142"/>
      <c r="L676" s="245"/>
      <c r="M676" s="167"/>
      <c r="N676" s="246"/>
      <c r="O676" s="142"/>
      <c r="P676" s="213"/>
    </row>
    <row r="677" ht="15.75" customHeight="1">
      <c r="A677" s="142"/>
      <c r="B677" s="142"/>
      <c r="C677" s="160"/>
      <c r="D677" s="160"/>
      <c r="E677" s="142"/>
      <c r="F677" s="161"/>
      <c r="G677" s="142"/>
      <c r="H677" s="142"/>
      <c r="I677" s="142"/>
      <c r="J677" s="245"/>
      <c r="K677" s="142"/>
      <c r="L677" s="245"/>
      <c r="M677" s="167"/>
      <c r="N677" s="246"/>
      <c r="O677" s="142"/>
      <c r="P677" s="213"/>
    </row>
    <row r="678" ht="15.75" customHeight="1">
      <c r="A678" s="142"/>
      <c r="B678" s="142"/>
      <c r="C678" s="160"/>
      <c r="D678" s="160"/>
      <c r="E678" s="142"/>
      <c r="F678" s="161"/>
      <c r="G678" s="142"/>
      <c r="H678" s="142"/>
      <c r="I678" s="142"/>
      <c r="J678" s="245"/>
      <c r="K678" s="142"/>
      <c r="L678" s="245"/>
      <c r="M678" s="167"/>
      <c r="N678" s="246"/>
      <c r="O678" s="142"/>
      <c r="P678" s="213"/>
    </row>
    <row r="679" ht="15.75" customHeight="1">
      <c r="A679" s="142"/>
      <c r="B679" s="142"/>
      <c r="C679" s="160"/>
      <c r="D679" s="160"/>
      <c r="E679" s="142"/>
      <c r="F679" s="161"/>
      <c r="G679" s="142"/>
      <c r="H679" s="142"/>
      <c r="I679" s="142"/>
      <c r="J679" s="245"/>
      <c r="K679" s="142"/>
      <c r="L679" s="245"/>
      <c r="M679" s="167"/>
      <c r="N679" s="246"/>
      <c r="O679" s="142"/>
      <c r="P679" s="213"/>
    </row>
    <row r="680" ht="15.75" customHeight="1">
      <c r="A680" s="142"/>
      <c r="B680" s="142"/>
      <c r="C680" s="160"/>
      <c r="D680" s="160"/>
      <c r="E680" s="142"/>
      <c r="F680" s="161"/>
      <c r="G680" s="142"/>
      <c r="H680" s="142"/>
      <c r="I680" s="142"/>
      <c r="J680" s="245"/>
      <c r="K680" s="142"/>
      <c r="L680" s="245"/>
      <c r="M680" s="167"/>
      <c r="N680" s="246"/>
      <c r="O680" s="142"/>
      <c r="P680" s="213"/>
    </row>
    <row r="681" ht="15.75" customHeight="1">
      <c r="A681" s="142"/>
      <c r="B681" s="142"/>
      <c r="C681" s="160"/>
      <c r="D681" s="160"/>
      <c r="E681" s="142"/>
      <c r="F681" s="161"/>
      <c r="G681" s="142"/>
      <c r="H681" s="142"/>
      <c r="I681" s="142"/>
      <c r="J681" s="245"/>
      <c r="K681" s="142"/>
      <c r="L681" s="245"/>
      <c r="M681" s="167"/>
      <c r="N681" s="246"/>
      <c r="O681" s="142"/>
      <c r="P681" s="213"/>
    </row>
    <row r="682" ht="15.75" customHeight="1">
      <c r="A682" s="142"/>
      <c r="B682" s="142"/>
      <c r="C682" s="160"/>
      <c r="D682" s="160"/>
      <c r="E682" s="142"/>
      <c r="F682" s="161"/>
      <c r="G682" s="142"/>
      <c r="H682" s="142"/>
      <c r="I682" s="142"/>
      <c r="J682" s="245"/>
      <c r="K682" s="142"/>
      <c r="L682" s="245"/>
      <c r="M682" s="167"/>
      <c r="N682" s="246"/>
      <c r="O682" s="142"/>
      <c r="P682" s="213"/>
    </row>
    <row r="683" ht="15.75" customHeight="1">
      <c r="A683" s="142"/>
      <c r="B683" s="142"/>
      <c r="C683" s="160"/>
      <c r="D683" s="160"/>
      <c r="E683" s="142"/>
      <c r="F683" s="161"/>
      <c r="G683" s="142"/>
      <c r="H683" s="142"/>
      <c r="I683" s="142"/>
      <c r="J683" s="245"/>
      <c r="K683" s="142"/>
      <c r="L683" s="245"/>
      <c r="M683" s="167"/>
      <c r="N683" s="246"/>
      <c r="O683" s="142"/>
      <c r="P683" s="213"/>
    </row>
    <row r="684" ht="15.75" customHeight="1">
      <c r="A684" s="142"/>
      <c r="B684" s="142"/>
      <c r="C684" s="160"/>
      <c r="D684" s="160"/>
      <c r="E684" s="142"/>
      <c r="F684" s="161"/>
      <c r="G684" s="142"/>
      <c r="H684" s="142"/>
      <c r="I684" s="142"/>
      <c r="J684" s="245"/>
      <c r="K684" s="142"/>
      <c r="L684" s="245"/>
      <c r="M684" s="167"/>
      <c r="N684" s="246"/>
      <c r="O684" s="142"/>
      <c r="P684" s="213"/>
    </row>
    <row r="685" ht="15.75" customHeight="1">
      <c r="A685" s="142"/>
      <c r="B685" s="142"/>
      <c r="C685" s="160"/>
      <c r="D685" s="160"/>
      <c r="E685" s="142"/>
      <c r="F685" s="161"/>
      <c r="G685" s="142"/>
      <c r="H685" s="142"/>
      <c r="I685" s="142"/>
      <c r="J685" s="245"/>
      <c r="K685" s="142"/>
      <c r="L685" s="245"/>
      <c r="M685" s="167"/>
      <c r="N685" s="246"/>
      <c r="O685" s="142"/>
      <c r="P685" s="213"/>
    </row>
    <row r="686" ht="15.75" customHeight="1">
      <c r="A686" s="142"/>
      <c r="B686" s="142"/>
      <c r="C686" s="160"/>
      <c r="D686" s="160"/>
      <c r="E686" s="142"/>
      <c r="F686" s="161"/>
      <c r="G686" s="142"/>
      <c r="H686" s="142"/>
      <c r="I686" s="142"/>
      <c r="J686" s="245"/>
      <c r="K686" s="142"/>
      <c r="L686" s="245"/>
      <c r="M686" s="167"/>
      <c r="N686" s="246"/>
      <c r="O686" s="142"/>
      <c r="P686" s="213"/>
    </row>
    <row r="687" ht="15.75" customHeight="1">
      <c r="A687" s="142"/>
      <c r="B687" s="142"/>
      <c r="C687" s="160"/>
      <c r="D687" s="160"/>
      <c r="E687" s="142"/>
      <c r="F687" s="161"/>
      <c r="G687" s="142"/>
      <c r="H687" s="142"/>
      <c r="I687" s="142"/>
      <c r="J687" s="245"/>
      <c r="K687" s="142"/>
      <c r="L687" s="245"/>
      <c r="M687" s="167"/>
      <c r="N687" s="246"/>
      <c r="O687" s="142"/>
      <c r="P687" s="213"/>
    </row>
    <row r="688" ht="15.75" customHeight="1">
      <c r="A688" s="142"/>
      <c r="B688" s="142"/>
      <c r="C688" s="160"/>
      <c r="D688" s="160"/>
      <c r="E688" s="142"/>
      <c r="F688" s="161"/>
      <c r="G688" s="142"/>
      <c r="H688" s="142"/>
      <c r="I688" s="142"/>
      <c r="J688" s="245"/>
      <c r="K688" s="142"/>
      <c r="L688" s="245"/>
      <c r="M688" s="167"/>
      <c r="N688" s="246"/>
      <c r="O688" s="142"/>
      <c r="P688" s="213"/>
    </row>
    <row r="689" ht="15.75" customHeight="1">
      <c r="A689" s="142"/>
      <c r="B689" s="142"/>
      <c r="C689" s="160"/>
      <c r="D689" s="160"/>
      <c r="E689" s="142"/>
      <c r="F689" s="161"/>
      <c r="G689" s="142"/>
      <c r="H689" s="142"/>
      <c r="I689" s="142"/>
      <c r="J689" s="245"/>
      <c r="K689" s="142"/>
      <c r="L689" s="245"/>
      <c r="M689" s="167"/>
      <c r="N689" s="246"/>
      <c r="O689" s="142"/>
      <c r="P689" s="213"/>
    </row>
    <row r="690" ht="15.75" customHeight="1">
      <c r="A690" s="142"/>
      <c r="B690" s="142"/>
      <c r="C690" s="160"/>
      <c r="D690" s="160"/>
      <c r="E690" s="142"/>
      <c r="F690" s="161"/>
      <c r="G690" s="142"/>
      <c r="H690" s="142"/>
      <c r="I690" s="142"/>
      <c r="J690" s="245"/>
      <c r="K690" s="142"/>
      <c r="L690" s="245"/>
      <c r="M690" s="167"/>
      <c r="N690" s="246"/>
      <c r="O690" s="142"/>
      <c r="P690" s="213"/>
    </row>
    <row r="691" ht="15.75" customHeight="1">
      <c r="A691" s="142"/>
      <c r="B691" s="142"/>
      <c r="C691" s="160"/>
      <c r="D691" s="160"/>
      <c r="E691" s="142"/>
      <c r="F691" s="161"/>
      <c r="G691" s="142"/>
      <c r="H691" s="142"/>
      <c r="I691" s="142"/>
      <c r="J691" s="245"/>
      <c r="K691" s="142"/>
      <c r="L691" s="245"/>
      <c r="M691" s="167"/>
      <c r="N691" s="246"/>
      <c r="O691" s="142"/>
      <c r="P691" s="213"/>
    </row>
    <row r="692" ht="15.75" customHeight="1">
      <c r="A692" s="142"/>
      <c r="B692" s="142"/>
      <c r="C692" s="160"/>
      <c r="D692" s="160"/>
      <c r="E692" s="142"/>
      <c r="F692" s="161"/>
      <c r="G692" s="142"/>
      <c r="H692" s="142"/>
      <c r="I692" s="142"/>
      <c r="J692" s="245"/>
      <c r="K692" s="142"/>
      <c r="L692" s="245"/>
      <c r="M692" s="167"/>
      <c r="N692" s="246"/>
      <c r="O692" s="142"/>
      <c r="P692" s="213"/>
    </row>
    <row r="693" ht="15.75" customHeight="1">
      <c r="A693" s="142"/>
      <c r="B693" s="142"/>
      <c r="C693" s="160"/>
      <c r="D693" s="160"/>
      <c r="E693" s="142"/>
      <c r="F693" s="161"/>
      <c r="G693" s="142"/>
      <c r="H693" s="142"/>
      <c r="I693" s="142"/>
      <c r="J693" s="245"/>
      <c r="K693" s="142"/>
      <c r="L693" s="245"/>
      <c r="M693" s="167"/>
      <c r="N693" s="246"/>
      <c r="O693" s="142"/>
      <c r="P693" s="213"/>
    </row>
    <row r="694" ht="15.75" customHeight="1">
      <c r="A694" s="142"/>
      <c r="B694" s="142"/>
      <c r="C694" s="160"/>
      <c r="D694" s="160"/>
      <c r="E694" s="142"/>
      <c r="F694" s="161"/>
      <c r="G694" s="142"/>
      <c r="H694" s="142"/>
      <c r="I694" s="142"/>
      <c r="J694" s="245"/>
      <c r="K694" s="142"/>
      <c r="L694" s="245"/>
      <c r="M694" s="167"/>
      <c r="N694" s="246"/>
      <c r="O694" s="142"/>
      <c r="P694" s="213"/>
    </row>
    <row r="695" ht="15.75" customHeight="1">
      <c r="A695" s="142"/>
      <c r="B695" s="142"/>
      <c r="C695" s="160"/>
      <c r="D695" s="160"/>
      <c r="E695" s="142"/>
      <c r="F695" s="161"/>
      <c r="G695" s="142"/>
      <c r="H695" s="142"/>
      <c r="I695" s="142"/>
      <c r="J695" s="245"/>
      <c r="K695" s="142"/>
      <c r="L695" s="245"/>
      <c r="M695" s="167"/>
      <c r="N695" s="246"/>
      <c r="O695" s="142"/>
      <c r="P695" s="213"/>
    </row>
    <row r="696" ht="15.75" customHeight="1">
      <c r="A696" s="142"/>
      <c r="B696" s="142"/>
      <c r="C696" s="160"/>
      <c r="D696" s="160"/>
      <c r="E696" s="142"/>
      <c r="F696" s="161"/>
      <c r="G696" s="142"/>
      <c r="H696" s="142"/>
      <c r="I696" s="142"/>
      <c r="J696" s="245"/>
      <c r="K696" s="142"/>
      <c r="L696" s="245"/>
      <c r="M696" s="167"/>
      <c r="N696" s="246"/>
      <c r="O696" s="142"/>
      <c r="P696" s="213"/>
    </row>
    <row r="697" ht="15.75" customHeight="1">
      <c r="A697" s="142"/>
      <c r="B697" s="142"/>
      <c r="C697" s="160"/>
      <c r="D697" s="160"/>
      <c r="E697" s="142"/>
      <c r="F697" s="161"/>
      <c r="G697" s="142"/>
      <c r="H697" s="142"/>
      <c r="I697" s="142"/>
      <c r="J697" s="245"/>
      <c r="K697" s="142"/>
      <c r="L697" s="245"/>
      <c r="M697" s="167"/>
      <c r="N697" s="246"/>
      <c r="O697" s="142"/>
      <c r="P697" s="213"/>
    </row>
    <row r="698" ht="15.75" customHeight="1">
      <c r="A698" s="142"/>
      <c r="B698" s="142"/>
      <c r="C698" s="160"/>
      <c r="D698" s="160"/>
      <c r="E698" s="142"/>
      <c r="F698" s="161"/>
      <c r="G698" s="142"/>
      <c r="H698" s="142"/>
      <c r="I698" s="142"/>
      <c r="J698" s="245"/>
      <c r="K698" s="142"/>
      <c r="L698" s="245"/>
      <c r="M698" s="167"/>
      <c r="N698" s="246"/>
      <c r="O698" s="142"/>
      <c r="P698" s="213"/>
    </row>
    <row r="699" ht="15.75" customHeight="1">
      <c r="A699" s="142"/>
      <c r="B699" s="142"/>
      <c r="C699" s="160"/>
      <c r="D699" s="160"/>
      <c r="E699" s="142"/>
      <c r="F699" s="161"/>
      <c r="G699" s="142"/>
      <c r="H699" s="142"/>
      <c r="I699" s="142"/>
      <c r="J699" s="245"/>
      <c r="K699" s="142"/>
      <c r="L699" s="245"/>
      <c r="M699" s="167"/>
      <c r="N699" s="246"/>
      <c r="O699" s="142"/>
      <c r="P699" s="213"/>
    </row>
    <row r="700" ht="15.75" customHeight="1">
      <c r="A700" s="142"/>
      <c r="B700" s="142"/>
      <c r="C700" s="160"/>
      <c r="D700" s="160"/>
      <c r="E700" s="142"/>
      <c r="F700" s="161"/>
      <c r="G700" s="142"/>
      <c r="H700" s="142"/>
      <c r="I700" s="142"/>
      <c r="J700" s="245"/>
      <c r="K700" s="142"/>
      <c r="L700" s="245"/>
      <c r="M700" s="167"/>
      <c r="N700" s="246"/>
      <c r="O700" s="142"/>
      <c r="P700" s="213"/>
    </row>
    <row r="701" ht="15.75" customHeight="1">
      <c r="A701" s="142"/>
      <c r="B701" s="142"/>
      <c r="C701" s="160"/>
      <c r="D701" s="160"/>
      <c r="E701" s="142"/>
      <c r="F701" s="161"/>
      <c r="G701" s="142"/>
      <c r="H701" s="142"/>
      <c r="I701" s="142"/>
      <c r="J701" s="245"/>
      <c r="K701" s="142"/>
      <c r="L701" s="245"/>
      <c r="M701" s="167"/>
      <c r="N701" s="246"/>
      <c r="O701" s="142"/>
      <c r="P701" s="213"/>
    </row>
    <row r="702" ht="15.75" customHeight="1">
      <c r="A702" s="142"/>
      <c r="B702" s="142"/>
      <c r="C702" s="160"/>
      <c r="D702" s="160"/>
      <c r="E702" s="142"/>
      <c r="F702" s="161"/>
      <c r="G702" s="142"/>
      <c r="H702" s="142"/>
      <c r="I702" s="142"/>
      <c r="J702" s="245"/>
      <c r="K702" s="142"/>
      <c r="L702" s="245"/>
      <c r="M702" s="167"/>
      <c r="N702" s="246"/>
      <c r="O702" s="142"/>
      <c r="P702" s="213"/>
    </row>
    <row r="703" ht="15.75" customHeight="1">
      <c r="A703" s="142"/>
      <c r="B703" s="142"/>
      <c r="C703" s="160"/>
      <c r="D703" s="160"/>
      <c r="E703" s="142"/>
      <c r="F703" s="161"/>
      <c r="G703" s="142"/>
      <c r="H703" s="142"/>
      <c r="I703" s="142"/>
      <c r="J703" s="245"/>
      <c r="K703" s="142"/>
      <c r="L703" s="245"/>
      <c r="M703" s="167"/>
      <c r="N703" s="246"/>
      <c r="O703" s="142"/>
      <c r="P703" s="213"/>
    </row>
    <row r="704" ht="15.75" customHeight="1">
      <c r="A704" s="142"/>
      <c r="B704" s="142"/>
      <c r="C704" s="160"/>
      <c r="D704" s="160"/>
      <c r="E704" s="142"/>
      <c r="F704" s="161"/>
      <c r="G704" s="142"/>
      <c r="H704" s="142"/>
      <c r="I704" s="142"/>
      <c r="J704" s="245"/>
      <c r="K704" s="142"/>
      <c r="L704" s="245"/>
      <c r="M704" s="167"/>
      <c r="N704" s="246"/>
      <c r="O704" s="142"/>
      <c r="P704" s="213"/>
    </row>
    <row r="705" ht="15.75" customHeight="1">
      <c r="A705" s="142"/>
      <c r="B705" s="142"/>
      <c r="C705" s="160"/>
      <c r="D705" s="160"/>
      <c r="E705" s="142"/>
      <c r="F705" s="161"/>
      <c r="G705" s="142"/>
      <c r="H705" s="142"/>
      <c r="I705" s="142"/>
      <c r="J705" s="245"/>
      <c r="K705" s="142"/>
      <c r="L705" s="245"/>
      <c r="M705" s="167"/>
      <c r="N705" s="246"/>
      <c r="O705" s="142"/>
      <c r="P705" s="213"/>
    </row>
    <row r="706" ht="15.75" customHeight="1">
      <c r="A706" s="142"/>
      <c r="B706" s="142"/>
      <c r="C706" s="160"/>
      <c r="D706" s="160"/>
      <c r="E706" s="142"/>
      <c r="F706" s="161"/>
      <c r="G706" s="142"/>
      <c r="H706" s="142"/>
      <c r="I706" s="142"/>
      <c r="J706" s="245"/>
      <c r="K706" s="142"/>
      <c r="L706" s="245"/>
      <c r="M706" s="167"/>
      <c r="N706" s="246"/>
      <c r="O706" s="142"/>
      <c r="P706" s="213"/>
    </row>
    <row r="707" ht="15.75" customHeight="1">
      <c r="A707" s="142"/>
      <c r="B707" s="142"/>
      <c r="C707" s="160"/>
      <c r="D707" s="160"/>
      <c r="E707" s="142"/>
      <c r="F707" s="161"/>
      <c r="G707" s="142"/>
      <c r="H707" s="142"/>
      <c r="I707" s="142"/>
      <c r="J707" s="245"/>
      <c r="K707" s="142"/>
      <c r="L707" s="245"/>
      <c r="M707" s="167"/>
      <c r="N707" s="246"/>
      <c r="O707" s="142"/>
      <c r="P707" s="213"/>
    </row>
    <row r="708" ht="15.75" customHeight="1">
      <c r="A708" s="142"/>
      <c r="B708" s="142"/>
      <c r="C708" s="160"/>
      <c r="D708" s="160"/>
      <c r="E708" s="142"/>
      <c r="F708" s="161"/>
      <c r="G708" s="142"/>
      <c r="H708" s="142"/>
      <c r="I708" s="142"/>
      <c r="J708" s="245"/>
      <c r="K708" s="142"/>
      <c r="L708" s="245"/>
      <c r="M708" s="167"/>
      <c r="N708" s="246"/>
      <c r="O708" s="142"/>
      <c r="P708" s="213"/>
    </row>
    <row r="709" ht="15.75" customHeight="1">
      <c r="A709" s="142"/>
      <c r="B709" s="142"/>
      <c r="C709" s="160"/>
      <c r="D709" s="160"/>
      <c r="E709" s="142"/>
      <c r="F709" s="161"/>
      <c r="G709" s="142"/>
      <c r="H709" s="142"/>
      <c r="I709" s="142"/>
      <c r="J709" s="245"/>
      <c r="K709" s="142"/>
      <c r="L709" s="245"/>
      <c r="M709" s="167"/>
      <c r="N709" s="246"/>
      <c r="O709" s="142"/>
      <c r="P709" s="213"/>
    </row>
    <row r="710" ht="15.75" customHeight="1">
      <c r="A710" s="142"/>
      <c r="B710" s="142"/>
      <c r="C710" s="160"/>
      <c r="D710" s="160"/>
      <c r="E710" s="142"/>
      <c r="F710" s="161"/>
      <c r="G710" s="142"/>
      <c r="H710" s="142"/>
      <c r="I710" s="142"/>
      <c r="J710" s="245"/>
      <c r="K710" s="142"/>
      <c r="L710" s="245"/>
      <c r="M710" s="167"/>
      <c r="N710" s="246"/>
      <c r="O710" s="142"/>
      <c r="P710" s="213"/>
    </row>
    <row r="711" ht="15.75" customHeight="1">
      <c r="A711" s="142"/>
      <c r="B711" s="142"/>
      <c r="C711" s="160"/>
      <c r="D711" s="160"/>
      <c r="E711" s="142"/>
      <c r="F711" s="161"/>
      <c r="G711" s="142"/>
      <c r="H711" s="142"/>
      <c r="I711" s="142"/>
      <c r="J711" s="245"/>
      <c r="K711" s="142"/>
      <c r="L711" s="245"/>
      <c r="M711" s="167"/>
      <c r="N711" s="246"/>
      <c r="O711" s="142"/>
      <c r="P711" s="213"/>
    </row>
    <row r="712" ht="15.75" customHeight="1">
      <c r="A712" s="142"/>
      <c r="B712" s="142"/>
      <c r="C712" s="160"/>
      <c r="D712" s="160"/>
      <c r="E712" s="142"/>
      <c r="F712" s="161"/>
      <c r="G712" s="142"/>
      <c r="H712" s="142"/>
      <c r="I712" s="142"/>
      <c r="J712" s="245"/>
      <c r="K712" s="142"/>
      <c r="L712" s="245"/>
      <c r="M712" s="167"/>
      <c r="N712" s="246"/>
      <c r="O712" s="142"/>
      <c r="P712" s="213"/>
    </row>
    <row r="713" ht="15.75" customHeight="1">
      <c r="A713" s="142"/>
      <c r="B713" s="142"/>
      <c r="C713" s="160"/>
      <c r="D713" s="160"/>
      <c r="E713" s="142"/>
      <c r="F713" s="161"/>
      <c r="G713" s="142"/>
      <c r="H713" s="142"/>
      <c r="I713" s="142"/>
      <c r="J713" s="245"/>
      <c r="K713" s="142"/>
      <c r="L713" s="245"/>
      <c r="M713" s="167"/>
      <c r="N713" s="246"/>
      <c r="O713" s="142"/>
      <c r="P713" s="213"/>
    </row>
    <row r="714" ht="15.75" customHeight="1">
      <c r="A714" s="142"/>
      <c r="B714" s="142"/>
      <c r="C714" s="160"/>
      <c r="D714" s="160"/>
      <c r="E714" s="142"/>
      <c r="F714" s="161"/>
      <c r="G714" s="142"/>
      <c r="H714" s="142"/>
      <c r="I714" s="142"/>
      <c r="J714" s="245"/>
      <c r="K714" s="142"/>
      <c r="L714" s="245"/>
      <c r="M714" s="167"/>
      <c r="N714" s="246"/>
      <c r="O714" s="142"/>
      <c r="P714" s="213"/>
    </row>
    <row r="715" ht="15.75" customHeight="1">
      <c r="A715" s="142"/>
      <c r="B715" s="142"/>
      <c r="C715" s="160"/>
      <c r="D715" s="160"/>
      <c r="E715" s="142"/>
      <c r="F715" s="161"/>
      <c r="G715" s="142"/>
      <c r="H715" s="142"/>
      <c r="I715" s="142"/>
      <c r="J715" s="245"/>
      <c r="K715" s="142"/>
      <c r="L715" s="245"/>
      <c r="M715" s="167"/>
      <c r="N715" s="246"/>
      <c r="O715" s="142"/>
      <c r="P715" s="213"/>
    </row>
    <row r="716" ht="15.75" customHeight="1">
      <c r="A716" s="142"/>
      <c r="B716" s="142"/>
      <c r="C716" s="160"/>
      <c r="D716" s="160"/>
      <c r="E716" s="142"/>
      <c r="F716" s="161"/>
      <c r="G716" s="142"/>
      <c r="H716" s="142"/>
      <c r="I716" s="142"/>
      <c r="J716" s="245"/>
      <c r="K716" s="142"/>
      <c r="L716" s="245"/>
      <c r="M716" s="167"/>
      <c r="N716" s="246"/>
      <c r="O716" s="142"/>
      <c r="P716" s="213"/>
    </row>
    <row r="717" ht="15.75" customHeight="1">
      <c r="A717" s="142"/>
      <c r="B717" s="142"/>
      <c r="C717" s="160"/>
      <c r="D717" s="160"/>
      <c r="E717" s="142"/>
      <c r="F717" s="161"/>
      <c r="G717" s="142"/>
      <c r="H717" s="142"/>
      <c r="I717" s="142"/>
      <c r="J717" s="245"/>
      <c r="K717" s="142"/>
      <c r="L717" s="245"/>
      <c r="M717" s="167"/>
      <c r="N717" s="246"/>
      <c r="O717" s="142"/>
      <c r="P717" s="213"/>
    </row>
    <row r="718" ht="15.75" customHeight="1">
      <c r="A718" s="142"/>
      <c r="B718" s="142"/>
      <c r="C718" s="160"/>
      <c r="D718" s="160"/>
      <c r="E718" s="142"/>
      <c r="F718" s="161"/>
      <c r="G718" s="142"/>
      <c r="H718" s="142"/>
      <c r="I718" s="142"/>
      <c r="J718" s="245"/>
      <c r="K718" s="142"/>
      <c r="L718" s="245"/>
      <c r="M718" s="167"/>
      <c r="N718" s="246"/>
      <c r="O718" s="142"/>
      <c r="P718" s="213"/>
    </row>
    <row r="719" ht="15.75" customHeight="1">
      <c r="A719" s="142"/>
      <c r="B719" s="142"/>
      <c r="C719" s="160"/>
      <c r="D719" s="160"/>
      <c r="E719" s="142"/>
      <c r="F719" s="161"/>
      <c r="G719" s="142"/>
      <c r="H719" s="142"/>
      <c r="I719" s="142"/>
      <c r="J719" s="245"/>
      <c r="K719" s="142"/>
      <c r="L719" s="245"/>
      <c r="M719" s="167"/>
      <c r="N719" s="246"/>
      <c r="O719" s="142"/>
      <c r="P719" s="213"/>
    </row>
    <row r="720" ht="15.75" customHeight="1">
      <c r="A720" s="142"/>
      <c r="B720" s="142"/>
      <c r="C720" s="160"/>
      <c r="D720" s="160"/>
      <c r="E720" s="142"/>
      <c r="F720" s="161"/>
      <c r="G720" s="142"/>
      <c r="H720" s="142"/>
      <c r="I720" s="142"/>
      <c r="J720" s="245"/>
      <c r="K720" s="142"/>
      <c r="L720" s="245"/>
      <c r="M720" s="167"/>
      <c r="N720" s="246"/>
      <c r="O720" s="142"/>
      <c r="P720" s="213"/>
    </row>
    <row r="721" ht="15.75" customHeight="1">
      <c r="A721" s="142"/>
      <c r="B721" s="142"/>
      <c r="C721" s="160"/>
      <c r="D721" s="160"/>
      <c r="E721" s="142"/>
      <c r="F721" s="161"/>
      <c r="G721" s="142"/>
      <c r="H721" s="142"/>
      <c r="I721" s="142"/>
      <c r="J721" s="245"/>
      <c r="K721" s="142"/>
      <c r="L721" s="245"/>
      <c r="M721" s="167"/>
      <c r="N721" s="246"/>
      <c r="O721" s="142"/>
      <c r="P721" s="213"/>
    </row>
    <row r="722" ht="15.75" customHeight="1">
      <c r="A722" s="142"/>
      <c r="B722" s="142"/>
      <c r="C722" s="160"/>
      <c r="D722" s="160"/>
      <c r="E722" s="142"/>
      <c r="F722" s="161"/>
      <c r="G722" s="142"/>
      <c r="H722" s="142"/>
      <c r="I722" s="142"/>
      <c r="J722" s="245"/>
      <c r="K722" s="142"/>
      <c r="L722" s="245"/>
      <c r="M722" s="167"/>
      <c r="N722" s="246"/>
      <c r="O722" s="142"/>
      <c r="P722" s="213"/>
    </row>
    <row r="723" ht="15.75" customHeight="1">
      <c r="A723" s="142"/>
      <c r="B723" s="142"/>
      <c r="C723" s="160"/>
      <c r="D723" s="160"/>
      <c r="E723" s="142"/>
      <c r="F723" s="161"/>
      <c r="G723" s="142"/>
      <c r="H723" s="142"/>
      <c r="I723" s="142"/>
      <c r="J723" s="245"/>
      <c r="K723" s="142"/>
      <c r="L723" s="245"/>
      <c r="M723" s="167"/>
      <c r="N723" s="246"/>
      <c r="O723" s="142"/>
      <c r="P723" s="213"/>
    </row>
    <row r="724" ht="15.75" customHeight="1">
      <c r="A724" s="142"/>
      <c r="B724" s="142"/>
      <c r="C724" s="160"/>
      <c r="D724" s="160"/>
      <c r="E724" s="142"/>
      <c r="F724" s="161"/>
      <c r="G724" s="142"/>
      <c r="H724" s="142"/>
      <c r="I724" s="142"/>
      <c r="J724" s="245"/>
      <c r="K724" s="142"/>
      <c r="L724" s="245"/>
      <c r="M724" s="167"/>
      <c r="N724" s="246"/>
      <c r="O724" s="142"/>
      <c r="P724" s="213"/>
    </row>
    <row r="725" ht="15.75" customHeight="1">
      <c r="A725" s="142"/>
      <c r="B725" s="142"/>
      <c r="C725" s="160"/>
      <c r="D725" s="160"/>
      <c r="E725" s="142"/>
      <c r="F725" s="161"/>
      <c r="G725" s="142"/>
      <c r="H725" s="142"/>
      <c r="I725" s="142"/>
      <c r="J725" s="245"/>
      <c r="K725" s="142"/>
      <c r="L725" s="245"/>
      <c r="M725" s="167"/>
      <c r="N725" s="246"/>
      <c r="O725" s="142"/>
      <c r="P725" s="213"/>
    </row>
    <row r="726" ht="15.75" customHeight="1">
      <c r="A726" s="142"/>
      <c r="B726" s="142"/>
      <c r="C726" s="160"/>
      <c r="D726" s="160"/>
      <c r="E726" s="142"/>
      <c r="F726" s="161"/>
      <c r="G726" s="142"/>
      <c r="H726" s="142"/>
      <c r="I726" s="142"/>
      <c r="J726" s="245"/>
      <c r="K726" s="142"/>
      <c r="L726" s="245"/>
      <c r="M726" s="167"/>
      <c r="N726" s="246"/>
      <c r="O726" s="142"/>
      <c r="P726" s="213"/>
    </row>
    <row r="727" ht="15.75" customHeight="1">
      <c r="A727" s="142"/>
      <c r="B727" s="142"/>
      <c r="C727" s="160"/>
      <c r="D727" s="160"/>
      <c r="E727" s="142"/>
      <c r="F727" s="161"/>
      <c r="G727" s="142"/>
      <c r="H727" s="142"/>
      <c r="I727" s="142"/>
      <c r="J727" s="245"/>
      <c r="K727" s="142"/>
      <c r="L727" s="245"/>
      <c r="M727" s="167"/>
      <c r="N727" s="246"/>
      <c r="O727" s="142"/>
      <c r="P727" s="213"/>
    </row>
    <row r="728" ht="15.75" customHeight="1">
      <c r="A728" s="142"/>
      <c r="B728" s="142"/>
      <c r="C728" s="160"/>
      <c r="D728" s="160"/>
      <c r="E728" s="142"/>
      <c r="F728" s="161"/>
      <c r="G728" s="142"/>
      <c r="H728" s="142"/>
      <c r="I728" s="142"/>
      <c r="J728" s="245"/>
      <c r="K728" s="142"/>
      <c r="L728" s="245"/>
      <c r="M728" s="167"/>
      <c r="N728" s="246"/>
      <c r="O728" s="142"/>
      <c r="P728" s="213"/>
    </row>
    <row r="729" ht="15.75" customHeight="1">
      <c r="A729" s="142"/>
      <c r="B729" s="142"/>
      <c r="C729" s="160"/>
      <c r="D729" s="160"/>
      <c r="E729" s="142"/>
      <c r="F729" s="161"/>
      <c r="G729" s="142"/>
      <c r="H729" s="142"/>
      <c r="I729" s="142"/>
      <c r="J729" s="245"/>
      <c r="K729" s="142"/>
      <c r="L729" s="245"/>
      <c r="M729" s="167"/>
      <c r="N729" s="246"/>
      <c r="O729" s="142"/>
      <c r="P729" s="213"/>
    </row>
    <row r="730" ht="15.75" customHeight="1">
      <c r="A730" s="142"/>
      <c r="B730" s="142"/>
      <c r="C730" s="160"/>
      <c r="D730" s="160"/>
      <c r="E730" s="142"/>
      <c r="F730" s="161"/>
      <c r="G730" s="142"/>
      <c r="H730" s="142"/>
      <c r="I730" s="142"/>
      <c r="J730" s="245"/>
      <c r="K730" s="142"/>
      <c r="L730" s="245"/>
      <c r="M730" s="167"/>
      <c r="N730" s="246"/>
      <c r="O730" s="142"/>
      <c r="P730" s="213"/>
    </row>
    <row r="731" ht="15.75" customHeight="1">
      <c r="A731" s="142"/>
      <c r="B731" s="142"/>
      <c r="C731" s="160"/>
      <c r="D731" s="160"/>
      <c r="E731" s="142"/>
      <c r="F731" s="161"/>
      <c r="G731" s="142"/>
      <c r="H731" s="142"/>
      <c r="I731" s="142"/>
      <c r="J731" s="245"/>
      <c r="K731" s="142"/>
      <c r="L731" s="245"/>
      <c r="M731" s="167"/>
      <c r="N731" s="246"/>
      <c r="O731" s="142"/>
      <c r="P731" s="213"/>
    </row>
    <row r="732" ht="15.75" customHeight="1">
      <c r="A732" s="142"/>
      <c r="B732" s="142"/>
      <c r="C732" s="160"/>
      <c r="D732" s="160"/>
      <c r="E732" s="142"/>
      <c r="F732" s="161"/>
      <c r="G732" s="142"/>
      <c r="H732" s="142"/>
      <c r="I732" s="142"/>
      <c r="J732" s="245"/>
      <c r="K732" s="142"/>
      <c r="L732" s="245"/>
      <c r="M732" s="167"/>
      <c r="N732" s="246"/>
      <c r="O732" s="142"/>
      <c r="P732" s="213"/>
    </row>
    <row r="733" ht="15.75" customHeight="1">
      <c r="A733" s="142"/>
      <c r="B733" s="142"/>
      <c r="C733" s="160"/>
      <c r="D733" s="160"/>
      <c r="E733" s="142"/>
      <c r="F733" s="161"/>
      <c r="G733" s="142"/>
      <c r="H733" s="142"/>
      <c r="I733" s="142"/>
      <c r="J733" s="245"/>
      <c r="K733" s="142"/>
      <c r="L733" s="245"/>
      <c r="M733" s="167"/>
      <c r="N733" s="246"/>
      <c r="O733" s="142"/>
      <c r="P733" s="213"/>
    </row>
    <row r="734" ht="15.75" customHeight="1">
      <c r="A734" s="142"/>
      <c r="B734" s="142"/>
      <c r="C734" s="160"/>
      <c r="D734" s="160"/>
      <c r="E734" s="142"/>
      <c r="F734" s="161"/>
      <c r="G734" s="142"/>
      <c r="H734" s="142"/>
      <c r="I734" s="142"/>
      <c r="J734" s="245"/>
      <c r="K734" s="142"/>
      <c r="L734" s="245"/>
      <c r="M734" s="167"/>
      <c r="N734" s="246"/>
      <c r="O734" s="142"/>
      <c r="P734" s="213"/>
    </row>
    <row r="735" ht="15.75" customHeight="1">
      <c r="A735" s="142"/>
      <c r="B735" s="142"/>
      <c r="C735" s="160"/>
      <c r="D735" s="160"/>
      <c r="E735" s="142"/>
      <c r="F735" s="161"/>
      <c r="G735" s="142"/>
      <c r="H735" s="142"/>
      <c r="I735" s="142"/>
      <c r="J735" s="245"/>
      <c r="K735" s="142"/>
      <c r="L735" s="245"/>
      <c r="M735" s="167"/>
      <c r="N735" s="246"/>
      <c r="O735" s="142"/>
      <c r="P735" s="213"/>
    </row>
    <row r="736" ht="15.75" customHeight="1">
      <c r="A736" s="142"/>
      <c r="B736" s="142"/>
      <c r="C736" s="160"/>
      <c r="D736" s="160"/>
      <c r="E736" s="142"/>
      <c r="F736" s="161"/>
      <c r="G736" s="142"/>
      <c r="H736" s="142"/>
      <c r="I736" s="142"/>
      <c r="J736" s="245"/>
      <c r="K736" s="142"/>
      <c r="L736" s="245"/>
      <c r="M736" s="167"/>
      <c r="N736" s="246"/>
      <c r="O736" s="142"/>
      <c r="P736" s="213"/>
    </row>
    <row r="737" ht="15.75" customHeight="1">
      <c r="A737" s="142"/>
      <c r="B737" s="142"/>
      <c r="C737" s="160"/>
      <c r="D737" s="160"/>
      <c r="E737" s="142"/>
      <c r="F737" s="161"/>
      <c r="G737" s="142"/>
      <c r="H737" s="142"/>
      <c r="I737" s="142"/>
      <c r="J737" s="245"/>
      <c r="K737" s="142"/>
      <c r="L737" s="245"/>
      <c r="M737" s="167"/>
      <c r="N737" s="246"/>
      <c r="O737" s="142"/>
      <c r="P737" s="213"/>
    </row>
    <row r="738" ht="15.75" customHeight="1">
      <c r="A738" s="142"/>
      <c r="B738" s="142"/>
      <c r="C738" s="160"/>
      <c r="D738" s="160"/>
      <c r="E738" s="142"/>
      <c r="F738" s="161"/>
      <c r="G738" s="142"/>
      <c r="H738" s="142"/>
      <c r="I738" s="142"/>
      <c r="J738" s="245"/>
      <c r="K738" s="142"/>
      <c r="L738" s="245"/>
      <c r="M738" s="167"/>
      <c r="N738" s="246"/>
      <c r="O738" s="142"/>
      <c r="P738" s="213"/>
    </row>
    <row r="739" ht="15.75" customHeight="1">
      <c r="A739" s="142"/>
      <c r="B739" s="142"/>
      <c r="C739" s="160"/>
      <c r="D739" s="160"/>
      <c r="E739" s="142"/>
      <c r="F739" s="161"/>
      <c r="G739" s="142"/>
      <c r="H739" s="142"/>
      <c r="I739" s="142"/>
      <c r="J739" s="245"/>
      <c r="K739" s="142"/>
      <c r="L739" s="245"/>
      <c r="M739" s="167"/>
      <c r="N739" s="246"/>
      <c r="O739" s="142"/>
      <c r="P739" s="213"/>
    </row>
    <row r="740" ht="15.75" customHeight="1">
      <c r="A740" s="142"/>
      <c r="B740" s="142"/>
      <c r="C740" s="160"/>
      <c r="D740" s="160"/>
      <c r="E740" s="142"/>
      <c r="F740" s="161"/>
      <c r="G740" s="142"/>
      <c r="H740" s="142"/>
      <c r="I740" s="142"/>
      <c r="J740" s="245"/>
      <c r="K740" s="142"/>
      <c r="L740" s="245"/>
      <c r="M740" s="167"/>
      <c r="N740" s="246"/>
      <c r="O740" s="142"/>
      <c r="P740" s="213"/>
    </row>
    <row r="741" ht="15.75" customHeight="1">
      <c r="A741" s="142"/>
      <c r="B741" s="142"/>
      <c r="C741" s="160"/>
      <c r="D741" s="160"/>
      <c r="E741" s="142"/>
      <c r="F741" s="161"/>
      <c r="G741" s="142"/>
      <c r="H741" s="142"/>
      <c r="I741" s="142"/>
      <c r="J741" s="245"/>
      <c r="K741" s="142"/>
      <c r="L741" s="245"/>
      <c r="M741" s="167"/>
      <c r="N741" s="246"/>
      <c r="O741" s="142"/>
      <c r="P741" s="213"/>
    </row>
    <row r="742" ht="15.75" customHeight="1">
      <c r="A742" s="142"/>
      <c r="B742" s="142"/>
      <c r="C742" s="160"/>
      <c r="D742" s="160"/>
      <c r="E742" s="142"/>
      <c r="F742" s="161"/>
      <c r="G742" s="142"/>
      <c r="H742" s="142"/>
      <c r="I742" s="142"/>
      <c r="J742" s="245"/>
      <c r="K742" s="142"/>
      <c r="L742" s="245"/>
      <c r="M742" s="167"/>
      <c r="N742" s="246"/>
      <c r="O742" s="142"/>
      <c r="P742" s="213"/>
    </row>
    <row r="743" ht="15.75" customHeight="1">
      <c r="A743" s="142"/>
      <c r="B743" s="142"/>
      <c r="C743" s="160"/>
      <c r="D743" s="160"/>
      <c r="E743" s="142"/>
      <c r="F743" s="161"/>
      <c r="G743" s="142"/>
      <c r="H743" s="142"/>
      <c r="I743" s="142"/>
      <c r="J743" s="245"/>
      <c r="K743" s="142"/>
      <c r="L743" s="245"/>
      <c r="M743" s="167"/>
      <c r="N743" s="246"/>
      <c r="O743" s="142"/>
      <c r="P743" s="213"/>
    </row>
    <row r="744" ht="15.75" customHeight="1">
      <c r="A744" s="142"/>
      <c r="B744" s="142"/>
      <c r="C744" s="160"/>
      <c r="D744" s="160"/>
      <c r="E744" s="142"/>
      <c r="F744" s="161"/>
      <c r="G744" s="142"/>
      <c r="H744" s="142"/>
      <c r="I744" s="142"/>
      <c r="J744" s="245"/>
      <c r="K744" s="142"/>
      <c r="L744" s="245"/>
      <c r="M744" s="167"/>
      <c r="N744" s="246"/>
      <c r="O744" s="142"/>
      <c r="P744" s="213"/>
    </row>
    <row r="745" ht="15.75" customHeight="1">
      <c r="A745" s="142"/>
      <c r="B745" s="142"/>
      <c r="C745" s="160"/>
      <c r="D745" s="160"/>
      <c r="E745" s="142"/>
      <c r="F745" s="161"/>
      <c r="G745" s="142"/>
      <c r="H745" s="142"/>
      <c r="I745" s="142"/>
      <c r="J745" s="245"/>
      <c r="K745" s="142"/>
      <c r="L745" s="245"/>
      <c r="M745" s="167"/>
      <c r="N745" s="246"/>
      <c r="O745" s="142"/>
      <c r="P745" s="213"/>
    </row>
    <row r="746" ht="15.75" customHeight="1">
      <c r="A746" s="142"/>
      <c r="B746" s="142"/>
      <c r="C746" s="160"/>
      <c r="D746" s="160"/>
      <c r="E746" s="142"/>
      <c r="F746" s="161"/>
      <c r="G746" s="142"/>
      <c r="H746" s="142"/>
      <c r="I746" s="142"/>
      <c r="J746" s="245"/>
      <c r="K746" s="142"/>
      <c r="L746" s="245"/>
      <c r="M746" s="167"/>
      <c r="N746" s="246"/>
      <c r="O746" s="142"/>
      <c r="P746" s="213"/>
    </row>
    <row r="747" ht="15.75" customHeight="1">
      <c r="A747" s="142"/>
      <c r="B747" s="142"/>
      <c r="C747" s="160"/>
      <c r="D747" s="160"/>
      <c r="E747" s="142"/>
      <c r="F747" s="161"/>
      <c r="G747" s="142"/>
      <c r="H747" s="142"/>
      <c r="I747" s="142"/>
      <c r="J747" s="245"/>
      <c r="K747" s="142"/>
      <c r="L747" s="245"/>
      <c r="M747" s="167"/>
      <c r="N747" s="246"/>
      <c r="O747" s="142"/>
      <c r="P747" s="213"/>
    </row>
    <row r="748" ht="15.75" customHeight="1">
      <c r="A748" s="142"/>
      <c r="B748" s="142"/>
      <c r="C748" s="160"/>
      <c r="D748" s="160"/>
      <c r="E748" s="142"/>
      <c r="F748" s="161"/>
      <c r="G748" s="142"/>
      <c r="H748" s="142"/>
      <c r="I748" s="142"/>
      <c r="J748" s="245"/>
      <c r="K748" s="142"/>
      <c r="L748" s="245"/>
      <c r="M748" s="167"/>
      <c r="N748" s="246"/>
      <c r="O748" s="142"/>
      <c r="P748" s="213"/>
    </row>
    <row r="749" ht="15.75" customHeight="1">
      <c r="A749" s="142"/>
      <c r="B749" s="142"/>
      <c r="C749" s="160"/>
      <c r="D749" s="160"/>
      <c r="E749" s="142"/>
      <c r="F749" s="161"/>
      <c r="G749" s="142"/>
      <c r="H749" s="142"/>
      <c r="I749" s="142"/>
      <c r="J749" s="245"/>
      <c r="K749" s="142"/>
      <c r="L749" s="245"/>
      <c r="M749" s="167"/>
      <c r="N749" s="246"/>
      <c r="O749" s="142"/>
      <c r="P749" s="213"/>
    </row>
    <row r="750" ht="15.75" customHeight="1">
      <c r="A750" s="142"/>
      <c r="B750" s="142"/>
      <c r="C750" s="160"/>
      <c r="D750" s="160"/>
      <c r="E750" s="142"/>
      <c r="F750" s="161"/>
      <c r="G750" s="142"/>
      <c r="H750" s="142"/>
      <c r="I750" s="142"/>
      <c r="J750" s="245"/>
      <c r="K750" s="142"/>
      <c r="L750" s="245"/>
      <c r="M750" s="167"/>
      <c r="N750" s="246"/>
      <c r="O750" s="142"/>
      <c r="P750" s="213"/>
    </row>
    <row r="751" ht="15.75" customHeight="1">
      <c r="A751" s="142"/>
      <c r="B751" s="142"/>
      <c r="C751" s="160"/>
      <c r="D751" s="160"/>
      <c r="E751" s="142"/>
      <c r="F751" s="161"/>
      <c r="G751" s="142"/>
      <c r="H751" s="142"/>
      <c r="I751" s="142"/>
      <c r="J751" s="245"/>
      <c r="K751" s="142"/>
      <c r="L751" s="245"/>
      <c r="M751" s="167"/>
      <c r="N751" s="246"/>
      <c r="O751" s="142"/>
      <c r="P751" s="213"/>
    </row>
    <row r="752" ht="15.75" customHeight="1">
      <c r="A752" s="142"/>
      <c r="B752" s="142"/>
      <c r="C752" s="160"/>
      <c r="D752" s="160"/>
      <c r="E752" s="142"/>
      <c r="F752" s="161"/>
      <c r="G752" s="142"/>
      <c r="H752" s="142"/>
      <c r="I752" s="142"/>
      <c r="J752" s="245"/>
      <c r="K752" s="142"/>
      <c r="L752" s="245"/>
      <c r="M752" s="167"/>
      <c r="N752" s="246"/>
      <c r="O752" s="142"/>
      <c r="P752" s="213"/>
    </row>
    <row r="753" ht="15.75" customHeight="1">
      <c r="A753" s="142"/>
      <c r="B753" s="142"/>
      <c r="C753" s="160"/>
      <c r="D753" s="160"/>
      <c r="E753" s="142"/>
      <c r="F753" s="161"/>
      <c r="G753" s="142"/>
      <c r="H753" s="142"/>
      <c r="I753" s="142"/>
      <c r="J753" s="245"/>
      <c r="K753" s="142"/>
      <c r="L753" s="245"/>
      <c r="M753" s="167"/>
      <c r="N753" s="246"/>
      <c r="O753" s="142"/>
      <c r="P753" s="213"/>
    </row>
    <row r="754" ht="15.75" customHeight="1">
      <c r="A754" s="142"/>
      <c r="B754" s="142"/>
      <c r="C754" s="160"/>
      <c r="D754" s="160"/>
      <c r="E754" s="142"/>
      <c r="F754" s="161"/>
      <c r="G754" s="142"/>
      <c r="H754" s="142"/>
      <c r="I754" s="142"/>
      <c r="J754" s="245"/>
      <c r="K754" s="142"/>
      <c r="L754" s="245"/>
      <c r="M754" s="167"/>
      <c r="N754" s="246"/>
      <c r="O754" s="142"/>
      <c r="P754" s="213"/>
    </row>
    <row r="755" ht="15.75" customHeight="1">
      <c r="A755" s="142"/>
      <c r="B755" s="142"/>
      <c r="C755" s="160"/>
      <c r="D755" s="160"/>
      <c r="E755" s="142"/>
      <c r="F755" s="161"/>
      <c r="G755" s="142"/>
      <c r="H755" s="142"/>
      <c r="I755" s="142"/>
      <c r="J755" s="245"/>
      <c r="K755" s="142"/>
      <c r="L755" s="245"/>
      <c r="M755" s="167"/>
      <c r="N755" s="246"/>
      <c r="O755" s="142"/>
      <c r="P755" s="213"/>
    </row>
    <row r="756" ht="15.75" customHeight="1">
      <c r="A756" s="142"/>
      <c r="B756" s="142"/>
      <c r="C756" s="160"/>
      <c r="D756" s="160"/>
      <c r="E756" s="142"/>
      <c r="F756" s="161"/>
      <c r="G756" s="142"/>
      <c r="H756" s="142"/>
      <c r="I756" s="142"/>
      <c r="J756" s="245"/>
      <c r="K756" s="142"/>
      <c r="L756" s="245"/>
      <c r="M756" s="167"/>
      <c r="N756" s="246"/>
      <c r="O756" s="142"/>
      <c r="P756" s="213"/>
    </row>
    <row r="757" ht="15.75" customHeight="1">
      <c r="A757" s="142"/>
      <c r="B757" s="142"/>
      <c r="C757" s="160"/>
      <c r="D757" s="160"/>
      <c r="E757" s="142"/>
      <c r="F757" s="161"/>
      <c r="G757" s="142"/>
      <c r="H757" s="142"/>
      <c r="I757" s="142"/>
      <c r="J757" s="245"/>
      <c r="K757" s="142"/>
      <c r="L757" s="245"/>
      <c r="M757" s="167"/>
      <c r="N757" s="246"/>
      <c r="O757" s="142"/>
      <c r="P757" s="213"/>
    </row>
    <row r="758" ht="15.75" customHeight="1">
      <c r="A758" s="142"/>
      <c r="B758" s="142"/>
      <c r="C758" s="160"/>
      <c r="D758" s="160"/>
      <c r="E758" s="142"/>
      <c r="F758" s="161"/>
      <c r="G758" s="142"/>
      <c r="H758" s="142"/>
      <c r="I758" s="142"/>
      <c r="J758" s="245"/>
      <c r="K758" s="142"/>
      <c r="L758" s="245"/>
      <c r="M758" s="167"/>
      <c r="N758" s="246"/>
      <c r="O758" s="142"/>
      <c r="P758" s="213"/>
    </row>
    <row r="759" ht="15.75" customHeight="1">
      <c r="A759" s="142"/>
      <c r="B759" s="142"/>
      <c r="C759" s="160"/>
      <c r="D759" s="160"/>
      <c r="E759" s="142"/>
      <c r="F759" s="161"/>
      <c r="G759" s="142"/>
      <c r="H759" s="142"/>
      <c r="I759" s="142"/>
      <c r="J759" s="245"/>
      <c r="K759" s="142"/>
      <c r="L759" s="245"/>
      <c r="M759" s="167"/>
      <c r="N759" s="246"/>
      <c r="O759" s="142"/>
      <c r="P759" s="213"/>
    </row>
    <row r="760" ht="15.75" customHeight="1">
      <c r="A760" s="142"/>
      <c r="B760" s="142"/>
      <c r="C760" s="160"/>
      <c r="D760" s="160"/>
      <c r="E760" s="142"/>
      <c r="F760" s="161"/>
      <c r="G760" s="142"/>
      <c r="H760" s="142"/>
      <c r="I760" s="142"/>
      <c r="J760" s="245"/>
      <c r="K760" s="142"/>
      <c r="L760" s="245"/>
      <c r="M760" s="167"/>
      <c r="N760" s="246"/>
      <c r="O760" s="142"/>
      <c r="P760" s="213"/>
    </row>
    <row r="761" ht="15.75" customHeight="1">
      <c r="A761" s="142"/>
      <c r="B761" s="142"/>
      <c r="C761" s="160"/>
      <c r="D761" s="160"/>
      <c r="E761" s="142"/>
      <c r="F761" s="161"/>
      <c r="G761" s="142"/>
      <c r="H761" s="142"/>
      <c r="I761" s="142"/>
      <c r="J761" s="245"/>
      <c r="K761" s="142"/>
      <c r="L761" s="245"/>
      <c r="M761" s="167"/>
      <c r="N761" s="246"/>
      <c r="O761" s="142"/>
      <c r="P761" s="213"/>
    </row>
    <row r="762" ht="15.75" customHeight="1">
      <c r="A762" s="142"/>
      <c r="B762" s="142"/>
      <c r="C762" s="160"/>
      <c r="D762" s="160"/>
      <c r="E762" s="142"/>
      <c r="F762" s="161"/>
      <c r="G762" s="142"/>
      <c r="H762" s="142"/>
      <c r="I762" s="142"/>
      <c r="J762" s="245"/>
      <c r="K762" s="142"/>
      <c r="L762" s="245"/>
      <c r="M762" s="167"/>
      <c r="N762" s="246"/>
      <c r="O762" s="142"/>
      <c r="P762" s="213"/>
    </row>
    <row r="763" ht="15.75" customHeight="1">
      <c r="A763" s="142"/>
      <c r="B763" s="142"/>
      <c r="C763" s="160"/>
      <c r="D763" s="160"/>
      <c r="E763" s="142"/>
      <c r="F763" s="161"/>
      <c r="G763" s="142"/>
      <c r="H763" s="142"/>
      <c r="I763" s="142"/>
      <c r="J763" s="245"/>
      <c r="K763" s="142"/>
      <c r="L763" s="245"/>
      <c r="M763" s="167"/>
      <c r="N763" s="246"/>
      <c r="O763" s="142"/>
      <c r="P763" s="213"/>
    </row>
    <row r="764" ht="15.75" customHeight="1">
      <c r="A764" s="142"/>
      <c r="B764" s="142"/>
      <c r="C764" s="160"/>
      <c r="D764" s="160"/>
      <c r="E764" s="142"/>
      <c r="F764" s="161"/>
      <c r="G764" s="142"/>
      <c r="H764" s="142"/>
      <c r="I764" s="142"/>
      <c r="J764" s="245"/>
      <c r="K764" s="142"/>
      <c r="L764" s="245"/>
      <c r="M764" s="167"/>
      <c r="N764" s="246"/>
      <c r="O764" s="142"/>
      <c r="P764" s="213"/>
    </row>
    <row r="765" ht="15.75" customHeight="1">
      <c r="A765" s="142"/>
      <c r="B765" s="142"/>
      <c r="C765" s="160"/>
      <c r="D765" s="160"/>
      <c r="E765" s="142"/>
      <c r="F765" s="161"/>
      <c r="G765" s="142"/>
      <c r="H765" s="142"/>
      <c r="I765" s="142"/>
      <c r="J765" s="245"/>
      <c r="K765" s="142"/>
      <c r="L765" s="245"/>
      <c r="M765" s="167"/>
      <c r="N765" s="246"/>
      <c r="O765" s="142"/>
      <c r="P765" s="213"/>
    </row>
    <row r="766" ht="15.75" customHeight="1">
      <c r="A766" s="142"/>
      <c r="B766" s="142"/>
      <c r="C766" s="160"/>
      <c r="D766" s="160"/>
      <c r="E766" s="142"/>
      <c r="F766" s="161"/>
      <c r="G766" s="142"/>
      <c r="H766" s="142"/>
      <c r="I766" s="142"/>
      <c r="J766" s="245"/>
      <c r="K766" s="142"/>
      <c r="L766" s="245"/>
      <c r="M766" s="167"/>
      <c r="N766" s="246"/>
      <c r="O766" s="142"/>
      <c r="P766" s="213"/>
    </row>
    <row r="767" ht="15.75" customHeight="1">
      <c r="A767" s="142"/>
      <c r="B767" s="142"/>
      <c r="C767" s="160"/>
      <c r="D767" s="160"/>
      <c r="E767" s="142"/>
      <c r="F767" s="161"/>
      <c r="G767" s="142"/>
      <c r="H767" s="142"/>
      <c r="I767" s="142"/>
      <c r="J767" s="245"/>
      <c r="K767" s="142"/>
      <c r="L767" s="245"/>
      <c r="M767" s="167"/>
      <c r="N767" s="246"/>
      <c r="O767" s="142"/>
      <c r="P767" s="213"/>
    </row>
    <row r="768" ht="15.75" customHeight="1">
      <c r="A768" s="142"/>
      <c r="B768" s="142"/>
      <c r="C768" s="160"/>
      <c r="D768" s="160"/>
      <c r="E768" s="142"/>
      <c r="F768" s="161"/>
      <c r="G768" s="142"/>
      <c r="H768" s="142"/>
      <c r="I768" s="142"/>
      <c r="J768" s="245"/>
      <c r="K768" s="142"/>
      <c r="L768" s="245"/>
      <c r="M768" s="167"/>
      <c r="N768" s="246"/>
      <c r="O768" s="142"/>
      <c r="P768" s="213"/>
    </row>
    <row r="769" ht="15.75" customHeight="1">
      <c r="A769" s="142"/>
      <c r="B769" s="142"/>
      <c r="C769" s="160"/>
      <c r="D769" s="160"/>
      <c r="E769" s="142"/>
      <c r="F769" s="161"/>
      <c r="G769" s="142"/>
      <c r="H769" s="142"/>
      <c r="I769" s="142"/>
      <c r="J769" s="245"/>
      <c r="K769" s="142"/>
      <c r="L769" s="245"/>
      <c r="M769" s="167"/>
      <c r="N769" s="246"/>
      <c r="O769" s="142"/>
      <c r="P769" s="213"/>
    </row>
    <row r="770" ht="15.75" customHeight="1">
      <c r="A770" s="142"/>
      <c r="B770" s="142"/>
      <c r="C770" s="160"/>
      <c r="D770" s="160"/>
      <c r="E770" s="142"/>
      <c r="F770" s="161"/>
      <c r="G770" s="142"/>
      <c r="H770" s="142"/>
      <c r="I770" s="142"/>
      <c r="J770" s="245"/>
      <c r="K770" s="142"/>
      <c r="L770" s="245"/>
      <c r="M770" s="167"/>
      <c r="N770" s="246"/>
      <c r="O770" s="142"/>
      <c r="P770" s="213"/>
    </row>
    <row r="771" ht="15.75" customHeight="1">
      <c r="A771" s="142"/>
      <c r="B771" s="142"/>
      <c r="C771" s="160"/>
      <c r="D771" s="160"/>
      <c r="E771" s="142"/>
      <c r="F771" s="161"/>
      <c r="G771" s="142"/>
      <c r="H771" s="142"/>
      <c r="I771" s="142"/>
      <c r="J771" s="245"/>
      <c r="K771" s="142"/>
      <c r="L771" s="245"/>
      <c r="M771" s="167"/>
      <c r="N771" s="246"/>
      <c r="O771" s="142"/>
      <c r="P771" s="213"/>
    </row>
    <row r="772" ht="15.75" customHeight="1">
      <c r="A772" s="142"/>
      <c r="B772" s="142"/>
      <c r="C772" s="160"/>
      <c r="D772" s="160"/>
      <c r="E772" s="142"/>
      <c r="F772" s="161"/>
      <c r="G772" s="142"/>
      <c r="H772" s="142"/>
      <c r="I772" s="142"/>
      <c r="J772" s="245"/>
      <c r="K772" s="142"/>
      <c r="L772" s="245"/>
      <c r="M772" s="167"/>
      <c r="N772" s="246"/>
      <c r="O772" s="142"/>
      <c r="P772" s="213"/>
    </row>
    <row r="773" ht="15.75" customHeight="1">
      <c r="A773" s="142"/>
      <c r="B773" s="142"/>
      <c r="C773" s="160"/>
      <c r="D773" s="160"/>
      <c r="E773" s="142"/>
      <c r="F773" s="161"/>
      <c r="G773" s="142"/>
      <c r="H773" s="142"/>
      <c r="I773" s="142"/>
      <c r="J773" s="245"/>
      <c r="K773" s="142"/>
      <c r="L773" s="245"/>
      <c r="M773" s="167"/>
      <c r="N773" s="246"/>
      <c r="O773" s="142"/>
      <c r="P773" s="213"/>
    </row>
    <row r="774" ht="15.75" customHeight="1">
      <c r="A774" s="142"/>
      <c r="B774" s="142"/>
      <c r="C774" s="160"/>
      <c r="D774" s="160"/>
      <c r="E774" s="142"/>
      <c r="F774" s="161"/>
      <c r="G774" s="142"/>
      <c r="H774" s="142"/>
      <c r="I774" s="142"/>
      <c r="J774" s="245"/>
      <c r="K774" s="142"/>
      <c r="L774" s="245"/>
      <c r="M774" s="167"/>
      <c r="N774" s="246"/>
      <c r="O774" s="142"/>
      <c r="P774" s="213"/>
    </row>
    <row r="775" ht="15.75" customHeight="1">
      <c r="A775" s="142"/>
      <c r="B775" s="142"/>
      <c r="C775" s="160"/>
      <c r="D775" s="160"/>
      <c r="E775" s="142"/>
      <c r="F775" s="161"/>
      <c r="G775" s="142"/>
      <c r="H775" s="142"/>
      <c r="I775" s="142"/>
      <c r="J775" s="245"/>
      <c r="K775" s="142"/>
      <c r="L775" s="245"/>
      <c r="M775" s="167"/>
      <c r="N775" s="246"/>
      <c r="O775" s="142"/>
      <c r="P775" s="213"/>
    </row>
    <row r="776" ht="15.75" customHeight="1">
      <c r="A776" s="142"/>
      <c r="B776" s="142"/>
      <c r="C776" s="160"/>
      <c r="D776" s="160"/>
      <c r="E776" s="142"/>
      <c r="F776" s="161"/>
      <c r="G776" s="142"/>
      <c r="H776" s="142"/>
      <c r="I776" s="142"/>
      <c r="J776" s="245"/>
      <c r="K776" s="142"/>
      <c r="L776" s="245"/>
      <c r="M776" s="167"/>
      <c r="N776" s="246"/>
      <c r="O776" s="142"/>
      <c r="P776" s="213"/>
    </row>
    <row r="777" ht="15.75" customHeight="1">
      <c r="A777" s="142"/>
      <c r="B777" s="142"/>
      <c r="C777" s="160"/>
      <c r="D777" s="160"/>
      <c r="E777" s="142"/>
      <c r="F777" s="161"/>
      <c r="G777" s="142"/>
      <c r="H777" s="142"/>
      <c r="I777" s="142"/>
      <c r="J777" s="245"/>
      <c r="K777" s="142"/>
      <c r="L777" s="245"/>
      <c r="M777" s="167"/>
      <c r="N777" s="246"/>
      <c r="O777" s="142"/>
      <c r="P777" s="213"/>
    </row>
    <row r="778" ht="15.75" customHeight="1">
      <c r="A778" s="142"/>
      <c r="B778" s="142"/>
      <c r="C778" s="160"/>
      <c r="D778" s="160"/>
      <c r="E778" s="142"/>
      <c r="F778" s="161"/>
      <c r="G778" s="142"/>
      <c r="H778" s="142"/>
      <c r="I778" s="142"/>
      <c r="J778" s="245"/>
      <c r="K778" s="142"/>
      <c r="L778" s="245"/>
      <c r="M778" s="167"/>
      <c r="N778" s="246"/>
      <c r="O778" s="142"/>
      <c r="P778" s="213"/>
    </row>
    <row r="779" ht="15.75" customHeight="1">
      <c r="A779" s="142"/>
      <c r="B779" s="142"/>
      <c r="C779" s="160"/>
      <c r="D779" s="160"/>
      <c r="E779" s="142"/>
      <c r="F779" s="161"/>
      <c r="G779" s="142"/>
      <c r="H779" s="142"/>
      <c r="I779" s="142"/>
      <c r="J779" s="245"/>
      <c r="K779" s="142"/>
      <c r="L779" s="245"/>
      <c r="M779" s="167"/>
      <c r="N779" s="246"/>
      <c r="O779" s="142"/>
      <c r="P779" s="213"/>
    </row>
    <row r="780" ht="15.75" customHeight="1">
      <c r="A780" s="142"/>
      <c r="B780" s="142"/>
      <c r="C780" s="160"/>
      <c r="D780" s="160"/>
      <c r="E780" s="142"/>
      <c r="F780" s="161"/>
      <c r="G780" s="142"/>
      <c r="H780" s="142"/>
      <c r="I780" s="142"/>
      <c r="J780" s="245"/>
      <c r="K780" s="142"/>
      <c r="L780" s="245"/>
      <c r="M780" s="167"/>
      <c r="N780" s="246"/>
      <c r="O780" s="142"/>
      <c r="P780" s="213"/>
    </row>
    <row r="781" ht="15.75" customHeight="1">
      <c r="A781" s="142"/>
      <c r="B781" s="142"/>
      <c r="C781" s="160"/>
      <c r="D781" s="160"/>
      <c r="E781" s="142"/>
      <c r="F781" s="161"/>
      <c r="G781" s="142"/>
      <c r="H781" s="142"/>
      <c r="I781" s="142"/>
      <c r="J781" s="245"/>
      <c r="K781" s="142"/>
      <c r="L781" s="245"/>
      <c r="M781" s="167"/>
      <c r="N781" s="246"/>
      <c r="O781" s="142"/>
      <c r="P781" s="213"/>
    </row>
    <row r="782" ht="15.75" customHeight="1">
      <c r="A782" s="142"/>
      <c r="B782" s="142"/>
      <c r="C782" s="160"/>
      <c r="D782" s="160"/>
      <c r="E782" s="142"/>
      <c r="F782" s="161"/>
      <c r="G782" s="142"/>
      <c r="H782" s="142"/>
      <c r="I782" s="142"/>
      <c r="J782" s="245"/>
      <c r="K782" s="142"/>
      <c r="L782" s="245"/>
      <c r="M782" s="167"/>
      <c r="N782" s="246"/>
      <c r="O782" s="142"/>
      <c r="P782" s="213"/>
    </row>
    <row r="783" ht="15.75" customHeight="1">
      <c r="A783" s="142"/>
      <c r="B783" s="142"/>
      <c r="C783" s="160"/>
      <c r="D783" s="160"/>
      <c r="E783" s="142"/>
      <c r="F783" s="161"/>
      <c r="G783" s="142"/>
      <c r="H783" s="142"/>
      <c r="I783" s="142"/>
      <c r="J783" s="245"/>
      <c r="K783" s="142"/>
      <c r="L783" s="245"/>
      <c r="M783" s="167"/>
      <c r="N783" s="246"/>
      <c r="O783" s="142"/>
      <c r="P783" s="213"/>
    </row>
    <row r="784" ht="15.75" customHeight="1">
      <c r="A784" s="142"/>
      <c r="B784" s="142"/>
      <c r="C784" s="160"/>
      <c r="D784" s="160"/>
      <c r="E784" s="142"/>
      <c r="F784" s="161"/>
      <c r="G784" s="142"/>
      <c r="H784" s="142"/>
      <c r="I784" s="142"/>
      <c r="J784" s="245"/>
      <c r="K784" s="142"/>
      <c r="L784" s="245"/>
      <c r="M784" s="167"/>
      <c r="N784" s="246"/>
      <c r="O784" s="142"/>
      <c r="P784" s="213"/>
    </row>
    <row r="785" ht="15.75" customHeight="1">
      <c r="A785" s="142"/>
      <c r="B785" s="142"/>
      <c r="C785" s="160"/>
      <c r="D785" s="160"/>
      <c r="E785" s="142"/>
      <c r="F785" s="161"/>
      <c r="G785" s="142"/>
      <c r="H785" s="142"/>
      <c r="I785" s="142"/>
      <c r="J785" s="245"/>
      <c r="K785" s="142"/>
      <c r="L785" s="245"/>
      <c r="M785" s="167"/>
      <c r="N785" s="246"/>
      <c r="O785" s="142"/>
      <c r="P785" s="213"/>
    </row>
    <row r="786" ht="15.75" customHeight="1">
      <c r="A786" s="142"/>
      <c r="B786" s="142"/>
      <c r="C786" s="160"/>
      <c r="D786" s="160"/>
      <c r="E786" s="142"/>
      <c r="F786" s="161"/>
      <c r="G786" s="142"/>
      <c r="H786" s="142"/>
      <c r="I786" s="142"/>
      <c r="J786" s="245"/>
      <c r="K786" s="142"/>
      <c r="L786" s="245"/>
      <c r="M786" s="167"/>
      <c r="N786" s="246"/>
      <c r="O786" s="142"/>
      <c r="P786" s="213"/>
    </row>
    <row r="787" ht="15.75" customHeight="1">
      <c r="A787" s="142"/>
      <c r="B787" s="142"/>
      <c r="C787" s="160"/>
      <c r="D787" s="160"/>
      <c r="E787" s="142"/>
      <c r="F787" s="161"/>
      <c r="G787" s="142"/>
      <c r="H787" s="142"/>
      <c r="I787" s="142"/>
      <c r="J787" s="245"/>
      <c r="K787" s="142"/>
      <c r="L787" s="245"/>
      <c r="M787" s="167"/>
      <c r="N787" s="246"/>
      <c r="O787" s="142"/>
      <c r="P787" s="213"/>
    </row>
    <row r="788" ht="15.75" customHeight="1">
      <c r="A788" s="142"/>
      <c r="B788" s="142"/>
      <c r="C788" s="160"/>
      <c r="D788" s="160"/>
      <c r="E788" s="142"/>
      <c r="F788" s="161"/>
      <c r="G788" s="142"/>
      <c r="H788" s="142"/>
      <c r="I788" s="142"/>
      <c r="J788" s="245"/>
      <c r="K788" s="142"/>
      <c r="L788" s="245"/>
      <c r="M788" s="167"/>
      <c r="N788" s="246"/>
      <c r="O788" s="142"/>
      <c r="P788" s="213"/>
    </row>
    <row r="789" ht="15.75" customHeight="1">
      <c r="A789" s="142"/>
      <c r="B789" s="142"/>
      <c r="C789" s="160"/>
      <c r="D789" s="160"/>
      <c r="E789" s="142"/>
      <c r="F789" s="161"/>
      <c r="G789" s="142"/>
      <c r="H789" s="142"/>
      <c r="I789" s="142"/>
      <c r="J789" s="245"/>
      <c r="K789" s="142"/>
      <c r="L789" s="245"/>
      <c r="M789" s="167"/>
      <c r="N789" s="246"/>
      <c r="O789" s="142"/>
      <c r="P789" s="213"/>
    </row>
    <row r="790" ht="15.75" customHeight="1">
      <c r="A790" s="142"/>
      <c r="B790" s="142"/>
      <c r="C790" s="160"/>
      <c r="D790" s="160"/>
      <c r="E790" s="142"/>
      <c r="F790" s="161"/>
      <c r="G790" s="142"/>
      <c r="H790" s="142"/>
      <c r="I790" s="142"/>
      <c r="J790" s="245"/>
      <c r="K790" s="142"/>
      <c r="L790" s="245"/>
      <c r="M790" s="167"/>
      <c r="N790" s="246"/>
      <c r="O790" s="142"/>
      <c r="P790" s="213"/>
    </row>
    <row r="791" ht="15.75" customHeight="1">
      <c r="A791" s="142"/>
      <c r="B791" s="142"/>
      <c r="C791" s="160"/>
      <c r="D791" s="160"/>
      <c r="E791" s="142"/>
      <c r="F791" s="161"/>
      <c r="G791" s="142"/>
      <c r="H791" s="142"/>
      <c r="I791" s="142"/>
      <c r="J791" s="245"/>
      <c r="K791" s="142"/>
      <c r="L791" s="245"/>
      <c r="M791" s="167"/>
      <c r="N791" s="246"/>
      <c r="O791" s="142"/>
      <c r="P791" s="213"/>
    </row>
    <row r="792" ht="15.75" customHeight="1">
      <c r="A792" s="142"/>
      <c r="B792" s="142"/>
      <c r="C792" s="160"/>
      <c r="D792" s="160"/>
      <c r="E792" s="142"/>
      <c r="F792" s="161"/>
      <c r="G792" s="142"/>
      <c r="H792" s="142"/>
      <c r="I792" s="142"/>
      <c r="J792" s="245"/>
      <c r="K792" s="142"/>
      <c r="L792" s="245"/>
      <c r="M792" s="167"/>
      <c r="N792" s="246"/>
      <c r="O792" s="142"/>
      <c r="P792" s="213"/>
    </row>
    <row r="793" ht="15.75" customHeight="1">
      <c r="A793" s="142"/>
      <c r="B793" s="142"/>
      <c r="C793" s="160"/>
      <c r="D793" s="160"/>
      <c r="E793" s="142"/>
      <c r="F793" s="161"/>
      <c r="G793" s="142"/>
      <c r="H793" s="142"/>
      <c r="I793" s="142"/>
      <c r="J793" s="245"/>
      <c r="K793" s="142"/>
      <c r="L793" s="245"/>
      <c r="M793" s="167"/>
      <c r="N793" s="246"/>
      <c r="O793" s="142"/>
      <c r="P793" s="213"/>
    </row>
    <row r="794" ht="15.75" customHeight="1">
      <c r="A794" s="142"/>
      <c r="B794" s="142"/>
      <c r="C794" s="160"/>
      <c r="D794" s="160"/>
      <c r="E794" s="142"/>
      <c r="F794" s="161"/>
      <c r="G794" s="142"/>
      <c r="H794" s="142"/>
      <c r="I794" s="142"/>
      <c r="J794" s="245"/>
      <c r="K794" s="142"/>
      <c r="L794" s="245"/>
      <c r="M794" s="167"/>
      <c r="N794" s="246"/>
      <c r="O794" s="142"/>
      <c r="P794" s="213"/>
    </row>
    <row r="795" ht="15.75" customHeight="1">
      <c r="A795" s="142"/>
      <c r="B795" s="142"/>
      <c r="C795" s="160"/>
      <c r="D795" s="160"/>
      <c r="E795" s="142"/>
      <c r="F795" s="161"/>
      <c r="G795" s="142"/>
      <c r="H795" s="142"/>
      <c r="I795" s="142"/>
      <c r="J795" s="245"/>
      <c r="K795" s="142"/>
      <c r="L795" s="245"/>
      <c r="M795" s="167"/>
      <c r="N795" s="246"/>
      <c r="O795" s="142"/>
      <c r="P795" s="213"/>
    </row>
    <row r="796" ht="15.75" customHeight="1">
      <c r="A796" s="142"/>
      <c r="B796" s="142"/>
      <c r="C796" s="160"/>
      <c r="D796" s="160"/>
      <c r="E796" s="142"/>
      <c r="F796" s="161"/>
      <c r="G796" s="142"/>
      <c r="H796" s="142"/>
      <c r="I796" s="142"/>
      <c r="J796" s="245"/>
      <c r="K796" s="142"/>
      <c r="L796" s="245"/>
      <c r="M796" s="167"/>
      <c r="N796" s="246"/>
      <c r="O796" s="142"/>
      <c r="P796" s="213"/>
    </row>
    <row r="797" ht="15.75" customHeight="1">
      <c r="A797" s="142"/>
      <c r="B797" s="142"/>
      <c r="C797" s="160"/>
      <c r="D797" s="160"/>
      <c r="E797" s="142"/>
      <c r="F797" s="161"/>
      <c r="G797" s="142"/>
      <c r="H797" s="142"/>
      <c r="I797" s="142"/>
      <c r="J797" s="245"/>
      <c r="K797" s="142"/>
      <c r="L797" s="245"/>
      <c r="M797" s="167"/>
      <c r="N797" s="246"/>
      <c r="O797" s="142"/>
      <c r="P797" s="213"/>
    </row>
    <row r="798" ht="15.75" customHeight="1">
      <c r="A798" s="142"/>
      <c r="B798" s="142"/>
      <c r="C798" s="160"/>
      <c r="D798" s="160"/>
      <c r="E798" s="142"/>
      <c r="F798" s="161"/>
      <c r="G798" s="142"/>
      <c r="H798" s="142"/>
      <c r="I798" s="142"/>
      <c r="J798" s="245"/>
      <c r="K798" s="142"/>
      <c r="L798" s="245"/>
      <c r="M798" s="167"/>
      <c r="N798" s="246"/>
      <c r="O798" s="142"/>
      <c r="P798" s="213"/>
    </row>
    <row r="799" ht="15.75" customHeight="1">
      <c r="A799" s="142"/>
      <c r="B799" s="142"/>
      <c r="C799" s="160"/>
      <c r="D799" s="160"/>
      <c r="E799" s="142"/>
      <c r="F799" s="161"/>
      <c r="G799" s="142"/>
      <c r="H799" s="142"/>
      <c r="I799" s="142"/>
      <c r="J799" s="245"/>
      <c r="K799" s="142"/>
      <c r="L799" s="245"/>
      <c r="M799" s="167"/>
      <c r="N799" s="246"/>
      <c r="O799" s="142"/>
      <c r="P799" s="213"/>
    </row>
    <row r="800" ht="15.75" customHeight="1">
      <c r="A800" s="142"/>
      <c r="B800" s="142"/>
      <c r="C800" s="160"/>
      <c r="D800" s="160"/>
      <c r="E800" s="142"/>
      <c r="F800" s="161"/>
      <c r="G800" s="142"/>
      <c r="H800" s="142"/>
      <c r="I800" s="142"/>
      <c r="J800" s="245"/>
      <c r="K800" s="142"/>
      <c r="L800" s="245"/>
      <c r="M800" s="167"/>
      <c r="N800" s="246"/>
      <c r="O800" s="142"/>
      <c r="P800" s="213"/>
    </row>
    <row r="801" ht="15.75" customHeight="1">
      <c r="A801" s="142"/>
      <c r="B801" s="142"/>
      <c r="C801" s="160"/>
      <c r="D801" s="160"/>
      <c r="E801" s="142"/>
      <c r="F801" s="161"/>
      <c r="G801" s="142"/>
      <c r="H801" s="142"/>
      <c r="I801" s="142"/>
      <c r="J801" s="245"/>
      <c r="K801" s="142"/>
      <c r="L801" s="245"/>
      <c r="M801" s="167"/>
      <c r="N801" s="246"/>
      <c r="O801" s="142"/>
      <c r="P801" s="213"/>
    </row>
    <row r="802" ht="15.75" customHeight="1">
      <c r="A802" s="142"/>
      <c r="B802" s="142"/>
      <c r="C802" s="160"/>
      <c r="D802" s="160"/>
      <c r="E802" s="142"/>
      <c r="F802" s="161"/>
      <c r="G802" s="142"/>
      <c r="H802" s="142"/>
      <c r="I802" s="142"/>
      <c r="J802" s="245"/>
      <c r="K802" s="142"/>
      <c r="L802" s="245"/>
      <c r="M802" s="167"/>
      <c r="N802" s="246"/>
      <c r="O802" s="142"/>
      <c r="P802" s="213"/>
    </row>
    <row r="803" ht="15.75" customHeight="1">
      <c r="A803" s="142"/>
      <c r="B803" s="142"/>
      <c r="C803" s="160"/>
      <c r="D803" s="160"/>
      <c r="E803" s="142"/>
      <c r="F803" s="161"/>
      <c r="G803" s="142"/>
      <c r="H803" s="142"/>
      <c r="I803" s="142"/>
      <c r="J803" s="245"/>
      <c r="K803" s="142"/>
      <c r="L803" s="245"/>
      <c r="M803" s="167"/>
      <c r="N803" s="246"/>
      <c r="O803" s="142"/>
      <c r="P803" s="213"/>
    </row>
    <row r="804" ht="15.75" customHeight="1">
      <c r="A804" s="142"/>
      <c r="B804" s="142"/>
      <c r="C804" s="160"/>
      <c r="D804" s="160"/>
      <c r="E804" s="142"/>
      <c r="F804" s="161"/>
      <c r="G804" s="142"/>
      <c r="H804" s="142"/>
      <c r="I804" s="142"/>
      <c r="J804" s="245"/>
      <c r="K804" s="142"/>
      <c r="L804" s="245"/>
      <c r="M804" s="167"/>
      <c r="N804" s="246"/>
      <c r="O804" s="142"/>
      <c r="P804" s="213"/>
    </row>
    <row r="805" ht="15.75" customHeight="1">
      <c r="A805" s="142"/>
      <c r="B805" s="142"/>
      <c r="C805" s="160"/>
      <c r="D805" s="160"/>
      <c r="E805" s="142"/>
      <c r="F805" s="161"/>
      <c r="G805" s="142"/>
      <c r="H805" s="142"/>
      <c r="I805" s="142"/>
      <c r="J805" s="245"/>
      <c r="K805" s="142"/>
      <c r="L805" s="245"/>
      <c r="M805" s="167"/>
      <c r="N805" s="246"/>
      <c r="O805" s="142"/>
      <c r="P805" s="213"/>
    </row>
    <row r="806" ht="15.75" customHeight="1">
      <c r="A806" s="142"/>
      <c r="B806" s="142"/>
      <c r="C806" s="160"/>
      <c r="D806" s="160"/>
      <c r="E806" s="142"/>
      <c r="F806" s="161"/>
      <c r="G806" s="142"/>
      <c r="H806" s="142"/>
      <c r="I806" s="142"/>
      <c r="J806" s="245"/>
      <c r="K806" s="142"/>
      <c r="L806" s="245"/>
      <c r="M806" s="167"/>
      <c r="N806" s="246"/>
      <c r="O806" s="142"/>
      <c r="P806" s="213"/>
    </row>
    <row r="807" ht="15.75" customHeight="1">
      <c r="A807" s="142"/>
      <c r="B807" s="142"/>
      <c r="C807" s="160"/>
      <c r="D807" s="160"/>
      <c r="E807" s="142"/>
      <c r="F807" s="161"/>
      <c r="G807" s="142"/>
      <c r="H807" s="142"/>
      <c r="I807" s="142"/>
      <c r="J807" s="245"/>
      <c r="K807" s="142"/>
      <c r="L807" s="245"/>
      <c r="M807" s="167"/>
      <c r="N807" s="246"/>
      <c r="O807" s="142"/>
      <c r="P807" s="213"/>
    </row>
    <row r="808" ht="15.75" customHeight="1">
      <c r="A808" s="142"/>
      <c r="B808" s="142"/>
      <c r="C808" s="160"/>
      <c r="D808" s="160"/>
      <c r="E808" s="142"/>
      <c r="F808" s="161"/>
      <c r="G808" s="142"/>
      <c r="H808" s="142"/>
      <c r="I808" s="142"/>
      <c r="J808" s="245"/>
      <c r="K808" s="142"/>
      <c r="L808" s="245"/>
      <c r="M808" s="167"/>
      <c r="N808" s="246"/>
      <c r="O808" s="142"/>
      <c r="P808" s="213"/>
    </row>
    <row r="809" ht="15.75" customHeight="1">
      <c r="A809" s="142"/>
      <c r="B809" s="142"/>
      <c r="C809" s="160"/>
      <c r="D809" s="160"/>
      <c r="E809" s="142"/>
      <c r="F809" s="161"/>
      <c r="G809" s="142"/>
      <c r="H809" s="142"/>
      <c r="I809" s="142"/>
      <c r="J809" s="245"/>
      <c r="K809" s="142"/>
      <c r="L809" s="245"/>
      <c r="M809" s="167"/>
      <c r="N809" s="246"/>
      <c r="O809" s="142"/>
      <c r="P809" s="213"/>
    </row>
    <row r="810" ht="15.75" customHeight="1">
      <c r="A810" s="142"/>
      <c r="B810" s="142"/>
      <c r="C810" s="160"/>
      <c r="D810" s="160"/>
      <c r="E810" s="142"/>
      <c r="F810" s="161"/>
      <c r="G810" s="142"/>
      <c r="H810" s="142"/>
      <c r="I810" s="142"/>
      <c r="J810" s="245"/>
      <c r="K810" s="142"/>
      <c r="L810" s="245"/>
      <c r="M810" s="167"/>
      <c r="N810" s="246"/>
      <c r="O810" s="142"/>
      <c r="P810" s="213"/>
    </row>
    <row r="811" ht="15.75" customHeight="1">
      <c r="A811" s="142"/>
      <c r="B811" s="142"/>
      <c r="C811" s="160"/>
      <c r="D811" s="160"/>
      <c r="E811" s="142"/>
      <c r="F811" s="161"/>
      <c r="G811" s="142"/>
      <c r="H811" s="142"/>
      <c r="I811" s="142"/>
      <c r="J811" s="245"/>
      <c r="K811" s="142"/>
      <c r="L811" s="245"/>
      <c r="M811" s="167"/>
      <c r="N811" s="246"/>
      <c r="O811" s="142"/>
      <c r="P811" s="213"/>
    </row>
    <row r="812" ht="15.75" customHeight="1">
      <c r="A812" s="142"/>
      <c r="B812" s="142"/>
      <c r="C812" s="160"/>
      <c r="D812" s="160"/>
      <c r="E812" s="142"/>
      <c r="F812" s="161"/>
      <c r="G812" s="142"/>
      <c r="H812" s="142"/>
      <c r="I812" s="142"/>
      <c r="J812" s="245"/>
      <c r="K812" s="142"/>
      <c r="L812" s="245"/>
      <c r="M812" s="167"/>
      <c r="N812" s="246"/>
      <c r="O812" s="142"/>
      <c r="P812" s="213"/>
    </row>
    <row r="813" ht="15.75" customHeight="1">
      <c r="A813" s="142"/>
      <c r="B813" s="142"/>
      <c r="C813" s="160"/>
      <c r="D813" s="160"/>
      <c r="E813" s="142"/>
      <c r="F813" s="161"/>
      <c r="G813" s="142"/>
      <c r="H813" s="142"/>
      <c r="I813" s="142"/>
      <c r="J813" s="245"/>
      <c r="K813" s="142"/>
      <c r="L813" s="245"/>
      <c r="M813" s="167"/>
      <c r="N813" s="246"/>
      <c r="O813" s="142"/>
      <c r="P813" s="213"/>
    </row>
    <row r="814" ht="15.75" customHeight="1">
      <c r="A814" s="142"/>
      <c r="B814" s="142"/>
      <c r="C814" s="160"/>
      <c r="D814" s="160"/>
      <c r="E814" s="142"/>
      <c r="F814" s="161"/>
      <c r="G814" s="142"/>
      <c r="H814" s="142"/>
      <c r="I814" s="142"/>
      <c r="J814" s="245"/>
      <c r="K814" s="142"/>
      <c r="L814" s="245"/>
      <c r="M814" s="167"/>
      <c r="N814" s="246"/>
      <c r="O814" s="142"/>
      <c r="P814" s="213"/>
    </row>
    <row r="815" ht="15.75" customHeight="1">
      <c r="A815" s="142"/>
      <c r="B815" s="142"/>
      <c r="C815" s="160"/>
      <c r="D815" s="160"/>
      <c r="E815" s="142"/>
      <c r="F815" s="161"/>
      <c r="G815" s="142"/>
      <c r="H815" s="142"/>
      <c r="I815" s="142"/>
      <c r="J815" s="245"/>
      <c r="K815" s="142"/>
      <c r="L815" s="245"/>
      <c r="M815" s="167"/>
      <c r="N815" s="246"/>
      <c r="O815" s="142"/>
      <c r="P815" s="213"/>
    </row>
    <row r="816" ht="15.75" customHeight="1">
      <c r="A816" s="142"/>
      <c r="B816" s="142"/>
      <c r="C816" s="160"/>
      <c r="D816" s="160"/>
      <c r="E816" s="142"/>
      <c r="F816" s="161"/>
      <c r="G816" s="142"/>
      <c r="H816" s="142"/>
      <c r="I816" s="142"/>
      <c r="J816" s="245"/>
      <c r="K816" s="142"/>
      <c r="L816" s="245"/>
      <c r="M816" s="167"/>
      <c r="N816" s="246"/>
      <c r="O816" s="142"/>
      <c r="P816" s="213"/>
    </row>
    <row r="817" ht="15.75" customHeight="1">
      <c r="A817" s="142"/>
      <c r="B817" s="142"/>
      <c r="C817" s="160"/>
      <c r="D817" s="160"/>
      <c r="E817" s="142"/>
      <c r="F817" s="161"/>
      <c r="G817" s="142"/>
      <c r="H817" s="142"/>
      <c r="I817" s="142"/>
      <c r="J817" s="245"/>
      <c r="K817" s="142"/>
      <c r="L817" s="245"/>
      <c r="M817" s="167"/>
      <c r="N817" s="246"/>
      <c r="O817" s="142"/>
      <c r="P817" s="213"/>
    </row>
    <row r="818" ht="15.75" customHeight="1">
      <c r="A818" s="142"/>
      <c r="B818" s="142"/>
      <c r="C818" s="160"/>
      <c r="D818" s="160"/>
      <c r="E818" s="142"/>
      <c r="F818" s="161"/>
      <c r="G818" s="142"/>
      <c r="H818" s="142"/>
      <c r="I818" s="142"/>
      <c r="J818" s="245"/>
      <c r="K818" s="142"/>
      <c r="L818" s="245"/>
      <c r="M818" s="167"/>
      <c r="N818" s="246"/>
      <c r="O818" s="142"/>
      <c r="P818" s="213"/>
    </row>
    <row r="819" ht="15.75" customHeight="1">
      <c r="A819" s="142"/>
      <c r="B819" s="142"/>
      <c r="C819" s="160"/>
      <c r="D819" s="160"/>
      <c r="E819" s="142"/>
      <c r="F819" s="161"/>
      <c r="G819" s="142"/>
      <c r="H819" s="142"/>
      <c r="I819" s="142"/>
      <c r="J819" s="245"/>
      <c r="K819" s="142"/>
      <c r="L819" s="245"/>
      <c r="M819" s="167"/>
      <c r="N819" s="246"/>
      <c r="O819" s="142"/>
      <c r="P819" s="213"/>
    </row>
    <row r="820" ht="15.75" customHeight="1">
      <c r="A820" s="142"/>
      <c r="B820" s="142"/>
      <c r="C820" s="160"/>
      <c r="D820" s="160"/>
      <c r="E820" s="142"/>
      <c r="F820" s="161"/>
      <c r="G820" s="142"/>
      <c r="H820" s="142"/>
      <c r="I820" s="142"/>
      <c r="J820" s="245"/>
      <c r="K820" s="142"/>
      <c r="L820" s="245"/>
      <c r="M820" s="167"/>
      <c r="N820" s="246"/>
      <c r="O820" s="142"/>
      <c r="P820" s="213"/>
    </row>
    <row r="821" ht="15.75" customHeight="1">
      <c r="A821" s="142"/>
      <c r="B821" s="142"/>
      <c r="C821" s="160"/>
      <c r="D821" s="160"/>
      <c r="E821" s="142"/>
      <c r="F821" s="161"/>
      <c r="G821" s="142"/>
      <c r="H821" s="142"/>
      <c r="I821" s="142"/>
      <c r="J821" s="245"/>
      <c r="K821" s="142"/>
      <c r="L821" s="245"/>
      <c r="M821" s="167"/>
      <c r="N821" s="246"/>
      <c r="O821" s="142"/>
      <c r="P821" s="213"/>
    </row>
    <row r="822" ht="15.75" customHeight="1">
      <c r="A822" s="142"/>
      <c r="B822" s="142"/>
      <c r="C822" s="160"/>
      <c r="D822" s="160"/>
      <c r="E822" s="142"/>
      <c r="F822" s="161"/>
      <c r="G822" s="142"/>
      <c r="H822" s="142"/>
      <c r="I822" s="142"/>
      <c r="J822" s="245"/>
      <c r="K822" s="142"/>
      <c r="L822" s="245"/>
      <c r="M822" s="167"/>
      <c r="N822" s="246"/>
      <c r="O822" s="142"/>
      <c r="P822" s="213"/>
    </row>
    <row r="823" ht="15.75" customHeight="1">
      <c r="A823" s="142"/>
      <c r="B823" s="142"/>
      <c r="C823" s="160"/>
      <c r="D823" s="160"/>
      <c r="E823" s="142"/>
      <c r="F823" s="161"/>
      <c r="G823" s="142"/>
      <c r="H823" s="142"/>
      <c r="I823" s="142"/>
      <c r="J823" s="245"/>
      <c r="K823" s="142"/>
      <c r="L823" s="245"/>
      <c r="M823" s="167"/>
      <c r="N823" s="246"/>
      <c r="O823" s="142"/>
      <c r="P823" s="213"/>
    </row>
    <row r="824" ht="15.75" customHeight="1">
      <c r="A824" s="142"/>
      <c r="B824" s="142"/>
      <c r="C824" s="160"/>
      <c r="D824" s="160"/>
      <c r="E824" s="142"/>
      <c r="F824" s="161"/>
      <c r="G824" s="142"/>
      <c r="H824" s="142"/>
      <c r="I824" s="142"/>
      <c r="J824" s="245"/>
      <c r="K824" s="142"/>
      <c r="L824" s="245"/>
      <c r="M824" s="167"/>
      <c r="N824" s="246"/>
      <c r="O824" s="142"/>
      <c r="P824" s="213"/>
    </row>
    <row r="825" ht="15.75" customHeight="1">
      <c r="A825" s="142"/>
      <c r="B825" s="142"/>
      <c r="C825" s="160"/>
      <c r="D825" s="160"/>
      <c r="E825" s="142"/>
      <c r="F825" s="161"/>
      <c r="G825" s="142"/>
      <c r="H825" s="142"/>
      <c r="I825" s="142"/>
      <c r="J825" s="245"/>
      <c r="K825" s="142"/>
      <c r="L825" s="245"/>
      <c r="M825" s="167"/>
      <c r="N825" s="246"/>
      <c r="O825" s="142"/>
      <c r="P825" s="213"/>
    </row>
    <row r="826" ht="15.75" customHeight="1">
      <c r="A826" s="142"/>
      <c r="B826" s="142"/>
      <c r="C826" s="160"/>
      <c r="D826" s="160"/>
      <c r="E826" s="142"/>
      <c r="F826" s="161"/>
      <c r="G826" s="142"/>
      <c r="H826" s="142"/>
      <c r="I826" s="142"/>
      <c r="J826" s="245"/>
      <c r="K826" s="142"/>
      <c r="L826" s="245"/>
      <c r="M826" s="167"/>
      <c r="N826" s="246"/>
      <c r="O826" s="142"/>
      <c r="P826" s="213"/>
    </row>
    <row r="827" ht="15.75" customHeight="1">
      <c r="A827" s="142"/>
      <c r="B827" s="142"/>
      <c r="C827" s="160"/>
      <c r="D827" s="160"/>
      <c r="E827" s="142"/>
      <c r="F827" s="161"/>
      <c r="G827" s="142"/>
      <c r="H827" s="142"/>
      <c r="I827" s="142"/>
      <c r="J827" s="245"/>
      <c r="K827" s="142"/>
      <c r="L827" s="245"/>
      <c r="M827" s="167"/>
      <c r="N827" s="246"/>
      <c r="O827" s="142"/>
      <c r="P827" s="213"/>
    </row>
    <row r="828" ht="15.75" customHeight="1">
      <c r="A828" s="142"/>
      <c r="B828" s="142"/>
      <c r="C828" s="160"/>
      <c r="D828" s="160"/>
      <c r="E828" s="142"/>
      <c r="F828" s="161"/>
      <c r="G828" s="142"/>
      <c r="H828" s="142"/>
      <c r="I828" s="142"/>
      <c r="J828" s="245"/>
      <c r="K828" s="142"/>
      <c r="L828" s="245"/>
      <c r="M828" s="167"/>
      <c r="N828" s="246"/>
      <c r="O828" s="142"/>
      <c r="P828" s="213"/>
    </row>
    <row r="829" ht="15.75" customHeight="1">
      <c r="A829" s="142"/>
      <c r="B829" s="142"/>
      <c r="C829" s="160"/>
      <c r="D829" s="160"/>
      <c r="E829" s="142"/>
      <c r="F829" s="161"/>
      <c r="G829" s="142"/>
      <c r="H829" s="142"/>
      <c r="I829" s="142"/>
      <c r="J829" s="245"/>
      <c r="K829" s="142"/>
      <c r="L829" s="245"/>
      <c r="M829" s="167"/>
      <c r="N829" s="246"/>
      <c r="O829" s="142"/>
      <c r="P829" s="213"/>
    </row>
    <row r="830" ht="15.75" customHeight="1">
      <c r="A830" s="142"/>
      <c r="B830" s="142"/>
      <c r="C830" s="160"/>
      <c r="D830" s="160"/>
      <c r="E830" s="142"/>
      <c r="F830" s="161"/>
      <c r="G830" s="142"/>
      <c r="H830" s="142"/>
      <c r="I830" s="142"/>
      <c r="J830" s="245"/>
      <c r="K830" s="142"/>
      <c r="L830" s="245"/>
      <c r="M830" s="167"/>
      <c r="N830" s="246"/>
      <c r="O830" s="142"/>
      <c r="P830" s="213"/>
    </row>
    <row r="831" ht="15.75" customHeight="1">
      <c r="A831" s="142"/>
      <c r="B831" s="142"/>
      <c r="C831" s="160"/>
      <c r="D831" s="160"/>
      <c r="E831" s="142"/>
      <c r="F831" s="161"/>
      <c r="G831" s="142"/>
      <c r="H831" s="142"/>
      <c r="I831" s="142"/>
      <c r="J831" s="245"/>
      <c r="K831" s="142"/>
      <c r="L831" s="245"/>
      <c r="M831" s="167"/>
      <c r="N831" s="246"/>
      <c r="O831" s="142"/>
      <c r="P831" s="213"/>
    </row>
    <row r="832" ht="15.75" customHeight="1">
      <c r="A832" s="142"/>
      <c r="B832" s="142"/>
      <c r="C832" s="160"/>
      <c r="D832" s="160"/>
      <c r="E832" s="142"/>
      <c r="F832" s="161"/>
      <c r="G832" s="142"/>
      <c r="H832" s="142"/>
      <c r="I832" s="142"/>
      <c r="J832" s="245"/>
      <c r="K832" s="142"/>
      <c r="L832" s="245"/>
      <c r="M832" s="167"/>
      <c r="N832" s="246"/>
      <c r="O832" s="142"/>
      <c r="P832" s="213"/>
    </row>
    <row r="833" ht="15.75" customHeight="1">
      <c r="A833" s="142"/>
      <c r="B833" s="142"/>
      <c r="C833" s="160"/>
      <c r="D833" s="160"/>
      <c r="E833" s="142"/>
      <c r="F833" s="161"/>
      <c r="G833" s="142"/>
      <c r="H833" s="142"/>
      <c r="I833" s="142"/>
      <c r="J833" s="245"/>
      <c r="K833" s="142"/>
      <c r="L833" s="245"/>
      <c r="M833" s="167"/>
      <c r="N833" s="246"/>
      <c r="O833" s="142"/>
      <c r="P833" s="213"/>
    </row>
    <row r="834" ht="15.75" customHeight="1">
      <c r="A834" s="142"/>
      <c r="B834" s="142"/>
      <c r="C834" s="160"/>
      <c r="D834" s="160"/>
      <c r="E834" s="142"/>
      <c r="F834" s="161"/>
      <c r="G834" s="142"/>
      <c r="H834" s="142"/>
      <c r="I834" s="142"/>
      <c r="J834" s="245"/>
      <c r="K834" s="142"/>
      <c r="L834" s="245"/>
      <c r="M834" s="167"/>
      <c r="N834" s="246"/>
      <c r="O834" s="142"/>
      <c r="P834" s="213"/>
    </row>
    <row r="835" ht="15.75" customHeight="1">
      <c r="A835" s="142"/>
      <c r="B835" s="142"/>
      <c r="C835" s="160"/>
      <c r="D835" s="160"/>
      <c r="E835" s="142"/>
      <c r="F835" s="161"/>
      <c r="G835" s="142"/>
      <c r="H835" s="142"/>
      <c r="I835" s="142"/>
      <c r="J835" s="245"/>
      <c r="K835" s="142"/>
      <c r="L835" s="245"/>
      <c r="M835" s="167"/>
      <c r="N835" s="246"/>
      <c r="O835" s="142"/>
      <c r="P835" s="213"/>
    </row>
    <row r="836" ht="15.75" customHeight="1">
      <c r="A836" s="142"/>
      <c r="B836" s="142"/>
      <c r="C836" s="160"/>
      <c r="D836" s="160"/>
      <c r="E836" s="142"/>
      <c r="F836" s="161"/>
      <c r="G836" s="142"/>
      <c r="H836" s="142"/>
      <c r="I836" s="142"/>
      <c r="J836" s="245"/>
      <c r="K836" s="142"/>
      <c r="L836" s="245"/>
      <c r="M836" s="167"/>
      <c r="N836" s="246"/>
      <c r="O836" s="142"/>
      <c r="P836" s="213"/>
    </row>
    <row r="837" ht="15.75" customHeight="1">
      <c r="A837" s="142"/>
      <c r="B837" s="142"/>
      <c r="C837" s="160"/>
      <c r="D837" s="160"/>
      <c r="E837" s="142"/>
      <c r="F837" s="161"/>
      <c r="G837" s="142"/>
      <c r="H837" s="142"/>
      <c r="I837" s="142"/>
      <c r="J837" s="245"/>
      <c r="K837" s="142"/>
      <c r="L837" s="245"/>
      <c r="M837" s="167"/>
      <c r="N837" s="246"/>
      <c r="O837" s="142"/>
      <c r="P837" s="213"/>
    </row>
    <row r="838" ht="15.75" customHeight="1">
      <c r="A838" s="142"/>
      <c r="B838" s="142"/>
      <c r="C838" s="160"/>
      <c r="D838" s="160"/>
      <c r="E838" s="142"/>
      <c r="F838" s="161"/>
      <c r="G838" s="142"/>
      <c r="H838" s="142"/>
      <c r="I838" s="142"/>
      <c r="J838" s="245"/>
      <c r="K838" s="142"/>
      <c r="L838" s="245"/>
      <c r="M838" s="167"/>
      <c r="N838" s="246"/>
      <c r="O838" s="142"/>
      <c r="P838" s="213"/>
    </row>
    <row r="839" ht="15.75" customHeight="1">
      <c r="A839" s="142"/>
      <c r="B839" s="142"/>
      <c r="C839" s="160"/>
      <c r="D839" s="160"/>
      <c r="E839" s="142"/>
      <c r="F839" s="161"/>
      <c r="G839" s="142"/>
      <c r="H839" s="142"/>
      <c r="I839" s="142"/>
      <c r="J839" s="245"/>
      <c r="K839" s="142"/>
      <c r="L839" s="245"/>
      <c r="M839" s="167"/>
      <c r="N839" s="246"/>
      <c r="O839" s="142"/>
      <c r="P839" s="213"/>
    </row>
    <row r="840" ht="15.75" customHeight="1">
      <c r="A840" s="142"/>
      <c r="B840" s="142"/>
      <c r="C840" s="160"/>
      <c r="D840" s="160"/>
      <c r="E840" s="142"/>
      <c r="F840" s="161"/>
      <c r="G840" s="142"/>
      <c r="H840" s="142"/>
      <c r="I840" s="142"/>
      <c r="J840" s="245"/>
      <c r="K840" s="142"/>
      <c r="L840" s="245"/>
      <c r="M840" s="167"/>
      <c r="N840" s="246"/>
      <c r="O840" s="142"/>
      <c r="P840" s="213"/>
    </row>
    <row r="841" ht="15.75" customHeight="1">
      <c r="A841" s="142"/>
      <c r="B841" s="142"/>
      <c r="C841" s="160"/>
      <c r="D841" s="160"/>
      <c r="E841" s="142"/>
      <c r="F841" s="161"/>
      <c r="G841" s="142"/>
      <c r="H841" s="142"/>
      <c r="I841" s="142"/>
      <c r="J841" s="245"/>
      <c r="K841" s="142"/>
      <c r="L841" s="245"/>
      <c r="M841" s="167"/>
      <c r="N841" s="246"/>
      <c r="O841" s="142"/>
      <c r="P841" s="213"/>
    </row>
    <row r="842" ht="15.75" customHeight="1">
      <c r="A842" s="142"/>
      <c r="B842" s="142"/>
      <c r="C842" s="160"/>
      <c r="D842" s="160"/>
      <c r="E842" s="142"/>
      <c r="F842" s="161"/>
      <c r="G842" s="142"/>
      <c r="H842" s="142"/>
      <c r="I842" s="142"/>
      <c r="J842" s="245"/>
      <c r="K842" s="142"/>
      <c r="L842" s="245"/>
      <c r="M842" s="167"/>
      <c r="N842" s="246"/>
      <c r="O842" s="142"/>
      <c r="P842" s="213"/>
    </row>
    <row r="843" ht="15.75" customHeight="1">
      <c r="A843" s="142"/>
      <c r="B843" s="142"/>
      <c r="C843" s="160"/>
      <c r="D843" s="160"/>
      <c r="E843" s="142"/>
      <c r="F843" s="161"/>
      <c r="G843" s="142"/>
      <c r="H843" s="142"/>
      <c r="I843" s="142"/>
      <c r="J843" s="245"/>
      <c r="K843" s="142"/>
      <c r="L843" s="245"/>
      <c r="M843" s="167"/>
      <c r="N843" s="246"/>
      <c r="O843" s="142"/>
      <c r="P843" s="213"/>
    </row>
    <row r="844" ht="15.75" customHeight="1">
      <c r="A844" s="142"/>
      <c r="B844" s="142"/>
      <c r="C844" s="160"/>
      <c r="D844" s="160"/>
      <c r="E844" s="142"/>
      <c r="F844" s="161"/>
      <c r="G844" s="142"/>
      <c r="H844" s="142"/>
      <c r="I844" s="142"/>
      <c r="J844" s="245"/>
      <c r="K844" s="142"/>
      <c r="L844" s="245"/>
      <c r="M844" s="167"/>
      <c r="N844" s="246"/>
      <c r="O844" s="142"/>
      <c r="P844" s="213"/>
    </row>
    <row r="845" ht="15.75" customHeight="1">
      <c r="A845" s="142"/>
      <c r="B845" s="142"/>
      <c r="C845" s="160"/>
      <c r="D845" s="160"/>
      <c r="E845" s="142"/>
      <c r="F845" s="161"/>
      <c r="G845" s="142"/>
      <c r="H845" s="142"/>
      <c r="I845" s="142"/>
      <c r="J845" s="245"/>
      <c r="K845" s="142"/>
      <c r="L845" s="245"/>
      <c r="M845" s="167"/>
      <c r="N845" s="246"/>
      <c r="O845" s="142"/>
      <c r="P845" s="213"/>
    </row>
    <row r="846" ht="15.75" customHeight="1">
      <c r="A846" s="142"/>
      <c r="B846" s="142"/>
      <c r="C846" s="160"/>
      <c r="D846" s="160"/>
      <c r="E846" s="142"/>
      <c r="F846" s="161"/>
      <c r="G846" s="142"/>
      <c r="H846" s="142"/>
      <c r="I846" s="142"/>
      <c r="J846" s="245"/>
      <c r="K846" s="142"/>
      <c r="L846" s="245"/>
      <c r="M846" s="167"/>
      <c r="N846" s="246"/>
      <c r="O846" s="142"/>
      <c r="P846" s="213"/>
    </row>
    <row r="847" ht="15.75" customHeight="1">
      <c r="A847" s="142"/>
      <c r="B847" s="142"/>
      <c r="C847" s="160"/>
      <c r="D847" s="160"/>
      <c r="E847" s="142"/>
      <c r="F847" s="161"/>
      <c r="G847" s="142"/>
      <c r="H847" s="142"/>
      <c r="I847" s="142"/>
      <c r="J847" s="245"/>
      <c r="K847" s="142"/>
      <c r="L847" s="245"/>
      <c r="M847" s="167"/>
      <c r="N847" s="246"/>
      <c r="O847" s="142"/>
      <c r="P847" s="213"/>
    </row>
    <row r="848" ht="15.75" customHeight="1">
      <c r="A848" s="142"/>
      <c r="B848" s="142"/>
      <c r="C848" s="160"/>
      <c r="D848" s="160"/>
      <c r="E848" s="142"/>
      <c r="F848" s="161"/>
      <c r="G848" s="142"/>
      <c r="H848" s="142"/>
      <c r="I848" s="142"/>
      <c r="J848" s="245"/>
      <c r="K848" s="142"/>
      <c r="L848" s="245"/>
      <c r="M848" s="167"/>
      <c r="N848" s="246"/>
      <c r="O848" s="142"/>
      <c r="P848" s="213"/>
    </row>
    <row r="849" ht="15.75" customHeight="1">
      <c r="A849" s="142"/>
      <c r="B849" s="142"/>
      <c r="C849" s="160"/>
      <c r="D849" s="160"/>
      <c r="E849" s="142"/>
      <c r="F849" s="161"/>
      <c r="G849" s="142"/>
      <c r="H849" s="142"/>
      <c r="I849" s="142"/>
      <c r="J849" s="245"/>
      <c r="K849" s="142"/>
      <c r="L849" s="245"/>
      <c r="M849" s="167"/>
      <c r="N849" s="246"/>
      <c r="O849" s="142"/>
      <c r="P849" s="213"/>
    </row>
    <row r="850" ht="15.75" customHeight="1">
      <c r="A850" s="142"/>
      <c r="B850" s="142"/>
      <c r="C850" s="160"/>
      <c r="D850" s="160"/>
      <c r="E850" s="142"/>
      <c r="F850" s="161"/>
      <c r="G850" s="142"/>
      <c r="H850" s="142"/>
      <c r="I850" s="142"/>
      <c r="J850" s="245"/>
      <c r="K850" s="142"/>
      <c r="L850" s="245"/>
      <c r="M850" s="167"/>
      <c r="N850" s="246"/>
      <c r="O850" s="142"/>
      <c r="P850" s="213"/>
    </row>
    <row r="851" ht="15.75" customHeight="1">
      <c r="A851" s="142"/>
      <c r="B851" s="142"/>
      <c r="C851" s="160"/>
      <c r="D851" s="160"/>
      <c r="E851" s="142"/>
      <c r="F851" s="161"/>
      <c r="G851" s="142"/>
      <c r="H851" s="142"/>
      <c r="I851" s="142"/>
      <c r="J851" s="245"/>
      <c r="K851" s="142"/>
      <c r="L851" s="245"/>
      <c r="M851" s="167"/>
      <c r="N851" s="246"/>
      <c r="O851" s="142"/>
      <c r="P851" s="213"/>
    </row>
    <row r="852" ht="15.75" customHeight="1">
      <c r="A852" s="142"/>
      <c r="B852" s="142"/>
      <c r="C852" s="160"/>
      <c r="D852" s="160"/>
      <c r="E852" s="142"/>
      <c r="F852" s="161"/>
      <c r="G852" s="142"/>
      <c r="H852" s="142"/>
      <c r="I852" s="142"/>
      <c r="J852" s="245"/>
      <c r="K852" s="142"/>
      <c r="L852" s="245"/>
      <c r="M852" s="167"/>
      <c r="N852" s="246"/>
      <c r="O852" s="142"/>
      <c r="P852" s="213"/>
    </row>
    <row r="853" ht="15.75" customHeight="1">
      <c r="A853" s="142"/>
      <c r="B853" s="142"/>
      <c r="C853" s="160"/>
      <c r="D853" s="160"/>
      <c r="E853" s="142"/>
      <c r="F853" s="161"/>
      <c r="G853" s="142"/>
      <c r="H853" s="142"/>
      <c r="I853" s="142"/>
      <c r="J853" s="245"/>
      <c r="K853" s="142"/>
      <c r="L853" s="245"/>
      <c r="M853" s="167"/>
      <c r="N853" s="246"/>
      <c r="O853" s="142"/>
      <c r="P853" s="213"/>
    </row>
    <row r="854" ht="15.75" customHeight="1">
      <c r="A854" s="142"/>
      <c r="B854" s="142"/>
      <c r="C854" s="160"/>
      <c r="D854" s="160"/>
      <c r="E854" s="142"/>
      <c r="F854" s="161"/>
      <c r="G854" s="142"/>
      <c r="H854" s="142"/>
      <c r="I854" s="142"/>
      <c r="J854" s="245"/>
      <c r="K854" s="142"/>
      <c r="L854" s="245"/>
      <c r="M854" s="167"/>
      <c r="N854" s="246"/>
      <c r="O854" s="142"/>
      <c r="P854" s="213"/>
    </row>
    <row r="855" ht="15.75" customHeight="1">
      <c r="A855" s="142"/>
      <c r="B855" s="142"/>
      <c r="C855" s="160"/>
      <c r="D855" s="160"/>
      <c r="E855" s="142"/>
      <c r="F855" s="161"/>
      <c r="G855" s="142"/>
      <c r="H855" s="142"/>
      <c r="I855" s="142"/>
      <c r="J855" s="245"/>
      <c r="K855" s="142"/>
      <c r="L855" s="245"/>
      <c r="M855" s="167"/>
      <c r="N855" s="246"/>
      <c r="O855" s="142"/>
      <c r="P855" s="213"/>
    </row>
    <row r="856" ht="15.75" customHeight="1">
      <c r="A856" s="142"/>
      <c r="B856" s="142"/>
      <c r="C856" s="160"/>
      <c r="D856" s="160"/>
      <c r="E856" s="142"/>
      <c r="F856" s="161"/>
      <c r="G856" s="142"/>
      <c r="H856" s="142"/>
      <c r="I856" s="142"/>
      <c r="J856" s="245"/>
      <c r="K856" s="142"/>
      <c r="L856" s="245"/>
      <c r="M856" s="167"/>
      <c r="N856" s="246"/>
      <c r="O856" s="142"/>
      <c r="P856" s="213"/>
    </row>
    <row r="857" ht="15.75" customHeight="1">
      <c r="A857" s="142"/>
      <c r="B857" s="142"/>
      <c r="C857" s="160"/>
      <c r="D857" s="160"/>
      <c r="E857" s="142"/>
      <c r="F857" s="161"/>
      <c r="G857" s="142"/>
      <c r="H857" s="142"/>
      <c r="I857" s="142"/>
      <c r="J857" s="245"/>
      <c r="K857" s="142"/>
      <c r="L857" s="245"/>
      <c r="M857" s="167"/>
      <c r="N857" s="246"/>
      <c r="O857" s="142"/>
      <c r="P857" s="213"/>
    </row>
    <row r="858" ht="15.75" customHeight="1">
      <c r="A858" s="142"/>
      <c r="B858" s="142"/>
      <c r="C858" s="160"/>
      <c r="D858" s="160"/>
      <c r="E858" s="142"/>
      <c r="F858" s="161"/>
      <c r="G858" s="142"/>
      <c r="H858" s="142"/>
      <c r="I858" s="142"/>
      <c r="J858" s="245"/>
      <c r="K858" s="142"/>
      <c r="L858" s="245"/>
      <c r="M858" s="167"/>
      <c r="N858" s="246"/>
      <c r="O858" s="142"/>
      <c r="P858" s="213"/>
    </row>
    <row r="859" ht="15.75" customHeight="1">
      <c r="A859" s="142"/>
      <c r="B859" s="142"/>
      <c r="C859" s="160"/>
      <c r="D859" s="160"/>
      <c r="E859" s="142"/>
      <c r="F859" s="161"/>
      <c r="G859" s="142"/>
      <c r="H859" s="142"/>
      <c r="I859" s="142"/>
      <c r="J859" s="245"/>
      <c r="K859" s="142"/>
      <c r="L859" s="245"/>
      <c r="M859" s="167"/>
      <c r="N859" s="246"/>
      <c r="O859" s="142"/>
      <c r="P859" s="213"/>
    </row>
    <row r="860" ht="15.75" customHeight="1">
      <c r="A860" s="142"/>
      <c r="B860" s="142"/>
      <c r="C860" s="160"/>
      <c r="D860" s="160"/>
      <c r="E860" s="142"/>
      <c r="F860" s="161"/>
      <c r="G860" s="142"/>
      <c r="H860" s="142"/>
      <c r="I860" s="142"/>
      <c r="J860" s="245"/>
      <c r="K860" s="142"/>
      <c r="L860" s="245"/>
      <c r="M860" s="167"/>
      <c r="N860" s="246"/>
      <c r="O860" s="142"/>
      <c r="P860" s="213"/>
    </row>
    <row r="861" ht="15.75" customHeight="1">
      <c r="A861" s="142"/>
      <c r="B861" s="142"/>
      <c r="C861" s="160"/>
      <c r="D861" s="160"/>
      <c r="E861" s="142"/>
      <c r="F861" s="161"/>
      <c r="G861" s="142"/>
      <c r="H861" s="142"/>
      <c r="I861" s="142"/>
      <c r="J861" s="245"/>
      <c r="K861" s="142"/>
      <c r="L861" s="245"/>
      <c r="M861" s="167"/>
      <c r="N861" s="246"/>
      <c r="O861" s="142"/>
      <c r="P861" s="213"/>
    </row>
    <row r="862" ht="15.75" customHeight="1">
      <c r="A862" s="142"/>
      <c r="B862" s="142"/>
      <c r="C862" s="160"/>
      <c r="D862" s="160"/>
      <c r="E862" s="142"/>
      <c r="F862" s="161"/>
      <c r="G862" s="142"/>
      <c r="H862" s="142"/>
      <c r="I862" s="142"/>
      <c r="J862" s="245"/>
      <c r="K862" s="142"/>
      <c r="L862" s="245"/>
      <c r="M862" s="167"/>
      <c r="N862" s="246"/>
      <c r="O862" s="142"/>
      <c r="P862" s="213"/>
    </row>
    <row r="863" ht="15.75" customHeight="1">
      <c r="A863" s="142"/>
      <c r="B863" s="142"/>
      <c r="C863" s="160"/>
      <c r="D863" s="160"/>
      <c r="E863" s="142"/>
      <c r="F863" s="161"/>
      <c r="G863" s="142"/>
      <c r="H863" s="142"/>
      <c r="I863" s="142"/>
      <c r="J863" s="245"/>
      <c r="K863" s="142"/>
      <c r="L863" s="245"/>
      <c r="M863" s="167"/>
      <c r="N863" s="246"/>
      <c r="O863" s="142"/>
      <c r="P863" s="213"/>
    </row>
    <row r="864" ht="15.75" customHeight="1">
      <c r="A864" s="142"/>
      <c r="B864" s="142"/>
      <c r="C864" s="160"/>
      <c r="D864" s="160"/>
      <c r="E864" s="142"/>
      <c r="F864" s="161"/>
      <c r="G864" s="142"/>
      <c r="H864" s="142"/>
      <c r="I864" s="142"/>
      <c r="J864" s="245"/>
      <c r="K864" s="142"/>
      <c r="L864" s="245"/>
      <c r="M864" s="167"/>
      <c r="N864" s="246"/>
      <c r="O864" s="142"/>
      <c r="P864" s="213"/>
    </row>
    <row r="865" ht="15.75" customHeight="1">
      <c r="A865" s="142"/>
      <c r="B865" s="142"/>
      <c r="C865" s="160"/>
      <c r="D865" s="160"/>
      <c r="E865" s="142"/>
      <c r="F865" s="161"/>
      <c r="G865" s="142"/>
      <c r="H865" s="142"/>
      <c r="I865" s="142"/>
      <c r="J865" s="245"/>
      <c r="K865" s="142"/>
      <c r="L865" s="245"/>
      <c r="M865" s="167"/>
      <c r="N865" s="246"/>
      <c r="O865" s="142"/>
      <c r="P865" s="213"/>
    </row>
    <row r="866" ht="15.75" customHeight="1">
      <c r="A866" s="142"/>
      <c r="B866" s="142"/>
      <c r="C866" s="160"/>
      <c r="D866" s="160"/>
      <c r="E866" s="142"/>
      <c r="F866" s="161"/>
      <c r="G866" s="142"/>
      <c r="H866" s="142"/>
      <c r="I866" s="142"/>
      <c r="J866" s="245"/>
      <c r="K866" s="142"/>
      <c r="L866" s="245"/>
      <c r="M866" s="167"/>
      <c r="N866" s="246"/>
      <c r="O866" s="142"/>
      <c r="P866" s="213"/>
    </row>
    <row r="867" ht="15.75" customHeight="1">
      <c r="A867" s="142"/>
      <c r="B867" s="142"/>
      <c r="C867" s="160"/>
      <c r="D867" s="160"/>
      <c r="E867" s="142"/>
      <c r="F867" s="161"/>
      <c r="G867" s="142"/>
      <c r="H867" s="142"/>
      <c r="I867" s="142"/>
      <c r="J867" s="245"/>
      <c r="K867" s="142"/>
      <c r="L867" s="245"/>
      <c r="M867" s="167"/>
      <c r="N867" s="246"/>
      <c r="O867" s="142"/>
      <c r="P867" s="213"/>
    </row>
    <row r="868" ht="15.75" customHeight="1">
      <c r="A868" s="142"/>
      <c r="B868" s="142"/>
      <c r="C868" s="160"/>
      <c r="D868" s="160"/>
      <c r="E868" s="142"/>
      <c r="F868" s="161"/>
      <c r="G868" s="142"/>
      <c r="H868" s="142"/>
      <c r="I868" s="142"/>
      <c r="J868" s="245"/>
      <c r="K868" s="142"/>
      <c r="L868" s="245"/>
      <c r="M868" s="167"/>
      <c r="N868" s="246"/>
      <c r="O868" s="142"/>
      <c r="P868" s="213"/>
    </row>
    <row r="869" ht="15.75" customHeight="1">
      <c r="A869" s="142"/>
      <c r="B869" s="142"/>
      <c r="C869" s="160"/>
      <c r="D869" s="160"/>
      <c r="E869" s="142"/>
      <c r="F869" s="161"/>
      <c r="G869" s="142"/>
      <c r="H869" s="142"/>
      <c r="I869" s="142"/>
      <c r="J869" s="245"/>
      <c r="K869" s="142"/>
      <c r="L869" s="245"/>
      <c r="M869" s="167"/>
      <c r="N869" s="246"/>
      <c r="O869" s="142"/>
      <c r="P869" s="213"/>
    </row>
    <row r="870" ht="15.75" customHeight="1">
      <c r="A870" s="142"/>
      <c r="B870" s="142"/>
      <c r="C870" s="160"/>
      <c r="D870" s="160"/>
      <c r="E870" s="142"/>
      <c r="F870" s="161"/>
      <c r="G870" s="142"/>
      <c r="H870" s="142"/>
      <c r="I870" s="142"/>
      <c r="J870" s="245"/>
      <c r="K870" s="142"/>
      <c r="L870" s="245"/>
      <c r="M870" s="167"/>
      <c r="N870" s="246"/>
      <c r="O870" s="142"/>
      <c r="P870" s="213"/>
    </row>
    <row r="871" ht="15.75" customHeight="1">
      <c r="A871" s="142"/>
      <c r="B871" s="142"/>
      <c r="C871" s="160"/>
      <c r="D871" s="160"/>
      <c r="E871" s="142"/>
      <c r="F871" s="161"/>
      <c r="G871" s="142"/>
      <c r="H871" s="142"/>
      <c r="I871" s="142"/>
      <c r="J871" s="245"/>
      <c r="K871" s="142"/>
      <c r="L871" s="245"/>
      <c r="M871" s="167"/>
      <c r="N871" s="246"/>
      <c r="O871" s="142"/>
      <c r="P871" s="213"/>
    </row>
    <row r="872" ht="15.75" customHeight="1">
      <c r="A872" s="142"/>
      <c r="B872" s="142"/>
      <c r="C872" s="160"/>
      <c r="D872" s="160"/>
      <c r="E872" s="142"/>
      <c r="F872" s="161"/>
      <c r="G872" s="142"/>
      <c r="H872" s="142"/>
      <c r="I872" s="142"/>
      <c r="J872" s="245"/>
      <c r="K872" s="142"/>
      <c r="L872" s="245"/>
      <c r="M872" s="167"/>
      <c r="N872" s="246"/>
      <c r="O872" s="142"/>
      <c r="P872" s="213"/>
    </row>
    <row r="873" ht="15.75" customHeight="1">
      <c r="A873" s="142"/>
      <c r="B873" s="142"/>
      <c r="C873" s="160"/>
      <c r="D873" s="160"/>
      <c r="E873" s="142"/>
      <c r="F873" s="161"/>
      <c r="G873" s="142"/>
      <c r="H873" s="142"/>
      <c r="I873" s="142"/>
      <c r="J873" s="245"/>
      <c r="K873" s="142"/>
      <c r="L873" s="245"/>
      <c r="M873" s="167"/>
      <c r="N873" s="246"/>
      <c r="O873" s="142"/>
      <c r="P873" s="213"/>
    </row>
    <row r="874" ht="15.75" customHeight="1">
      <c r="A874" s="142"/>
      <c r="B874" s="142"/>
      <c r="C874" s="160"/>
      <c r="D874" s="160"/>
      <c r="E874" s="142"/>
      <c r="F874" s="161"/>
      <c r="G874" s="142"/>
      <c r="H874" s="142"/>
      <c r="I874" s="142"/>
      <c r="J874" s="245"/>
      <c r="K874" s="142"/>
      <c r="L874" s="245"/>
      <c r="M874" s="167"/>
      <c r="N874" s="246"/>
      <c r="O874" s="142"/>
      <c r="P874" s="213"/>
    </row>
    <row r="875" ht="15.75" customHeight="1">
      <c r="A875" s="142"/>
      <c r="B875" s="142"/>
      <c r="C875" s="160"/>
      <c r="D875" s="160"/>
      <c r="E875" s="142"/>
      <c r="F875" s="161"/>
      <c r="G875" s="142"/>
      <c r="H875" s="142"/>
      <c r="I875" s="142"/>
      <c r="J875" s="245"/>
      <c r="K875" s="142"/>
      <c r="L875" s="245"/>
      <c r="M875" s="167"/>
      <c r="N875" s="246"/>
      <c r="O875" s="142"/>
      <c r="P875" s="213"/>
    </row>
    <row r="876" ht="15.75" customHeight="1">
      <c r="A876" s="142"/>
      <c r="B876" s="142"/>
      <c r="C876" s="160"/>
      <c r="D876" s="160"/>
      <c r="E876" s="142"/>
      <c r="F876" s="161"/>
      <c r="G876" s="142"/>
      <c r="H876" s="142"/>
      <c r="I876" s="142"/>
      <c r="J876" s="245"/>
      <c r="K876" s="142"/>
      <c r="L876" s="245"/>
      <c r="M876" s="167"/>
      <c r="N876" s="246"/>
      <c r="O876" s="142"/>
      <c r="P876" s="213"/>
    </row>
    <row r="877" ht="15.75" customHeight="1">
      <c r="A877" s="142"/>
      <c r="B877" s="142"/>
      <c r="C877" s="160"/>
      <c r="D877" s="160"/>
      <c r="E877" s="142"/>
      <c r="F877" s="161"/>
      <c r="G877" s="142"/>
      <c r="H877" s="142"/>
      <c r="I877" s="142"/>
      <c r="J877" s="245"/>
      <c r="K877" s="142"/>
      <c r="L877" s="245"/>
      <c r="M877" s="167"/>
      <c r="N877" s="246"/>
      <c r="O877" s="142"/>
      <c r="P877" s="213"/>
    </row>
    <row r="878" ht="15.75" customHeight="1">
      <c r="A878" s="142"/>
      <c r="B878" s="142"/>
      <c r="C878" s="160"/>
      <c r="D878" s="160"/>
      <c r="E878" s="142"/>
      <c r="F878" s="161"/>
      <c r="G878" s="142"/>
      <c r="H878" s="142"/>
      <c r="I878" s="142"/>
      <c r="J878" s="245"/>
      <c r="K878" s="142"/>
      <c r="L878" s="245"/>
      <c r="M878" s="167"/>
      <c r="N878" s="246"/>
      <c r="O878" s="142"/>
      <c r="P878" s="213"/>
    </row>
    <row r="879" ht="15.75" customHeight="1">
      <c r="A879" s="142"/>
      <c r="B879" s="142"/>
      <c r="C879" s="160"/>
      <c r="D879" s="160"/>
      <c r="E879" s="142"/>
      <c r="F879" s="161"/>
      <c r="G879" s="142"/>
      <c r="H879" s="142"/>
      <c r="I879" s="142"/>
      <c r="J879" s="245"/>
      <c r="K879" s="142"/>
      <c r="L879" s="245"/>
      <c r="M879" s="167"/>
      <c r="N879" s="246"/>
      <c r="O879" s="142"/>
      <c r="P879" s="213"/>
    </row>
    <row r="880" ht="15.75" customHeight="1">
      <c r="A880" s="142"/>
      <c r="B880" s="142"/>
      <c r="C880" s="160"/>
      <c r="D880" s="160"/>
      <c r="E880" s="142"/>
      <c r="F880" s="161"/>
      <c r="G880" s="142"/>
      <c r="H880" s="142"/>
      <c r="I880" s="142"/>
      <c r="J880" s="245"/>
      <c r="K880" s="142"/>
      <c r="L880" s="245"/>
      <c r="M880" s="167"/>
      <c r="N880" s="246"/>
      <c r="O880" s="142"/>
      <c r="P880" s="213"/>
    </row>
    <row r="881" ht="15.75" customHeight="1">
      <c r="A881" s="142"/>
      <c r="B881" s="142"/>
      <c r="C881" s="160"/>
      <c r="D881" s="160"/>
      <c r="E881" s="142"/>
      <c r="F881" s="161"/>
      <c r="G881" s="142"/>
      <c r="H881" s="142"/>
      <c r="I881" s="142"/>
      <c r="J881" s="245"/>
      <c r="K881" s="142"/>
      <c r="L881" s="245"/>
      <c r="M881" s="167"/>
      <c r="N881" s="246"/>
      <c r="O881" s="142"/>
      <c r="P881" s="213"/>
    </row>
    <row r="882" ht="15.75" customHeight="1">
      <c r="A882" s="142"/>
      <c r="B882" s="142"/>
      <c r="C882" s="160"/>
      <c r="D882" s="160"/>
      <c r="E882" s="142"/>
      <c r="F882" s="161"/>
      <c r="G882" s="142"/>
      <c r="H882" s="142"/>
      <c r="I882" s="142"/>
      <c r="J882" s="245"/>
      <c r="K882" s="142"/>
      <c r="L882" s="245"/>
      <c r="M882" s="167"/>
      <c r="N882" s="246"/>
      <c r="O882" s="142"/>
      <c r="P882" s="213"/>
    </row>
    <row r="883" ht="15.75" customHeight="1">
      <c r="A883" s="142"/>
      <c r="B883" s="142"/>
      <c r="C883" s="160"/>
      <c r="D883" s="160"/>
      <c r="E883" s="142"/>
      <c r="F883" s="161"/>
      <c r="G883" s="142"/>
      <c r="H883" s="142"/>
      <c r="I883" s="142"/>
      <c r="J883" s="245"/>
      <c r="K883" s="142"/>
      <c r="L883" s="245"/>
      <c r="M883" s="167"/>
      <c r="N883" s="246"/>
      <c r="O883" s="142"/>
      <c r="P883" s="213"/>
    </row>
    <row r="884" ht="15.75" customHeight="1">
      <c r="A884" s="142"/>
      <c r="B884" s="142"/>
      <c r="C884" s="160"/>
      <c r="D884" s="160"/>
      <c r="E884" s="142"/>
      <c r="F884" s="161"/>
      <c r="G884" s="142"/>
      <c r="H884" s="142"/>
      <c r="I884" s="142"/>
      <c r="J884" s="245"/>
      <c r="K884" s="142"/>
      <c r="L884" s="245"/>
      <c r="M884" s="167"/>
      <c r="N884" s="246"/>
      <c r="O884" s="142"/>
      <c r="P884" s="213"/>
    </row>
    <row r="885" ht="15.75" customHeight="1">
      <c r="A885" s="142"/>
      <c r="B885" s="142"/>
      <c r="C885" s="160"/>
      <c r="D885" s="160"/>
      <c r="E885" s="142"/>
      <c r="F885" s="161"/>
      <c r="G885" s="142"/>
      <c r="H885" s="142"/>
      <c r="I885" s="142"/>
      <c r="J885" s="245"/>
      <c r="K885" s="142"/>
      <c r="L885" s="245"/>
      <c r="M885" s="167"/>
      <c r="N885" s="246"/>
      <c r="O885" s="142"/>
      <c r="P885" s="213"/>
    </row>
    <row r="886" ht="15.75" customHeight="1">
      <c r="A886" s="142"/>
      <c r="B886" s="142"/>
      <c r="C886" s="160"/>
      <c r="D886" s="160"/>
      <c r="E886" s="142"/>
      <c r="F886" s="161"/>
      <c r="G886" s="142"/>
      <c r="H886" s="142"/>
      <c r="I886" s="142"/>
      <c r="J886" s="245"/>
      <c r="K886" s="142"/>
      <c r="L886" s="245"/>
      <c r="M886" s="167"/>
      <c r="N886" s="246"/>
      <c r="O886" s="142"/>
      <c r="P886" s="213"/>
    </row>
    <row r="887" ht="15.75" customHeight="1">
      <c r="A887" s="142"/>
      <c r="B887" s="142"/>
      <c r="C887" s="160"/>
      <c r="D887" s="160"/>
      <c r="E887" s="142"/>
      <c r="F887" s="161"/>
      <c r="G887" s="142"/>
      <c r="H887" s="142"/>
      <c r="I887" s="142"/>
      <c r="J887" s="245"/>
      <c r="K887" s="142"/>
      <c r="L887" s="245"/>
      <c r="M887" s="167"/>
      <c r="N887" s="246"/>
      <c r="O887" s="142"/>
      <c r="P887" s="213"/>
    </row>
    <row r="888" ht="15.75" customHeight="1">
      <c r="A888" s="142"/>
      <c r="B888" s="142"/>
      <c r="C888" s="160"/>
      <c r="D888" s="160"/>
      <c r="E888" s="142"/>
      <c r="F888" s="161"/>
      <c r="G888" s="142"/>
      <c r="H888" s="142"/>
      <c r="I888" s="142"/>
      <c r="J888" s="245"/>
      <c r="K888" s="142"/>
      <c r="L888" s="245"/>
      <c r="M888" s="167"/>
      <c r="N888" s="246"/>
      <c r="O888" s="142"/>
      <c r="P888" s="213"/>
    </row>
    <row r="889" ht="15.75" customHeight="1">
      <c r="A889" s="142"/>
      <c r="B889" s="142"/>
      <c r="C889" s="160"/>
      <c r="D889" s="160"/>
      <c r="E889" s="142"/>
      <c r="F889" s="161"/>
      <c r="G889" s="142"/>
      <c r="H889" s="142"/>
      <c r="I889" s="142"/>
      <c r="J889" s="245"/>
      <c r="K889" s="142"/>
      <c r="L889" s="245"/>
      <c r="M889" s="167"/>
      <c r="N889" s="246"/>
      <c r="O889" s="142"/>
      <c r="P889" s="213"/>
    </row>
    <row r="890" ht="15.75" customHeight="1">
      <c r="A890" s="142"/>
      <c r="B890" s="142"/>
      <c r="C890" s="160"/>
      <c r="D890" s="160"/>
      <c r="E890" s="142"/>
      <c r="F890" s="161"/>
      <c r="G890" s="142"/>
      <c r="H890" s="142"/>
      <c r="I890" s="142"/>
      <c r="J890" s="245"/>
      <c r="K890" s="142"/>
      <c r="L890" s="245"/>
      <c r="M890" s="167"/>
      <c r="N890" s="246"/>
      <c r="O890" s="142"/>
      <c r="P890" s="213"/>
    </row>
    <row r="891" ht="15.75" customHeight="1">
      <c r="A891" s="142"/>
      <c r="B891" s="142"/>
      <c r="C891" s="160"/>
      <c r="D891" s="160"/>
      <c r="E891" s="142"/>
      <c r="F891" s="161"/>
      <c r="G891" s="142"/>
      <c r="H891" s="142"/>
      <c r="I891" s="142"/>
      <c r="J891" s="245"/>
      <c r="K891" s="142"/>
      <c r="L891" s="245"/>
      <c r="M891" s="167"/>
      <c r="N891" s="246"/>
      <c r="O891" s="142"/>
      <c r="P891" s="213"/>
    </row>
    <row r="892" ht="15.75" customHeight="1">
      <c r="A892" s="142"/>
      <c r="B892" s="142"/>
      <c r="C892" s="160"/>
      <c r="D892" s="160"/>
      <c r="E892" s="142"/>
      <c r="F892" s="161"/>
      <c r="G892" s="142"/>
      <c r="H892" s="142"/>
      <c r="I892" s="142"/>
      <c r="J892" s="245"/>
      <c r="K892" s="142"/>
      <c r="L892" s="245"/>
      <c r="M892" s="167"/>
      <c r="N892" s="246"/>
      <c r="O892" s="142"/>
      <c r="P892" s="213"/>
    </row>
    <row r="893" ht="15.75" customHeight="1">
      <c r="A893" s="142"/>
      <c r="B893" s="142"/>
      <c r="C893" s="160"/>
      <c r="D893" s="160"/>
      <c r="E893" s="142"/>
      <c r="F893" s="161"/>
      <c r="G893" s="142"/>
      <c r="H893" s="142"/>
      <c r="I893" s="142"/>
      <c r="J893" s="245"/>
      <c r="K893" s="142"/>
      <c r="L893" s="245"/>
      <c r="M893" s="167"/>
      <c r="N893" s="246"/>
      <c r="O893" s="142"/>
      <c r="P893" s="213"/>
    </row>
    <row r="894" ht="15.75" customHeight="1">
      <c r="A894" s="142"/>
      <c r="B894" s="142"/>
      <c r="C894" s="160"/>
      <c r="D894" s="160"/>
      <c r="E894" s="142"/>
      <c r="F894" s="161"/>
      <c r="G894" s="142"/>
      <c r="H894" s="142"/>
      <c r="I894" s="142"/>
      <c r="J894" s="245"/>
      <c r="K894" s="142"/>
      <c r="L894" s="245"/>
      <c r="M894" s="167"/>
      <c r="N894" s="246"/>
      <c r="O894" s="142"/>
      <c r="P894" s="213"/>
    </row>
    <row r="895" ht="15.75" customHeight="1">
      <c r="A895" s="142"/>
      <c r="B895" s="142"/>
      <c r="C895" s="160"/>
      <c r="D895" s="160"/>
      <c r="E895" s="142"/>
      <c r="F895" s="161"/>
      <c r="G895" s="142"/>
      <c r="H895" s="142"/>
      <c r="I895" s="142"/>
      <c r="J895" s="245"/>
      <c r="K895" s="142"/>
      <c r="L895" s="245"/>
      <c r="M895" s="167"/>
      <c r="N895" s="246"/>
      <c r="O895" s="142"/>
      <c r="P895" s="213"/>
    </row>
    <row r="896" ht="15.75" customHeight="1">
      <c r="A896" s="142"/>
      <c r="B896" s="142"/>
      <c r="C896" s="160"/>
      <c r="D896" s="160"/>
      <c r="E896" s="142"/>
      <c r="F896" s="161"/>
      <c r="G896" s="142"/>
      <c r="H896" s="142"/>
      <c r="I896" s="142"/>
      <c r="J896" s="245"/>
      <c r="K896" s="142"/>
      <c r="L896" s="245"/>
      <c r="M896" s="167"/>
      <c r="N896" s="246"/>
      <c r="O896" s="142"/>
      <c r="P896" s="213"/>
    </row>
    <row r="897" ht="15.75" customHeight="1">
      <c r="A897" s="142"/>
      <c r="B897" s="142"/>
      <c r="C897" s="160"/>
      <c r="D897" s="160"/>
      <c r="E897" s="142"/>
      <c r="F897" s="161"/>
      <c r="G897" s="142"/>
      <c r="H897" s="142"/>
      <c r="I897" s="142"/>
      <c r="J897" s="245"/>
      <c r="K897" s="142"/>
      <c r="L897" s="245"/>
      <c r="M897" s="167"/>
      <c r="N897" s="246"/>
      <c r="O897" s="142"/>
      <c r="P897" s="213"/>
    </row>
    <row r="898" ht="15.75" customHeight="1">
      <c r="A898" s="142"/>
      <c r="B898" s="142"/>
      <c r="C898" s="160"/>
      <c r="D898" s="160"/>
      <c r="E898" s="142"/>
      <c r="F898" s="161"/>
      <c r="G898" s="142"/>
      <c r="H898" s="142"/>
      <c r="I898" s="142"/>
      <c r="J898" s="245"/>
      <c r="K898" s="142"/>
      <c r="L898" s="245"/>
      <c r="M898" s="167"/>
      <c r="N898" s="246"/>
      <c r="O898" s="142"/>
      <c r="P898" s="213"/>
    </row>
    <row r="899" ht="15.75" customHeight="1">
      <c r="A899" s="142"/>
      <c r="B899" s="142"/>
      <c r="C899" s="160"/>
      <c r="D899" s="160"/>
      <c r="E899" s="142"/>
      <c r="F899" s="161"/>
      <c r="G899" s="142"/>
      <c r="H899" s="142"/>
      <c r="I899" s="142"/>
      <c r="J899" s="245"/>
      <c r="K899" s="142"/>
      <c r="L899" s="245"/>
      <c r="M899" s="167"/>
      <c r="N899" s="246"/>
      <c r="O899" s="142"/>
      <c r="P899" s="213"/>
    </row>
    <row r="900" ht="15.75" customHeight="1">
      <c r="A900" s="142"/>
      <c r="B900" s="142"/>
      <c r="C900" s="160"/>
      <c r="D900" s="160"/>
      <c r="E900" s="142"/>
      <c r="F900" s="161"/>
      <c r="G900" s="142"/>
      <c r="H900" s="142"/>
      <c r="I900" s="142"/>
      <c r="J900" s="245"/>
      <c r="K900" s="142"/>
      <c r="L900" s="245"/>
      <c r="M900" s="167"/>
      <c r="N900" s="246"/>
      <c r="O900" s="142"/>
      <c r="P900" s="213"/>
    </row>
    <row r="901" ht="15.75" customHeight="1">
      <c r="A901" s="142"/>
      <c r="B901" s="142"/>
      <c r="C901" s="160"/>
      <c r="D901" s="160"/>
      <c r="E901" s="142"/>
      <c r="F901" s="161"/>
      <c r="G901" s="142"/>
      <c r="H901" s="142"/>
      <c r="I901" s="142"/>
      <c r="J901" s="245"/>
      <c r="K901" s="142"/>
      <c r="L901" s="245"/>
      <c r="M901" s="167"/>
      <c r="N901" s="246"/>
      <c r="O901" s="142"/>
      <c r="P901" s="213"/>
    </row>
    <row r="902" ht="15.75" customHeight="1">
      <c r="A902" s="142"/>
      <c r="B902" s="142"/>
      <c r="C902" s="160"/>
      <c r="D902" s="160"/>
      <c r="E902" s="142"/>
      <c r="F902" s="161"/>
      <c r="G902" s="142"/>
      <c r="H902" s="142"/>
      <c r="I902" s="142"/>
      <c r="J902" s="245"/>
      <c r="K902" s="142"/>
      <c r="L902" s="245"/>
      <c r="M902" s="167"/>
      <c r="N902" s="246"/>
      <c r="O902" s="142"/>
      <c r="P902" s="213"/>
    </row>
    <row r="903" ht="15.75" customHeight="1">
      <c r="A903" s="142"/>
      <c r="B903" s="142"/>
      <c r="C903" s="160"/>
      <c r="D903" s="160"/>
      <c r="E903" s="142"/>
      <c r="F903" s="161"/>
      <c r="G903" s="142"/>
      <c r="H903" s="142"/>
      <c r="I903" s="142"/>
      <c r="J903" s="245"/>
      <c r="K903" s="142"/>
      <c r="L903" s="245"/>
      <c r="M903" s="167"/>
      <c r="N903" s="246"/>
      <c r="O903" s="142"/>
      <c r="P903" s="213"/>
    </row>
    <row r="904" ht="15.75" customHeight="1">
      <c r="A904" s="142"/>
      <c r="B904" s="142"/>
      <c r="C904" s="160"/>
      <c r="D904" s="160"/>
      <c r="E904" s="142"/>
      <c r="F904" s="161"/>
      <c r="G904" s="142"/>
      <c r="H904" s="142"/>
      <c r="I904" s="142"/>
      <c r="J904" s="245"/>
      <c r="K904" s="142"/>
      <c r="L904" s="245"/>
      <c r="M904" s="167"/>
      <c r="N904" s="246"/>
      <c r="O904" s="142"/>
      <c r="P904" s="213"/>
    </row>
    <row r="905" ht="15.75" customHeight="1">
      <c r="A905" s="142"/>
      <c r="B905" s="142"/>
      <c r="C905" s="160"/>
      <c r="D905" s="160"/>
      <c r="E905" s="142"/>
      <c r="F905" s="161"/>
      <c r="G905" s="142"/>
      <c r="H905" s="142"/>
      <c r="I905" s="142"/>
      <c r="J905" s="245"/>
      <c r="K905" s="142"/>
      <c r="L905" s="245"/>
      <c r="M905" s="167"/>
      <c r="N905" s="246"/>
      <c r="O905" s="142"/>
      <c r="P905" s="213"/>
    </row>
    <row r="906" ht="15.75" customHeight="1">
      <c r="A906" s="142"/>
      <c r="B906" s="142"/>
      <c r="C906" s="160"/>
      <c r="D906" s="160"/>
      <c r="E906" s="142"/>
      <c r="F906" s="161"/>
      <c r="G906" s="142"/>
      <c r="H906" s="142"/>
      <c r="I906" s="142"/>
      <c r="J906" s="245"/>
      <c r="K906" s="142"/>
      <c r="L906" s="245"/>
      <c r="M906" s="167"/>
      <c r="N906" s="246"/>
      <c r="O906" s="142"/>
      <c r="P906" s="213"/>
    </row>
    <row r="907" ht="15.75" customHeight="1">
      <c r="A907" s="142"/>
      <c r="B907" s="142"/>
      <c r="C907" s="160"/>
      <c r="D907" s="160"/>
      <c r="E907" s="142"/>
      <c r="F907" s="161"/>
      <c r="G907" s="142"/>
      <c r="H907" s="142"/>
      <c r="I907" s="142"/>
      <c r="J907" s="245"/>
      <c r="K907" s="142"/>
      <c r="L907" s="245"/>
      <c r="M907" s="167"/>
      <c r="N907" s="246"/>
      <c r="O907" s="142"/>
      <c r="P907" s="213"/>
    </row>
    <row r="908" ht="15.75" customHeight="1">
      <c r="A908" s="142"/>
      <c r="B908" s="142"/>
      <c r="C908" s="160"/>
      <c r="D908" s="160"/>
      <c r="E908" s="142"/>
      <c r="F908" s="161"/>
      <c r="G908" s="142"/>
      <c r="H908" s="142"/>
      <c r="I908" s="142"/>
      <c r="J908" s="245"/>
      <c r="K908" s="142"/>
      <c r="L908" s="245"/>
      <c r="M908" s="167"/>
      <c r="N908" s="246"/>
      <c r="O908" s="142"/>
      <c r="P908" s="213"/>
    </row>
    <row r="909" ht="15.75" customHeight="1">
      <c r="A909" s="142"/>
      <c r="B909" s="142"/>
      <c r="C909" s="160"/>
      <c r="D909" s="160"/>
      <c r="E909" s="142"/>
      <c r="F909" s="161"/>
      <c r="G909" s="142"/>
      <c r="H909" s="142"/>
      <c r="I909" s="142"/>
      <c r="J909" s="245"/>
      <c r="K909" s="142"/>
      <c r="L909" s="245"/>
      <c r="M909" s="167"/>
      <c r="N909" s="246"/>
      <c r="O909" s="142"/>
      <c r="P909" s="213"/>
    </row>
    <row r="910" ht="15.75" customHeight="1">
      <c r="A910" s="142"/>
      <c r="B910" s="142"/>
      <c r="C910" s="160"/>
      <c r="D910" s="160"/>
      <c r="E910" s="142"/>
      <c r="F910" s="161"/>
      <c r="G910" s="142"/>
      <c r="H910" s="142"/>
      <c r="I910" s="142"/>
      <c r="J910" s="245"/>
      <c r="K910" s="142"/>
      <c r="L910" s="245"/>
      <c r="M910" s="167"/>
      <c r="N910" s="246"/>
      <c r="O910" s="142"/>
      <c r="P910" s="213"/>
    </row>
    <row r="911" ht="15.75" customHeight="1">
      <c r="A911" s="142"/>
      <c r="B911" s="142"/>
      <c r="C911" s="160"/>
      <c r="D911" s="160"/>
      <c r="E911" s="142"/>
      <c r="F911" s="161"/>
      <c r="G911" s="142"/>
      <c r="H911" s="142"/>
      <c r="I911" s="142"/>
      <c r="J911" s="245"/>
      <c r="K911" s="142"/>
      <c r="L911" s="245"/>
      <c r="M911" s="167"/>
      <c r="N911" s="246"/>
      <c r="O911" s="142"/>
      <c r="P911" s="213"/>
    </row>
    <row r="912" ht="15.75" customHeight="1">
      <c r="A912" s="142"/>
      <c r="B912" s="142"/>
      <c r="C912" s="160"/>
      <c r="D912" s="160"/>
      <c r="E912" s="142"/>
      <c r="F912" s="161"/>
      <c r="G912" s="142"/>
      <c r="H912" s="142"/>
      <c r="I912" s="142"/>
      <c r="J912" s="245"/>
      <c r="K912" s="142"/>
      <c r="L912" s="245"/>
      <c r="M912" s="167"/>
      <c r="N912" s="246"/>
      <c r="O912" s="142"/>
      <c r="P912" s="213"/>
    </row>
    <row r="913" ht="15.75" customHeight="1">
      <c r="A913" s="142"/>
      <c r="B913" s="142"/>
      <c r="C913" s="160"/>
      <c r="D913" s="160"/>
      <c r="E913" s="142"/>
      <c r="F913" s="161"/>
      <c r="G913" s="142"/>
      <c r="H913" s="142"/>
      <c r="I913" s="142"/>
      <c r="J913" s="245"/>
      <c r="K913" s="142"/>
      <c r="L913" s="245"/>
      <c r="M913" s="167"/>
      <c r="N913" s="246"/>
      <c r="O913" s="142"/>
      <c r="P913" s="213"/>
    </row>
    <row r="914" ht="15.75" customHeight="1">
      <c r="A914" s="142"/>
      <c r="B914" s="142"/>
      <c r="C914" s="160"/>
      <c r="D914" s="160"/>
      <c r="E914" s="142"/>
      <c r="F914" s="161"/>
      <c r="G914" s="142"/>
      <c r="H914" s="142"/>
      <c r="I914" s="142"/>
      <c r="J914" s="245"/>
      <c r="K914" s="142"/>
      <c r="L914" s="245"/>
      <c r="M914" s="167"/>
      <c r="N914" s="246"/>
      <c r="O914" s="142"/>
      <c r="P914" s="213"/>
    </row>
    <row r="915" ht="15.75" customHeight="1">
      <c r="A915" s="142"/>
      <c r="B915" s="142"/>
      <c r="C915" s="160"/>
      <c r="D915" s="160"/>
      <c r="E915" s="142"/>
      <c r="F915" s="161"/>
      <c r="G915" s="142"/>
      <c r="H915" s="142"/>
      <c r="I915" s="142"/>
      <c r="J915" s="245"/>
      <c r="K915" s="142"/>
      <c r="L915" s="245"/>
      <c r="M915" s="167"/>
      <c r="N915" s="246"/>
      <c r="O915" s="142"/>
      <c r="P915" s="213"/>
    </row>
    <row r="916" ht="15.75" customHeight="1">
      <c r="A916" s="142"/>
      <c r="B916" s="142"/>
      <c r="C916" s="160"/>
      <c r="D916" s="160"/>
      <c r="E916" s="142"/>
      <c r="F916" s="161"/>
      <c r="G916" s="142"/>
      <c r="H916" s="142"/>
      <c r="I916" s="142"/>
      <c r="J916" s="245"/>
      <c r="K916" s="142"/>
      <c r="L916" s="245"/>
      <c r="M916" s="167"/>
      <c r="N916" s="246"/>
      <c r="O916" s="142"/>
      <c r="P916" s="213"/>
    </row>
    <row r="917" ht="15.75" customHeight="1">
      <c r="A917" s="142"/>
      <c r="B917" s="142"/>
      <c r="C917" s="160"/>
      <c r="D917" s="160"/>
      <c r="E917" s="142"/>
      <c r="F917" s="161"/>
      <c r="G917" s="142"/>
      <c r="H917" s="142"/>
      <c r="I917" s="142"/>
      <c r="J917" s="245"/>
      <c r="K917" s="142"/>
      <c r="L917" s="245"/>
      <c r="M917" s="167"/>
      <c r="N917" s="246"/>
      <c r="O917" s="142"/>
      <c r="P917" s="213"/>
    </row>
    <row r="918" ht="15.75" customHeight="1">
      <c r="A918" s="142"/>
      <c r="B918" s="142"/>
      <c r="C918" s="160"/>
      <c r="D918" s="160"/>
      <c r="E918" s="142"/>
      <c r="F918" s="161"/>
      <c r="G918" s="142"/>
      <c r="H918" s="142"/>
      <c r="I918" s="142"/>
      <c r="J918" s="245"/>
      <c r="K918" s="142"/>
      <c r="L918" s="245"/>
      <c r="M918" s="167"/>
      <c r="N918" s="246"/>
      <c r="O918" s="142"/>
      <c r="P918" s="213"/>
    </row>
    <row r="919" ht="15.75" customHeight="1">
      <c r="A919" s="142"/>
      <c r="B919" s="142"/>
      <c r="C919" s="160"/>
      <c r="D919" s="160"/>
      <c r="E919" s="142"/>
      <c r="F919" s="161"/>
      <c r="G919" s="142"/>
      <c r="H919" s="142"/>
      <c r="I919" s="142"/>
      <c r="J919" s="245"/>
      <c r="K919" s="142"/>
      <c r="L919" s="245"/>
      <c r="M919" s="167"/>
      <c r="N919" s="246"/>
      <c r="O919" s="142"/>
      <c r="P919" s="213"/>
    </row>
    <row r="920" ht="15.75" customHeight="1">
      <c r="A920" s="142"/>
      <c r="B920" s="142"/>
      <c r="C920" s="160"/>
      <c r="D920" s="160"/>
      <c r="E920" s="142"/>
      <c r="F920" s="161"/>
      <c r="G920" s="142"/>
      <c r="H920" s="142"/>
      <c r="I920" s="142"/>
      <c r="J920" s="245"/>
      <c r="K920" s="142"/>
      <c r="L920" s="245"/>
      <c r="M920" s="167"/>
      <c r="N920" s="246"/>
      <c r="O920" s="142"/>
      <c r="P920" s="213"/>
    </row>
    <row r="921" ht="15.75" customHeight="1">
      <c r="A921" s="142"/>
      <c r="B921" s="142"/>
      <c r="C921" s="160"/>
      <c r="D921" s="160"/>
      <c r="E921" s="142"/>
      <c r="F921" s="161"/>
      <c r="G921" s="142"/>
      <c r="H921" s="142"/>
      <c r="I921" s="142"/>
      <c r="J921" s="245"/>
      <c r="K921" s="142"/>
      <c r="L921" s="245"/>
      <c r="M921" s="167"/>
      <c r="N921" s="246"/>
      <c r="O921" s="142"/>
      <c r="P921" s="213"/>
    </row>
    <row r="922" ht="15.75" customHeight="1">
      <c r="A922" s="142"/>
      <c r="B922" s="142"/>
      <c r="C922" s="160"/>
      <c r="D922" s="160"/>
      <c r="E922" s="142"/>
      <c r="F922" s="161"/>
      <c r="G922" s="142"/>
      <c r="H922" s="142"/>
      <c r="I922" s="142"/>
      <c r="J922" s="245"/>
      <c r="K922" s="142"/>
      <c r="L922" s="245"/>
      <c r="M922" s="167"/>
      <c r="N922" s="246"/>
      <c r="O922" s="142"/>
      <c r="P922" s="213"/>
    </row>
    <row r="923" ht="15.75" customHeight="1">
      <c r="A923" s="142"/>
      <c r="B923" s="142"/>
      <c r="C923" s="160"/>
      <c r="D923" s="160"/>
      <c r="E923" s="142"/>
      <c r="F923" s="161"/>
      <c r="G923" s="142"/>
      <c r="H923" s="142"/>
      <c r="I923" s="142"/>
      <c r="J923" s="245"/>
      <c r="K923" s="142"/>
      <c r="L923" s="245"/>
      <c r="M923" s="167"/>
      <c r="N923" s="246"/>
      <c r="O923" s="142"/>
      <c r="P923" s="213"/>
    </row>
    <row r="924" ht="15.75" customHeight="1">
      <c r="A924" s="142"/>
      <c r="B924" s="142"/>
      <c r="C924" s="160"/>
      <c r="D924" s="160"/>
      <c r="E924" s="142"/>
      <c r="F924" s="161"/>
      <c r="G924" s="142"/>
      <c r="H924" s="142"/>
      <c r="I924" s="142"/>
      <c r="J924" s="245"/>
      <c r="K924" s="142"/>
      <c r="L924" s="245"/>
      <c r="M924" s="167"/>
      <c r="N924" s="246"/>
      <c r="O924" s="142"/>
      <c r="P924" s="213"/>
    </row>
    <row r="925" ht="15.75" customHeight="1">
      <c r="A925" s="142"/>
      <c r="B925" s="142"/>
      <c r="C925" s="160"/>
      <c r="D925" s="160"/>
      <c r="E925" s="142"/>
      <c r="F925" s="161"/>
      <c r="G925" s="142"/>
      <c r="H925" s="142"/>
      <c r="I925" s="142"/>
      <c r="J925" s="245"/>
      <c r="K925" s="142"/>
      <c r="L925" s="245"/>
      <c r="M925" s="167"/>
      <c r="N925" s="246"/>
      <c r="O925" s="142"/>
      <c r="P925" s="213"/>
    </row>
    <row r="926" ht="15.75" customHeight="1">
      <c r="A926" s="142"/>
      <c r="B926" s="142"/>
      <c r="C926" s="160"/>
      <c r="D926" s="160"/>
      <c r="E926" s="142"/>
      <c r="F926" s="161"/>
      <c r="G926" s="142"/>
      <c r="H926" s="142"/>
      <c r="I926" s="142"/>
      <c r="J926" s="245"/>
      <c r="K926" s="142"/>
      <c r="L926" s="245"/>
      <c r="M926" s="167"/>
      <c r="N926" s="246"/>
      <c r="O926" s="142"/>
      <c r="P926" s="213"/>
    </row>
    <row r="927" ht="15.75" customHeight="1">
      <c r="A927" s="142"/>
      <c r="B927" s="142"/>
      <c r="C927" s="160"/>
      <c r="D927" s="160"/>
      <c r="E927" s="142"/>
      <c r="F927" s="161"/>
      <c r="G927" s="142"/>
      <c r="H927" s="142"/>
      <c r="I927" s="142"/>
      <c r="J927" s="245"/>
      <c r="K927" s="142"/>
      <c r="L927" s="245"/>
      <c r="M927" s="167"/>
      <c r="N927" s="246"/>
      <c r="O927" s="142"/>
      <c r="P927" s="213"/>
    </row>
    <row r="928" ht="15.75" customHeight="1">
      <c r="A928" s="142"/>
      <c r="B928" s="142"/>
      <c r="C928" s="160"/>
      <c r="D928" s="160"/>
      <c r="E928" s="142"/>
      <c r="F928" s="161"/>
      <c r="G928" s="142"/>
      <c r="H928" s="142"/>
      <c r="I928" s="142"/>
      <c r="J928" s="245"/>
      <c r="K928" s="142"/>
      <c r="L928" s="245"/>
      <c r="M928" s="167"/>
      <c r="N928" s="246"/>
      <c r="O928" s="142"/>
      <c r="P928" s="213"/>
    </row>
    <row r="929" ht="15.75" customHeight="1">
      <c r="A929" s="142"/>
      <c r="B929" s="142"/>
      <c r="C929" s="160"/>
      <c r="D929" s="160"/>
      <c r="E929" s="142"/>
      <c r="F929" s="161"/>
      <c r="G929" s="142"/>
      <c r="H929" s="142"/>
      <c r="I929" s="142"/>
      <c r="J929" s="245"/>
      <c r="K929" s="142"/>
      <c r="L929" s="245"/>
      <c r="M929" s="167"/>
      <c r="N929" s="246"/>
      <c r="O929" s="142"/>
      <c r="P929" s="213"/>
    </row>
    <row r="930" ht="15.75" customHeight="1">
      <c r="A930" s="142"/>
      <c r="B930" s="142"/>
      <c r="C930" s="160"/>
      <c r="D930" s="160"/>
      <c r="E930" s="142"/>
      <c r="F930" s="161"/>
      <c r="G930" s="142"/>
      <c r="H930" s="142"/>
      <c r="I930" s="142"/>
      <c r="J930" s="245"/>
      <c r="K930" s="142"/>
      <c r="L930" s="245"/>
      <c r="M930" s="167"/>
      <c r="N930" s="246"/>
      <c r="O930" s="142"/>
      <c r="P930" s="213"/>
    </row>
    <row r="931" ht="15.75" customHeight="1">
      <c r="A931" s="142"/>
      <c r="B931" s="142"/>
      <c r="C931" s="160"/>
      <c r="D931" s="160"/>
      <c r="E931" s="142"/>
      <c r="F931" s="161"/>
      <c r="G931" s="142"/>
      <c r="H931" s="142"/>
      <c r="I931" s="142"/>
      <c r="J931" s="245"/>
      <c r="K931" s="142"/>
      <c r="L931" s="245"/>
      <c r="M931" s="167"/>
      <c r="N931" s="246"/>
      <c r="O931" s="142"/>
      <c r="P931" s="213"/>
    </row>
    <row r="932" ht="15.75" customHeight="1">
      <c r="A932" s="142"/>
      <c r="B932" s="142"/>
      <c r="C932" s="160"/>
      <c r="D932" s="160"/>
      <c r="E932" s="142"/>
      <c r="F932" s="161"/>
      <c r="G932" s="142"/>
      <c r="H932" s="142"/>
      <c r="I932" s="142"/>
      <c r="J932" s="245"/>
      <c r="K932" s="142"/>
      <c r="L932" s="245"/>
      <c r="M932" s="167"/>
      <c r="N932" s="246"/>
      <c r="O932" s="142"/>
      <c r="P932" s="213"/>
    </row>
    <row r="933" ht="15.75" customHeight="1">
      <c r="A933" s="142"/>
      <c r="B933" s="142"/>
      <c r="C933" s="160"/>
      <c r="D933" s="160"/>
      <c r="E933" s="142"/>
      <c r="F933" s="161"/>
      <c r="G933" s="142"/>
      <c r="H933" s="142"/>
      <c r="I933" s="142"/>
      <c r="J933" s="245"/>
      <c r="K933" s="142"/>
      <c r="L933" s="245"/>
      <c r="M933" s="167"/>
      <c r="N933" s="246"/>
      <c r="O933" s="142"/>
      <c r="P933" s="213"/>
    </row>
    <row r="934" ht="15.75" customHeight="1">
      <c r="A934" s="142"/>
      <c r="B934" s="142"/>
      <c r="C934" s="160"/>
      <c r="D934" s="160"/>
      <c r="E934" s="142"/>
      <c r="F934" s="161"/>
      <c r="G934" s="142"/>
      <c r="H934" s="142"/>
      <c r="I934" s="142"/>
      <c r="J934" s="245"/>
      <c r="K934" s="142"/>
      <c r="L934" s="245"/>
      <c r="M934" s="167"/>
      <c r="N934" s="246"/>
      <c r="O934" s="142"/>
      <c r="P934" s="213"/>
    </row>
    <row r="935" ht="15.75" customHeight="1">
      <c r="A935" s="142"/>
      <c r="B935" s="142"/>
      <c r="C935" s="160"/>
      <c r="D935" s="160"/>
      <c r="E935" s="142"/>
      <c r="F935" s="161"/>
      <c r="G935" s="142"/>
      <c r="H935" s="142"/>
      <c r="I935" s="142"/>
      <c r="J935" s="245"/>
      <c r="K935" s="142"/>
      <c r="L935" s="245"/>
      <c r="M935" s="167"/>
      <c r="N935" s="246"/>
      <c r="O935" s="142"/>
      <c r="P935" s="213"/>
    </row>
    <row r="936" ht="15.75" customHeight="1">
      <c r="A936" s="142"/>
      <c r="B936" s="142"/>
      <c r="C936" s="160"/>
      <c r="D936" s="160"/>
      <c r="E936" s="142"/>
      <c r="F936" s="161"/>
      <c r="G936" s="142"/>
      <c r="H936" s="142"/>
      <c r="I936" s="142"/>
      <c r="J936" s="245"/>
      <c r="K936" s="142"/>
      <c r="L936" s="245"/>
      <c r="M936" s="167"/>
      <c r="N936" s="246"/>
      <c r="O936" s="142"/>
      <c r="P936" s="213"/>
    </row>
    <row r="937" ht="15.75" customHeight="1">
      <c r="A937" s="142"/>
      <c r="B937" s="142"/>
      <c r="C937" s="160"/>
      <c r="D937" s="160"/>
      <c r="E937" s="142"/>
      <c r="F937" s="161"/>
      <c r="G937" s="142"/>
      <c r="H937" s="142"/>
      <c r="I937" s="142"/>
      <c r="J937" s="245"/>
      <c r="K937" s="142"/>
      <c r="L937" s="245"/>
      <c r="M937" s="167"/>
      <c r="N937" s="246"/>
      <c r="O937" s="142"/>
      <c r="P937" s="213"/>
    </row>
    <row r="938" ht="15.75" customHeight="1">
      <c r="A938" s="142"/>
      <c r="B938" s="142"/>
      <c r="C938" s="160"/>
      <c r="D938" s="160"/>
      <c r="E938" s="142"/>
      <c r="F938" s="161"/>
      <c r="G938" s="142"/>
      <c r="H938" s="142"/>
      <c r="I938" s="142"/>
      <c r="J938" s="245"/>
      <c r="K938" s="142"/>
      <c r="L938" s="245"/>
      <c r="M938" s="167"/>
      <c r="N938" s="246"/>
      <c r="O938" s="142"/>
      <c r="P938" s="213"/>
    </row>
    <row r="939" ht="15.75" customHeight="1">
      <c r="A939" s="142"/>
      <c r="B939" s="142"/>
      <c r="C939" s="160"/>
      <c r="D939" s="160"/>
      <c r="E939" s="142"/>
      <c r="F939" s="161"/>
      <c r="G939" s="142"/>
      <c r="H939" s="142"/>
      <c r="I939" s="142"/>
      <c r="J939" s="245"/>
      <c r="K939" s="142"/>
      <c r="L939" s="245"/>
      <c r="M939" s="167"/>
      <c r="N939" s="246"/>
      <c r="O939" s="142"/>
      <c r="P939" s="213"/>
    </row>
    <row r="940" ht="15.75" customHeight="1">
      <c r="A940" s="142"/>
      <c r="B940" s="142"/>
      <c r="C940" s="160"/>
      <c r="D940" s="160"/>
      <c r="E940" s="142"/>
      <c r="F940" s="161"/>
      <c r="G940" s="142"/>
      <c r="H940" s="142"/>
      <c r="I940" s="142"/>
      <c r="J940" s="245"/>
      <c r="K940" s="142"/>
      <c r="L940" s="245"/>
      <c r="M940" s="167"/>
      <c r="N940" s="246"/>
      <c r="O940" s="142"/>
      <c r="P940" s="213"/>
    </row>
    <row r="941" ht="15.75" customHeight="1">
      <c r="A941" s="142"/>
      <c r="B941" s="142"/>
      <c r="C941" s="160"/>
      <c r="D941" s="160"/>
      <c r="E941" s="142"/>
      <c r="F941" s="161"/>
      <c r="G941" s="142"/>
      <c r="H941" s="142"/>
      <c r="I941" s="142"/>
      <c r="J941" s="245"/>
      <c r="K941" s="142"/>
      <c r="L941" s="245"/>
      <c r="M941" s="167"/>
      <c r="N941" s="246"/>
      <c r="O941" s="142"/>
      <c r="P941" s="213"/>
    </row>
    <row r="942" ht="15.75" customHeight="1">
      <c r="A942" s="142"/>
      <c r="B942" s="142"/>
      <c r="C942" s="160"/>
      <c r="D942" s="160"/>
      <c r="E942" s="142"/>
      <c r="F942" s="161"/>
      <c r="G942" s="142"/>
      <c r="H942" s="142"/>
      <c r="I942" s="142"/>
      <c r="J942" s="245"/>
      <c r="K942" s="142"/>
      <c r="L942" s="245"/>
      <c r="M942" s="167"/>
      <c r="N942" s="246"/>
      <c r="O942" s="142"/>
      <c r="P942" s="213"/>
    </row>
    <row r="943" ht="15.75" customHeight="1">
      <c r="A943" s="142"/>
      <c r="B943" s="142"/>
      <c r="C943" s="160"/>
      <c r="D943" s="160"/>
      <c r="E943" s="142"/>
      <c r="F943" s="161"/>
      <c r="G943" s="142"/>
      <c r="H943" s="142"/>
      <c r="I943" s="142"/>
      <c r="J943" s="245"/>
      <c r="K943" s="142"/>
      <c r="L943" s="245"/>
      <c r="M943" s="167"/>
      <c r="N943" s="246"/>
      <c r="O943" s="142"/>
      <c r="P943" s="213"/>
    </row>
    <row r="944" ht="15.75" customHeight="1">
      <c r="A944" s="142"/>
      <c r="B944" s="142"/>
      <c r="C944" s="160"/>
      <c r="D944" s="160"/>
      <c r="E944" s="142"/>
      <c r="F944" s="161"/>
      <c r="G944" s="142"/>
      <c r="H944" s="142"/>
      <c r="I944" s="142"/>
      <c r="J944" s="245"/>
      <c r="K944" s="142"/>
      <c r="L944" s="245"/>
      <c r="M944" s="167"/>
      <c r="N944" s="246"/>
      <c r="O944" s="142"/>
      <c r="P944" s="213"/>
    </row>
    <row r="945" ht="15.75" customHeight="1">
      <c r="A945" s="142"/>
      <c r="B945" s="142"/>
      <c r="C945" s="160"/>
      <c r="D945" s="160"/>
      <c r="E945" s="142"/>
      <c r="F945" s="161"/>
      <c r="G945" s="142"/>
      <c r="H945" s="142"/>
      <c r="I945" s="142"/>
      <c r="J945" s="245"/>
      <c r="K945" s="142"/>
      <c r="L945" s="245"/>
      <c r="M945" s="167"/>
      <c r="N945" s="246"/>
      <c r="O945" s="142"/>
      <c r="P945" s="213"/>
    </row>
    <row r="946" ht="15.75" customHeight="1">
      <c r="A946" s="142"/>
      <c r="B946" s="142"/>
      <c r="C946" s="160"/>
      <c r="D946" s="160"/>
      <c r="E946" s="142"/>
      <c r="F946" s="161"/>
      <c r="G946" s="142"/>
      <c r="H946" s="142"/>
      <c r="I946" s="142"/>
      <c r="J946" s="245"/>
      <c r="K946" s="142"/>
      <c r="L946" s="245"/>
      <c r="M946" s="167"/>
      <c r="N946" s="246"/>
      <c r="O946" s="142"/>
      <c r="P946" s="213"/>
    </row>
    <row r="947" ht="15.75" customHeight="1">
      <c r="A947" s="142"/>
      <c r="B947" s="142"/>
      <c r="C947" s="160"/>
      <c r="D947" s="160"/>
      <c r="E947" s="142"/>
      <c r="F947" s="161"/>
      <c r="G947" s="142"/>
      <c r="H947" s="142"/>
      <c r="I947" s="142"/>
      <c r="J947" s="245"/>
      <c r="K947" s="142"/>
      <c r="L947" s="245"/>
      <c r="M947" s="167"/>
      <c r="N947" s="246"/>
      <c r="O947" s="142"/>
      <c r="P947" s="213"/>
    </row>
    <row r="948" ht="15.75" customHeight="1">
      <c r="A948" s="142"/>
      <c r="B948" s="142"/>
      <c r="C948" s="160"/>
      <c r="D948" s="160"/>
      <c r="E948" s="142"/>
      <c r="F948" s="161"/>
      <c r="G948" s="142"/>
      <c r="H948" s="142"/>
      <c r="I948" s="142"/>
      <c r="J948" s="245"/>
      <c r="K948" s="142"/>
      <c r="L948" s="245"/>
      <c r="M948" s="167"/>
      <c r="N948" s="246"/>
      <c r="O948" s="142"/>
      <c r="P948" s="213"/>
    </row>
    <row r="949" ht="15.75" customHeight="1">
      <c r="A949" s="142"/>
      <c r="B949" s="142"/>
      <c r="C949" s="160"/>
      <c r="D949" s="160"/>
      <c r="E949" s="142"/>
      <c r="F949" s="161"/>
      <c r="G949" s="142"/>
      <c r="H949" s="142"/>
      <c r="I949" s="142"/>
      <c r="J949" s="245"/>
      <c r="K949" s="142"/>
      <c r="L949" s="245"/>
      <c r="M949" s="167"/>
      <c r="N949" s="246"/>
      <c r="O949" s="142"/>
      <c r="P949" s="213"/>
    </row>
    <row r="950" ht="15.75" customHeight="1">
      <c r="A950" s="142"/>
      <c r="B950" s="142"/>
      <c r="C950" s="160"/>
      <c r="D950" s="160"/>
      <c r="E950" s="142"/>
      <c r="F950" s="161"/>
      <c r="G950" s="142"/>
      <c r="H950" s="142"/>
      <c r="I950" s="142"/>
      <c r="J950" s="245"/>
      <c r="K950" s="142"/>
      <c r="L950" s="245"/>
      <c r="M950" s="167"/>
      <c r="N950" s="246"/>
      <c r="O950" s="142"/>
      <c r="P950" s="213"/>
    </row>
    <row r="951" ht="15.75" customHeight="1">
      <c r="A951" s="142"/>
      <c r="B951" s="142"/>
      <c r="C951" s="160"/>
      <c r="D951" s="160"/>
      <c r="E951" s="142"/>
      <c r="F951" s="161"/>
      <c r="G951" s="142"/>
      <c r="H951" s="142"/>
      <c r="I951" s="142"/>
      <c r="J951" s="245"/>
      <c r="K951" s="142"/>
      <c r="L951" s="245"/>
      <c r="M951" s="167"/>
      <c r="N951" s="246"/>
      <c r="O951" s="142"/>
      <c r="P951" s="213"/>
    </row>
    <row r="952" ht="15.75" customHeight="1">
      <c r="A952" s="142"/>
      <c r="B952" s="142"/>
      <c r="C952" s="160"/>
      <c r="D952" s="160"/>
      <c r="E952" s="142"/>
      <c r="F952" s="161"/>
      <c r="G952" s="142"/>
      <c r="H952" s="142"/>
      <c r="I952" s="142"/>
      <c r="J952" s="245"/>
      <c r="K952" s="142"/>
      <c r="L952" s="245"/>
      <c r="M952" s="167"/>
      <c r="N952" s="246"/>
      <c r="O952" s="142"/>
      <c r="P952" s="213"/>
    </row>
    <row r="953" ht="15.75" customHeight="1">
      <c r="A953" s="142"/>
      <c r="B953" s="142"/>
      <c r="C953" s="160"/>
      <c r="D953" s="160"/>
      <c r="E953" s="142"/>
      <c r="F953" s="161"/>
      <c r="G953" s="142"/>
      <c r="H953" s="142"/>
      <c r="I953" s="142"/>
      <c r="J953" s="245"/>
      <c r="K953" s="142"/>
      <c r="L953" s="245"/>
      <c r="M953" s="167"/>
      <c r="N953" s="246"/>
      <c r="O953" s="142"/>
      <c r="P953" s="213"/>
    </row>
    <row r="954" ht="15.75" customHeight="1">
      <c r="A954" s="142"/>
      <c r="B954" s="142"/>
      <c r="C954" s="160"/>
      <c r="D954" s="160"/>
      <c r="E954" s="142"/>
      <c r="F954" s="161"/>
      <c r="G954" s="142"/>
      <c r="H954" s="142"/>
      <c r="I954" s="142"/>
      <c r="J954" s="245"/>
      <c r="K954" s="142"/>
      <c r="L954" s="245"/>
      <c r="M954" s="167"/>
      <c r="N954" s="246"/>
      <c r="O954" s="142"/>
      <c r="P954" s="213"/>
    </row>
    <row r="955" ht="15.75" customHeight="1">
      <c r="A955" s="142"/>
      <c r="B955" s="142"/>
      <c r="C955" s="160"/>
      <c r="D955" s="160"/>
      <c r="E955" s="142"/>
      <c r="F955" s="161"/>
      <c r="G955" s="142"/>
      <c r="H955" s="142"/>
      <c r="I955" s="142"/>
      <c r="J955" s="245"/>
      <c r="K955" s="142"/>
      <c r="L955" s="245"/>
      <c r="M955" s="167"/>
      <c r="N955" s="246"/>
      <c r="O955" s="142"/>
      <c r="P955" s="213"/>
    </row>
    <row r="956" ht="15.75" customHeight="1">
      <c r="A956" s="142"/>
      <c r="B956" s="142"/>
      <c r="C956" s="160"/>
      <c r="D956" s="160"/>
      <c r="E956" s="142"/>
      <c r="F956" s="161"/>
      <c r="G956" s="142"/>
      <c r="H956" s="142"/>
      <c r="I956" s="142"/>
      <c r="J956" s="245"/>
      <c r="K956" s="142"/>
      <c r="L956" s="245"/>
      <c r="M956" s="167"/>
      <c r="N956" s="246"/>
      <c r="O956" s="142"/>
      <c r="P956" s="213"/>
    </row>
    <row r="957" ht="15.75" customHeight="1">
      <c r="A957" s="142"/>
      <c r="B957" s="142"/>
      <c r="C957" s="160"/>
      <c r="D957" s="160"/>
      <c r="E957" s="142"/>
      <c r="F957" s="161"/>
      <c r="G957" s="142"/>
      <c r="H957" s="142"/>
      <c r="I957" s="142"/>
      <c r="J957" s="245"/>
      <c r="K957" s="142"/>
      <c r="L957" s="245"/>
      <c r="M957" s="167"/>
      <c r="N957" s="246"/>
      <c r="O957" s="142"/>
      <c r="P957" s="213"/>
    </row>
    <row r="958" ht="15.75" customHeight="1">
      <c r="A958" s="142"/>
      <c r="B958" s="142"/>
      <c r="C958" s="160"/>
      <c r="D958" s="160"/>
      <c r="E958" s="142"/>
      <c r="F958" s="161"/>
      <c r="G958" s="142"/>
      <c r="H958" s="142"/>
      <c r="I958" s="142"/>
      <c r="J958" s="245"/>
      <c r="K958" s="142"/>
      <c r="L958" s="245"/>
      <c r="M958" s="167"/>
      <c r="N958" s="246"/>
      <c r="O958" s="142"/>
      <c r="P958" s="213"/>
    </row>
    <row r="959" ht="15.75" customHeight="1">
      <c r="A959" s="142"/>
      <c r="B959" s="142"/>
      <c r="C959" s="160"/>
      <c r="D959" s="160"/>
      <c r="E959" s="142"/>
      <c r="F959" s="161"/>
      <c r="G959" s="142"/>
      <c r="H959" s="142"/>
      <c r="I959" s="142"/>
      <c r="J959" s="245"/>
      <c r="K959" s="142"/>
      <c r="L959" s="245"/>
      <c r="M959" s="167"/>
      <c r="N959" s="246"/>
      <c r="O959" s="142"/>
      <c r="P959" s="213"/>
    </row>
    <row r="960" ht="15.75" customHeight="1">
      <c r="A960" s="142"/>
      <c r="B960" s="142"/>
      <c r="C960" s="160"/>
      <c r="D960" s="160"/>
      <c r="E960" s="142"/>
      <c r="F960" s="161"/>
      <c r="G960" s="142"/>
      <c r="H960" s="142"/>
      <c r="I960" s="142"/>
      <c r="J960" s="245"/>
      <c r="K960" s="142"/>
      <c r="L960" s="245"/>
      <c r="M960" s="167"/>
      <c r="N960" s="246"/>
      <c r="O960" s="142"/>
      <c r="P960" s="213"/>
    </row>
    <row r="961" ht="15.75" customHeight="1">
      <c r="A961" s="142"/>
      <c r="B961" s="142"/>
      <c r="C961" s="160"/>
      <c r="D961" s="160"/>
      <c r="E961" s="142"/>
      <c r="F961" s="161"/>
      <c r="G961" s="142"/>
      <c r="H961" s="142"/>
      <c r="I961" s="142"/>
      <c r="J961" s="245"/>
      <c r="K961" s="142"/>
      <c r="L961" s="245"/>
      <c r="M961" s="167"/>
      <c r="N961" s="246"/>
      <c r="O961" s="142"/>
      <c r="P961" s="213"/>
    </row>
    <row r="962" ht="15.75" customHeight="1">
      <c r="A962" s="142"/>
      <c r="B962" s="142"/>
      <c r="C962" s="160"/>
      <c r="D962" s="160"/>
      <c r="E962" s="142"/>
      <c r="F962" s="161"/>
      <c r="G962" s="142"/>
      <c r="H962" s="142"/>
      <c r="I962" s="142"/>
      <c r="J962" s="245"/>
      <c r="K962" s="142"/>
      <c r="L962" s="245"/>
      <c r="M962" s="167"/>
      <c r="N962" s="246"/>
      <c r="O962" s="142"/>
      <c r="P962" s="213"/>
    </row>
    <row r="963" ht="15.75" customHeight="1">
      <c r="A963" s="142"/>
      <c r="B963" s="142"/>
      <c r="C963" s="160"/>
      <c r="D963" s="160"/>
      <c r="E963" s="142"/>
      <c r="F963" s="161"/>
      <c r="G963" s="142"/>
      <c r="H963" s="142"/>
      <c r="I963" s="142"/>
      <c r="J963" s="245"/>
      <c r="K963" s="142"/>
      <c r="L963" s="245"/>
      <c r="M963" s="167"/>
      <c r="N963" s="246"/>
      <c r="O963" s="142"/>
      <c r="P963" s="213"/>
    </row>
    <row r="964" ht="15.75" customHeight="1">
      <c r="A964" s="142"/>
      <c r="B964" s="142"/>
      <c r="C964" s="160"/>
      <c r="D964" s="160"/>
      <c r="E964" s="142"/>
      <c r="F964" s="161"/>
      <c r="G964" s="142"/>
      <c r="H964" s="142"/>
      <c r="I964" s="142"/>
      <c r="J964" s="245"/>
      <c r="K964" s="142"/>
      <c r="L964" s="245"/>
      <c r="M964" s="167"/>
      <c r="N964" s="246"/>
      <c r="O964" s="142"/>
      <c r="P964" s="213"/>
    </row>
    <row r="965" ht="15.75" customHeight="1">
      <c r="A965" s="142"/>
      <c r="B965" s="142"/>
      <c r="C965" s="160"/>
      <c r="D965" s="160"/>
      <c r="E965" s="142"/>
      <c r="F965" s="161"/>
      <c r="G965" s="142"/>
      <c r="H965" s="142"/>
      <c r="I965" s="142"/>
      <c r="J965" s="245"/>
      <c r="K965" s="142"/>
      <c r="L965" s="245"/>
      <c r="M965" s="167"/>
      <c r="N965" s="246"/>
      <c r="O965" s="142"/>
      <c r="P965" s="213"/>
    </row>
    <row r="966" ht="15.75" customHeight="1">
      <c r="A966" s="142"/>
      <c r="B966" s="142"/>
      <c r="C966" s="160"/>
      <c r="D966" s="160"/>
      <c r="E966" s="142"/>
      <c r="F966" s="161"/>
      <c r="G966" s="142"/>
      <c r="H966" s="142"/>
      <c r="I966" s="142"/>
      <c r="J966" s="245"/>
      <c r="K966" s="142"/>
      <c r="L966" s="245"/>
      <c r="M966" s="167"/>
      <c r="N966" s="246"/>
      <c r="O966" s="142"/>
      <c r="P966" s="213"/>
    </row>
    <row r="967" ht="15.75" customHeight="1">
      <c r="A967" s="142"/>
      <c r="B967" s="142"/>
      <c r="C967" s="160"/>
      <c r="D967" s="160"/>
      <c r="E967" s="142"/>
      <c r="F967" s="161"/>
      <c r="G967" s="142"/>
      <c r="H967" s="142"/>
      <c r="I967" s="142"/>
      <c r="J967" s="245"/>
      <c r="K967" s="142"/>
      <c r="L967" s="245"/>
      <c r="M967" s="167"/>
      <c r="N967" s="246"/>
      <c r="O967" s="142"/>
      <c r="P967" s="213"/>
    </row>
    <row r="968" ht="15.75" customHeight="1">
      <c r="A968" s="142"/>
      <c r="B968" s="142"/>
      <c r="C968" s="160"/>
      <c r="D968" s="160"/>
      <c r="E968" s="142"/>
      <c r="F968" s="161"/>
      <c r="G968" s="142"/>
      <c r="H968" s="142"/>
      <c r="I968" s="142"/>
      <c r="J968" s="245"/>
      <c r="K968" s="142"/>
      <c r="L968" s="245"/>
      <c r="M968" s="167"/>
      <c r="N968" s="246"/>
      <c r="O968" s="142"/>
      <c r="P968" s="213"/>
    </row>
    <row r="969" ht="15.75" customHeight="1">
      <c r="A969" s="142"/>
      <c r="B969" s="142"/>
      <c r="C969" s="160"/>
      <c r="D969" s="160"/>
      <c r="E969" s="142"/>
      <c r="F969" s="161"/>
      <c r="G969" s="142"/>
      <c r="H969" s="142"/>
      <c r="I969" s="142"/>
      <c r="J969" s="245"/>
      <c r="K969" s="142"/>
      <c r="L969" s="245"/>
      <c r="M969" s="167"/>
      <c r="N969" s="246"/>
      <c r="O969" s="142"/>
      <c r="P969" s="213"/>
    </row>
    <row r="970" ht="15.75" customHeight="1">
      <c r="A970" s="142"/>
      <c r="B970" s="142"/>
      <c r="C970" s="160"/>
      <c r="D970" s="160"/>
      <c r="E970" s="142"/>
      <c r="F970" s="161"/>
      <c r="G970" s="142"/>
      <c r="H970" s="142"/>
      <c r="I970" s="142"/>
      <c r="J970" s="245"/>
      <c r="K970" s="142"/>
      <c r="L970" s="245"/>
      <c r="M970" s="167"/>
      <c r="N970" s="246"/>
      <c r="O970" s="142"/>
      <c r="P970" s="213"/>
    </row>
    <row r="971" ht="15.75" customHeight="1">
      <c r="A971" s="142"/>
      <c r="B971" s="142"/>
      <c r="C971" s="160"/>
      <c r="D971" s="160"/>
      <c r="E971" s="142"/>
      <c r="F971" s="161"/>
      <c r="G971" s="142"/>
      <c r="H971" s="142"/>
      <c r="I971" s="142"/>
      <c r="J971" s="245"/>
      <c r="K971" s="142"/>
      <c r="L971" s="245"/>
      <c r="M971" s="167"/>
      <c r="N971" s="246"/>
      <c r="O971" s="142"/>
      <c r="P971" s="213"/>
    </row>
    <row r="972" ht="15.75" customHeight="1">
      <c r="A972" s="142"/>
      <c r="B972" s="142"/>
      <c r="C972" s="160"/>
      <c r="D972" s="160"/>
      <c r="E972" s="142"/>
      <c r="F972" s="161"/>
      <c r="G972" s="142"/>
      <c r="H972" s="142"/>
      <c r="I972" s="142"/>
      <c r="J972" s="245"/>
      <c r="K972" s="142"/>
      <c r="L972" s="245"/>
      <c r="M972" s="167"/>
      <c r="N972" s="246"/>
      <c r="O972" s="142"/>
      <c r="P972" s="213"/>
    </row>
    <row r="973" ht="15.75" customHeight="1">
      <c r="A973" s="142"/>
      <c r="B973" s="142"/>
      <c r="C973" s="160"/>
      <c r="D973" s="160"/>
      <c r="E973" s="142"/>
      <c r="F973" s="161"/>
      <c r="G973" s="142"/>
      <c r="H973" s="142"/>
      <c r="I973" s="142"/>
      <c r="J973" s="245"/>
      <c r="K973" s="142"/>
      <c r="L973" s="245"/>
      <c r="M973" s="167"/>
      <c r="N973" s="246"/>
      <c r="O973" s="142"/>
      <c r="P973" s="213"/>
    </row>
    <row r="974" ht="15.75" customHeight="1">
      <c r="A974" s="142"/>
      <c r="B974" s="142"/>
      <c r="C974" s="160"/>
      <c r="D974" s="160"/>
      <c r="E974" s="142"/>
      <c r="F974" s="161"/>
      <c r="G974" s="142"/>
      <c r="H974" s="142"/>
      <c r="I974" s="142"/>
      <c r="J974" s="245"/>
      <c r="K974" s="142"/>
      <c r="L974" s="245"/>
      <c r="M974" s="167"/>
      <c r="N974" s="246"/>
      <c r="O974" s="142"/>
      <c r="P974" s="213"/>
    </row>
    <row r="975" ht="15.75" customHeight="1">
      <c r="A975" s="142"/>
      <c r="B975" s="142"/>
      <c r="C975" s="160"/>
      <c r="D975" s="160"/>
      <c r="E975" s="142"/>
      <c r="F975" s="161"/>
      <c r="G975" s="142"/>
      <c r="H975" s="142"/>
      <c r="I975" s="142"/>
      <c r="J975" s="245"/>
      <c r="K975" s="142"/>
      <c r="L975" s="245"/>
      <c r="M975" s="167"/>
      <c r="N975" s="246"/>
      <c r="O975" s="142"/>
      <c r="P975" s="213"/>
    </row>
    <row r="976" ht="15.75" customHeight="1">
      <c r="A976" s="142"/>
      <c r="B976" s="142"/>
      <c r="C976" s="160"/>
      <c r="D976" s="160"/>
      <c r="E976" s="142"/>
      <c r="F976" s="161"/>
      <c r="G976" s="142"/>
      <c r="H976" s="142"/>
      <c r="I976" s="142"/>
      <c r="J976" s="245"/>
      <c r="K976" s="142"/>
      <c r="L976" s="245"/>
      <c r="M976" s="167"/>
      <c r="N976" s="246"/>
      <c r="O976" s="142"/>
      <c r="P976" s="213"/>
    </row>
    <row r="977" ht="15.75" customHeight="1">
      <c r="A977" s="142"/>
      <c r="B977" s="142"/>
      <c r="C977" s="160"/>
      <c r="D977" s="160"/>
      <c r="E977" s="142"/>
      <c r="F977" s="161"/>
      <c r="G977" s="142"/>
      <c r="H977" s="142"/>
      <c r="I977" s="142"/>
      <c r="J977" s="245"/>
      <c r="K977" s="142"/>
      <c r="L977" s="245"/>
      <c r="M977" s="167"/>
      <c r="N977" s="246"/>
      <c r="O977" s="142"/>
      <c r="P977" s="213"/>
    </row>
    <row r="978" ht="15.75" customHeight="1">
      <c r="A978" s="142"/>
      <c r="B978" s="142"/>
      <c r="C978" s="160"/>
      <c r="D978" s="160"/>
      <c r="E978" s="142"/>
      <c r="F978" s="161"/>
      <c r="G978" s="142"/>
      <c r="H978" s="142"/>
      <c r="I978" s="142"/>
      <c r="J978" s="245"/>
      <c r="K978" s="142"/>
      <c r="L978" s="245"/>
      <c r="M978" s="167"/>
      <c r="N978" s="246"/>
      <c r="O978" s="142"/>
      <c r="P978" s="213"/>
    </row>
    <row r="979" ht="15.75" customHeight="1">
      <c r="A979" s="142"/>
      <c r="B979" s="142"/>
      <c r="C979" s="160"/>
      <c r="D979" s="160"/>
      <c r="E979" s="142"/>
      <c r="F979" s="161"/>
      <c r="G979" s="142"/>
      <c r="H979" s="142"/>
      <c r="I979" s="142"/>
      <c r="J979" s="245"/>
      <c r="K979" s="142"/>
      <c r="L979" s="245"/>
      <c r="M979" s="167"/>
      <c r="N979" s="246"/>
      <c r="O979" s="142"/>
      <c r="P979" s="213"/>
    </row>
    <row r="980" ht="15.75" customHeight="1">
      <c r="A980" s="142"/>
      <c r="B980" s="142"/>
      <c r="C980" s="160"/>
      <c r="D980" s="160"/>
      <c r="E980" s="142"/>
      <c r="F980" s="161"/>
      <c r="G980" s="142"/>
      <c r="H980" s="142"/>
      <c r="I980" s="142"/>
      <c r="J980" s="245"/>
      <c r="K980" s="142"/>
      <c r="L980" s="245"/>
      <c r="M980" s="167"/>
      <c r="N980" s="246"/>
      <c r="O980" s="142"/>
      <c r="P980" s="213"/>
    </row>
    <row r="981" ht="15.75" customHeight="1">
      <c r="A981" s="142"/>
      <c r="B981" s="142"/>
      <c r="C981" s="160"/>
      <c r="D981" s="160"/>
      <c r="E981" s="142"/>
      <c r="F981" s="161"/>
      <c r="G981" s="142"/>
      <c r="H981" s="142"/>
      <c r="I981" s="142"/>
      <c r="J981" s="245"/>
      <c r="K981" s="142"/>
      <c r="L981" s="245"/>
      <c r="M981" s="167"/>
      <c r="N981" s="246"/>
      <c r="O981" s="142"/>
      <c r="P981" s="213"/>
    </row>
    <row r="982" ht="15.75" customHeight="1">
      <c r="A982" s="142"/>
      <c r="B982" s="142"/>
      <c r="C982" s="160"/>
      <c r="D982" s="160"/>
      <c r="E982" s="142"/>
      <c r="F982" s="161"/>
      <c r="G982" s="142"/>
      <c r="H982" s="142"/>
      <c r="I982" s="142"/>
      <c r="J982" s="245"/>
      <c r="K982" s="142"/>
      <c r="L982" s="245"/>
      <c r="M982" s="167"/>
      <c r="N982" s="246"/>
      <c r="O982" s="142"/>
      <c r="P982" s="213"/>
    </row>
    <row r="983" ht="15.75" customHeight="1">
      <c r="A983" s="247"/>
      <c r="L983" s="248"/>
      <c r="P983" s="249"/>
    </row>
    <row r="984" ht="15.75" customHeight="1">
      <c r="A984" s="247"/>
      <c r="L984" s="248"/>
      <c r="P984" s="249"/>
    </row>
    <row r="985" ht="15.75" customHeight="1">
      <c r="A985" s="247"/>
      <c r="L985" s="248"/>
      <c r="P985" s="249"/>
    </row>
    <row r="986" ht="15.75" customHeight="1">
      <c r="A986" s="247"/>
      <c r="L986" s="248"/>
      <c r="P986" s="249"/>
    </row>
    <row r="987" ht="15.75" customHeight="1">
      <c r="A987" s="247"/>
      <c r="L987" s="248"/>
      <c r="P987" s="249"/>
    </row>
    <row r="988" ht="15.75" customHeight="1">
      <c r="A988" s="247"/>
      <c r="L988" s="248"/>
      <c r="P988" s="249"/>
    </row>
    <row r="989" ht="15.75" customHeight="1">
      <c r="A989" s="247"/>
      <c r="L989" s="248"/>
      <c r="P989" s="249"/>
    </row>
    <row r="990" ht="15.75" customHeight="1">
      <c r="A990" s="247"/>
      <c r="L990" s="248"/>
      <c r="P990" s="249"/>
    </row>
    <row r="991" ht="15.75" customHeight="1">
      <c r="A991" s="247"/>
      <c r="L991" s="248"/>
      <c r="P991" s="249"/>
    </row>
    <row r="992" ht="15.75" customHeight="1">
      <c r="A992" s="247"/>
      <c r="L992" s="248"/>
      <c r="P992" s="249"/>
    </row>
  </sheetData>
  <autoFilter ref="$A$2:$P$193">
    <sortState ref="A2:P193">
      <sortCondition ref="P2:P193"/>
      <sortCondition ref="C2:C193"/>
      <sortCondition ref="O2:O193"/>
    </sortState>
  </autoFilter>
  <mergeCells count="5">
    <mergeCell ref="R1:W1"/>
    <mergeCell ref="W4:X4"/>
    <mergeCell ref="W5:X5"/>
    <mergeCell ref="R14:AB14"/>
    <mergeCell ref="V15:W15"/>
  </mergeCells>
  <conditionalFormatting sqref="V16:V97">
    <cfRule type="expression" dxfId="1" priority="1">
      <formula>U16&lt;30000</formula>
    </cfRule>
  </conditionalFormatting>
  <conditionalFormatting sqref="W16:W97">
    <cfRule type="expression" dxfId="0" priority="2">
      <formula>U16&gt;30000</formula>
    </cfRule>
  </conditionalFormatting>
  <conditionalFormatting sqref="Y16:Y97">
    <cfRule type="expression" dxfId="0" priority="3">
      <formula>V16&gt;29500</formula>
    </cfRule>
  </conditionalFormatting>
  <conditionalFormatting sqref="D1:D992">
    <cfRule type="cellIs" dxfId="2" priority="4" operator="equal">
      <formula>1</formula>
    </cfRule>
  </conditionalFormatting>
  <conditionalFormatting sqref="G1:G992">
    <cfRule type="cellIs" dxfId="3" priority="5" operator="equal">
      <formula>0</formula>
    </cfRule>
  </conditionalFormatting>
  <conditionalFormatting sqref="A3:P992">
    <cfRule type="expression" dxfId="4" priority="6">
      <formula>OR($O3=7,$O3=14,$O3=21,$O3=28,$O3=35,$O3=42,$O3=49,$O3=56,$O3=63,$O3=70,$O3=77,$O3=84,$O3=91,$O3=98,$O3=105)</formula>
    </cfRule>
  </conditionalFormatting>
  <conditionalFormatting sqref="G1:G992">
    <cfRule type="cellIs" dxfId="5" priority="7" operator="equal">
      <formula>1</formula>
    </cfRule>
  </conditionalFormatting>
  <conditionalFormatting sqref="A3:P992">
    <cfRule type="expression" dxfId="6" priority="8">
      <formula>OR($O3=6,$O3=13,$O3=20,$O3=27,$O3=34,$O3=41,$O3=48,$O3=55,$O3=62,$O3=69,$O3=76,$O3=83,$O3=90,$O3=97,$O3=104)</formula>
    </cfRule>
  </conditionalFormatting>
  <conditionalFormatting sqref="A3:P992">
    <cfRule type="expression" dxfId="7" priority="9">
      <formula>OR($O3=5,$O3=12,$O3=19,$O3=26,$O3=33,$O3=40,$O3=47,$O3=54,$O3=61,$O3=68,$O3=75,$O3=82,$O3=89,$O3=96,$O3=103)</formula>
    </cfRule>
  </conditionalFormatting>
  <conditionalFormatting sqref="A3:P992">
    <cfRule type="expression" dxfId="8" priority="10">
      <formula>OR($O3=4,$O3=11,$O3=18,$O3=25,$O3=32,$O3=39,$O3=46,$O3=53,$O3=60,$O3=67,$O3=74,$O3=81,$O3=88,$O3=95,$O3=102)</formula>
    </cfRule>
  </conditionalFormatting>
  <conditionalFormatting sqref="A3:P992">
    <cfRule type="expression" dxfId="9" priority="11">
      <formula>OR($O3=3,$O3=10,$O3=17,$O3=24,$O3=31,$O3=38,$O3=45,$O3=52,$O3=59,$O3=66,$O3=73,$O3=80,$O3=87,$O3=94,$O3=101)</formula>
    </cfRule>
  </conditionalFormatting>
  <conditionalFormatting sqref="A3:P992">
    <cfRule type="expression" dxfId="10" priority="12">
      <formula>OR($O3=2,$O3=9,$O3=16,$O3=23,$O3=30,$O3=37,$O3=44,$O3=51,$O3=58,$O3=65,$O3=72,$O3=79,$O3=86,$O3=93,$O3=100)</formula>
    </cfRule>
  </conditionalFormatting>
  <conditionalFormatting sqref="A3:P992">
    <cfRule type="expression" dxfId="11" priority="13">
      <formula>OR($O3=1,$O3=8,$O3=15,$O3=22,$O3=29,$O3=36,$O3=43,$O3=50,$O3=57,$O3=64,$O3=71,$O3=78,$O3=85,$O3=92,$O3=99)</formula>
    </cfRule>
  </conditionalFormatting>
  <conditionalFormatting sqref="G1:G992">
    <cfRule type="expression" dxfId="3" priority="14">
      <formula>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F3" s="2" t="s">
        <v>141</v>
      </c>
    </row>
    <row r="4">
      <c r="E4" s="2" t="s">
        <v>142</v>
      </c>
      <c r="F4" s="2">
        <v>100.0</v>
      </c>
      <c r="G4" s="250">
        <v>5.0</v>
      </c>
      <c r="H4" s="8">
        <f t="shared" ref="H4:H6" si="1">F4-(G4*F4) %</f>
        <v>95</v>
      </c>
    </row>
    <row r="5">
      <c r="F5" s="2">
        <v>200.0</v>
      </c>
      <c r="G5" s="2">
        <v>7.5</v>
      </c>
      <c r="H5" s="8">
        <f t="shared" si="1"/>
        <v>185</v>
      </c>
    </row>
    <row r="6">
      <c r="F6" s="2">
        <v>700.0</v>
      </c>
      <c r="G6" s="2">
        <v>10.0</v>
      </c>
      <c r="H6" s="8">
        <f t="shared" si="1"/>
        <v>630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9.29"/>
    <col customWidth="1" min="3" max="3" width="23.43"/>
    <col customWidth="1" min="4" max="9" width="10.71"/>
    <col customWidth="1" min="10" max="10" width="16.0"/>
    <col customWidth="1" min="11" max="11" width="13.0"/>
    <col customWidth="1" min="12" max="28" width="10.71"/>
  </cols>
  <sheetData>
    <row r="1">
      <c r="A1" s="251"/>
      <c r="B1" s="252" t="s">
        <v>143</v>
      </c>
      <c r="D1" s="2" t="s">
        <v>144</v>
      </c>
      <c r="E1" s="2">
        <v>3223.99</v>
      </c>
      <c r="G1" s="8"/>
      <c r="N1" s="2" t="s">
        <v>145</v>
      </c>
    </row>
    <row r="2">
      <c r="A2" s="4" t="s">
        <v>146</v>
      </c>
      <c r="B2" s="8" t="s">
        <v>147</v>
      </c>
      <c r="C2" s="8" t="s">
        <v>148</v>
      </c>
      <c r="D2" s="2" t="s">
        <v>75</v>
      </c>
      <c r="E2" s="2" t="s">
        <v>77</v>
      </c>
      <c r="F2" s="8" t="s">
        <v>149</v>
      </c>
      <c r="G2" s="8" t="s">
        <v>150</v>
      </c>
      <c r="H2" s="8" t="s">
        <v>151</v>
      </c>
      <c r="I2" s="8" t="s">
        <v>152</v>
      </c>
      <c r="J2" s="2" t="s">
        <v>153</v>
      </c>
      <c r="K2" s="2" t="s">
        <v>154</v>
      </c>
      <c r="L2" s="2" t="s">
        <v>155</v>
      </c>
      <c r="O2" s="2" t="s">
        <v>156</v>
      </c>
      <c r="P2" s="8">
        <f>SUM(G:G)</f>
        <v>24977.3</v>
      </c>
      <c r="Q2" s="8">
        <f>SUM(H2:H950)</f>
        <v>5407.99</v>
      </c>
    </row>
    <row r="3" hidden="1">
      <c r="A3" s="4">
        <v>45988.0</v>
      </c>
      <c r="B3" s="2" t="s">
        <v>157</v>
      </c>
      <c r="C3" s="2" t="s">
        <v>158</v>
      </c>
      <c r="D3" s="2" t="s">
        <v>159</v>
      </c>
      <c r="E3" s="2">
        <v>0.0</v>
      </c>
      <c r="F3" s="2">
        <v>5.0</v>
      </c>
      <c r="G3" s="2">
        <v>5.0</v>
      </c>
      <c r="H3" s="8">
        <f t="shared" ref="H3:H396" si="1">F3-G3</f>
        <v>0</v>
      </c>
      <c r="I3" s="2" t="b">
        <v>1</v>
      </c>
      <c r="J3" s="2" t="s">
        <v>160</v>
      </c>
      <c r="K3" s="12">
        <f t="shared" ref="K3:K523" si="2">A3+15</f>
        <v>46003</v>
      </c>
      <c r="L3" s="12">
        <f t="shared" ref="L3:L523" si="3">A3+30</f>
        <v>46018</v>
      </c>
    </row>
    <row r="4" hidden="1">
      <c r="A4" s="4">
        <v>46017.0</v>
      </c>
      <c r="B4" s="2" t="s">
        <v>161</v>
      </c>
      <c r="C4" s="2" t="s">
        <v>162</v>
      </c>
      <c r="D4" s="2" t="s">
        <v>163</v>
      </c>
      <c r="E4" s="2">
        <v>232.0</v>
      </c>
      <c r="F4" s="2">
        <v>20.0</v>
      </c>
      <c r="G4" s="2">
        <v>20.0</v>
      </c>
      <c r="H4" s="8">
        <f t="shared" si="1"/>
        <v>0</v>
      </c>
      <c r="I4" s="8" t="b">
        <v>0</v>
      </c>
      <c r="J4" s="2" t="s">
        <v>164</v>
      </c>
      <c r="K4" s="12">
        <f t="shared" si="2"/>
        <v>46032</v>
      </c>
      <c r="L4" s="12">
        <f t="shared" si="3"/>
        <v>46047</v>
      </c>
    </row>
    <row r="5" hidden="1">
      <c r="A5" s="4">
        <v>46017.0</v>
      </c>
      <c r="B5" s="2" t="s">
        <v>161</v>
      </c>
      <c r="C5" s="2" t="s">
        <v>165</v>
      </c>
      <c r="D5" s="2" t="s">
        <v>166</v>
      </c>
      <c r="E5" s="2">
        <v>999.0</v>
      </c>
      <c r="F5" s="2">
        <v>65.0</v>
      </c>
      <c r="G5" s="2">
        <v>65.0</v>
      </c>
      <c r="H5" s="8">
        <f t="shared" si="1"/>
        <v>0</v>
      </c>
      <c r="I5" s="8" t="b">
        <v>0</v>
      </c>
      <c r="J5" s="2" t="s">
        <v>164</v>
      </c>
      <c r="K5" s="12">
        <f t="shared" si="2"/>
        <v>46032</v>
      </c>
      <c r="L5" s="12">
        <f t="shared" si="3"/>
        <v>46047</v>
      </c>
    </row>
    <row r="6" hidden="1">
      <c r="A6" s="4">
        <v>45987.0</v>
      </c>
      <c r="B6" s="2" t="s">
        <v>167</v>
      </c>
      <c r="C6" s="2" t="s">
        <v>168</v>
      </c>
      <c r="D6" s="2" t="s">
        <v>159</v>
      </c>
      <c r="E6" s="2">
        <v>0.0</v>
      </c>
      <c r="F6" s="2">
        <v>6.0</v>
      </c>
      <c r="G6" s="2">
        <v>6.0</v>
      </c>
      <c r="H6" s="8">
        <f t="shared" si="1"/>
        <v>0</v>
      </c>
      <c r="I6" s="2" t="b">
        <v>1</v>
      </c>
      <c r="J6" s="2" t="s">
        <v>160</v>
      </c>
      <c r="K6" s="12">
        <f t="shared" si="2"/>
        <v>46002</v>
      </c>
      <c r="L6" s="12">
        <f t="shared" si="3"/>
        <v>46017</v>
      </c>
    </row>
    <row r="7" hidden="1">
      <c r="A7" s="4">
        <v>46017.0</v>
      </c>
      <c r="B7" s="2" t="s">
        <v>161</v>
      </c>
      <c r="C7" s="2" t="s">
        <v>169</v>
      </c>
      <c r="D7" s="2" t="s">
        <v>159</v>
      </c>
      <c r="E7" s="2">
        <v>0.0</v>
      </c>
      <c r="F7" s="2">
        <v>65.0</v>
      </c>
      <c r="G7" s="2">
        <v>65.0</v>
      </c>
      <c r="H7" s="8">
        <f t="shared" si="1"/>
        <v>0</v>
      </c>
      <c r="I7" s="8" t="b">
        <v>0</v>
      </c>
      <c r="J7" s="2" t="s">
        <v>160</v>
      </c>
      <c r="K7" s="12">
        <f t="shared" si="2"/>
        <v>46032</v>
      </c>
      <c r="L7" s="12">
        <f t="shared" si="3"/>
        <v>46047</v>
      </c>
    </row>
    <row r="8" hidden="1">
      <c r="A8" s="4">
        <v>45980.0</v>
      </c>
      <c r="B8" s="2" t="s">
        <v>170</v>
      </c>
      <c r="C8" s="2" t="s">
        <v>171</v>
      </c>
      <c r="D8" s="2" t="s">
        <v>159</v>
      </c>
      <c r="E8" s="2">
        <v>0.0</v>
      </c>
      <c r="F8" s="2">
        <v>110.0</v>
      </c>
      <c r="G8" s="2">
        <v>110.0</v>
      </c>
      <c r="H8" s="8">
        <f t="shared" si="1"/>
        <v>0</v>
      </c>
      <c r="I8" s="2" t="b">
        <v>1</v>
      </c>
      <c r="J8" s="2" t="s">
        <v>172</v>
      </c>
      <c r="K8" s="12">
        <f t="shared" si="2"/>
        <v>45995</v>
      </c>
      <c r="L8" s="12">
        <f t="shared" si="3"/>
        <v>46010</v>
      </c>
    </row>
    <row r="9" hidden="1">
      <c r="A9" s="4">
        <v>45997.0</v>
      </c>
      <c r="B9" s="2" t="s">
        <v>173</v>
      </c>
      <c r="C9" s="2" t="s">
        <v>174</v>
      </c>
      <c r="D9" s="2" t="s">
        <v>159</v>
      </c>
      <c r="E9" s="2">
        <v>0.0</v>
      </c>
      <c r="F9" s="2">
        <v>55.0</v>
      </c>
      <c r="G9" s="2">
        <v>55.0</v>
      </c>
      <c r="H9" s="8">
        <f t="shared" si="1"/>
        <v>0</v>
      </c>
      <c r="I9" s="2" t="b">
        <v>1</v>
      </c>
      <c r="J9" s="2" t="s">
        <v>160</v>
      </c>
      <c r="K9" s="12">
        <f t="shared" si="2"/>
        <v>46012</v>
      </c>
      <c r="L9" s="12">
        <f t="shared" si="3"/>
        <v>46027</v>
      </c>
    </row>
    <row r="10" hidden="1">
      <c r="A10" s="4">
        <v>46017.0</v>
      </c>
      <c r="B10" s="2" t="s">
        <v>161</v>
      </c>
      <c r="C10" s="2" t="s">
        <v>175</v>
      </c>
      <c r="D10" s="2" t="s">
        <v>115</v>
      </c>
      <c r="E10" s="2">
        <v>174.0</v>
      </c>
      <c r="F10" s="2">
        <v>50.0</v>
      </c>
      <c r="G10" s="2">
        <v>50.0</v>
      </c>
      <c r="H10" s="8">
        <f t="shared" si="1"/>
        <v>0</v>
      </c>
      <c r="I10" s="8" t="b">
        <v>0</v>
      </c>
      <c r="J10" s="2" t="s">
        <v>160</v>
      </c>
      <c r="K10" s="12">
        <f t="shared" si="2"/>
        <v>46032</v>
      </c>
      <c r="L10" s="12">
        <f t="shared" si="3"/>
        <v>46047</v>
      </c>
    </row>
    <row r="11" hidden="1">
      <c r="A11" s="4">
        <v>45954.0</v>
      </c>
      <c r="B11" s="2" t="s">
        <v>176</v>
      </c>
      <c r="C11" s="2" t="s">
        <v>177</v>
      </c>
      <c r="D11" s="2" t="s">
        <v>113</v>
      </c>
      <c r="E11" s="2">
        <v>0.0</v>
      </c>
      <c r="F11" s="2">
        <v>165.0</v>
      </c>
      <c r="G11" s="2">
        <v>165.0</v>
      </c>
      <c r="H11" s="8">
        <f t="shared" si="1"/>
        <v>0</v>
      </c>
      <c r="I11" s="2" t="b">
        <v>1</v>
      </c>
      <c r="J11" s="2" t="s">
        <v>160</v>
      </c>
      <c r="K11" s="12">
        <f t="shared" si="2"/>
        <v>45969</v>
      </c>
      <c r="L11" s="12">
        <f t="shared" si="3"/>
        <v>45984</v>
      </c>
    </row>
    <row r="12" hidden="1">
      <c r="A12" s="4">
        <v>46001.0</v>
      </c>
      <c r="B12" s="2" t="s">
        <v>167</v>
      </c>
      <c r="C12" s="2" t="s">
        <v>178</v>
      </c>
      <c r="D12" s="2" t="s">
        <v>159</v>
      </c>
      <c r="E12" s="2">
        <v>0.0</v>
      </c>
      <c r="F12" s="2">
        <v>13.0</v>
      </c>
      <c r="G12" s="2">
        <v>13.0</v>
      </c>
      <c r="H12" s="8">
        <f t="shared" si="1"/>
        <v>0</v>
      </c>
      <c r="I12" s="2" t="b">
        <v>1</v>
      </c>
      <c r="J12" s="2" t="s">
        <v>160</v>
      </c>
      <c r="K12" s="12">
        <f t="shared" si="2"/>
        <v>46016</v>
      </c>
      <c r="L12" s="12">
        <f t="shared" si="3"/>
        <v>46031</v>
      </c>
    </row>
    <row r="13" hidden="1">
      <c r="A13" s="4">
        <v>45933.0</v>
      </c>
      <c r="B13" s="2" t="s">
        <v>123</v>
      </c>
      <c r="C13" s="2" t="s">
        <v>179</v>
      </c>
      <c r="D13" s="2" t="s">
        <v>159</v>
      </c>
      <c r="E13" s="2"/>
      <c r="F13" s="2">
        <v>185.0</v>
      </c>
      <c r="G13" s="2">
        <v>185.0</v>
      </c>
      <c r="H13" s="8">
        <f t="shared" si="1"/>
        <v>0</v>
      </c>
      <c r="I13" s="2" t="b">
        <v>1</v>
      </c>
      <c r="J13" s="2" t="s">
        <v>160</v>
      </c>
      <c r="K13" s="12">
        <f t="shared" si="2"/>
        <v>45948</v>
      </c>
      <c r="L13" s="12">
        <f t="shared" si="3"/>
        <v>45963</v>
      </c>
    </row>
    <row r="14" hidden="1">
      <c r="A14" s="4">
        <v>45915.0</v>
      </c>
      <c r="B14" s="2" t="s">
        <v>180</v>
      </c>
      <c r="C14" s="2" t="s">
        <v>181</v>
      </c>
      <c r="D14" s="2" t="s">
        <v>159</v>
      </c>
      <c r="E14" s="2">
        <v>0.0</v>
      </c>
      <c r="F14" s="2">
        <v>60.0</v>
      </c>
      <c r="G14" s="2">
        <v>60.0</v>
      </c>
      <c r="H14" s="8">
        <f t="shared" si="1"/>
        <v>0</v>
      </c>
      <c r="I14" s="2" t="b">
        <v>1</v>
      </c>
      <c r="J14" s="2" t="s">
        <v>160</v>
      </c>
      <c r="K14" s="12">
        <f t="shared" si="2"/>
        <v>45930</v>
      </c>
      <c r="L14" s="12">
        <f t="shared" si="3"/>
        <v>45945</v>
      </c>
    </row>
    <row r="15" ht="15.75" hidden="1" customHeight="1">
      <c r="A15" s="4">
        <v>46021.0</v>
      </c>
      <c r="B15" s="2" t="s">
        <v>161</v>
      </c>
      <c r="C15" s="2" t="s">
        <v>182</v>
      </c>
      <c r="D15" s="2" t="s">
        <v>159</v>
      </c>
      <c r="E15" s="2">
        <v>0.0</v>
      </c>
      <c r="F15" s="2">
        <v>10.0</v>
      </c>
      <c r="G15" s="2">
        <v>10.0</v>
      </c>
      <c r="H15" s="8">
        <f t="shared" si="1"/>
        <v>0</v>
      </c>
      <c r="I15" s="8" t="b">
        <v>0</v>
      </c>
      <c r="J15" s="2" t="s">
        <v>160</v>
      </c>
      <c r="K15" s="12">
        <f t="shared" si="2"/>
        <v>46036</v>
      </c>
      <c r="L15" s="12">
        <f t="shared" si="3"/>
        <v>46051</v>
      </c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</row>
    <row r="16" ht="15.75" hidden="1" customHeight="1">
      <c r="A16" s="4">
        <v>46010.0</v>
      </c>
      <c r="B16" s="2" t="s">
        <v>183</v>
      </c>
      <c r="C16" s="2" t="s">
        <v>184</v>
      </c>
      <c r="D16" s="2" t="s">
        <v>159</v>
      </c>
      <c r="E16" s="2">
        <v>0.0</v>
      </c>
      <c r="F16" s="2">
        <v>143.5</v>
      </c>
      <c r="G16" s="2">
        <v>143.5</v>
      </c>
      <c r="H16" s="8">
        <f t="shared" si="1"/>
        <v>0</v>
      </c>
      <c r="I16" s="2" t="b">
        <v>1</v>
      </c>
      <c r="J16" s="2" t="s">
        <v>160</v>
      </c>
      <c r="K16" s="12">
        <f t="shared" si="2"/>
        <v>46025</v>
      </c>
      <c r="L16" s="12">
        <f t="shared" si="3"/>
        <v>46040</v>
      </c>
    </row>
    <row r="17" ht="15.75" hidden="1" customHeight="1">
      <c r="A17" s="4">
        <v>46021.0</v>
      </c>
      <c r="B17" s="2" t="s">
        <v>161</v>
      </c>
      <c r="C17" s="2" t="s">
        <v>185</v>
      </c>
      <c r="D17" s="2" t="s">
        <v>159</v>
      </c>
      <c r="E17" s="2">
        <v>0.0</v>
      </c>
      <c r="F17" s="2">
        <v>15.0</v>
      </c>
      <c r="G17" s="2">
        <v>15.0</v>
      </c>
      <c r="H17" s="8">
        <f t="shared" si="1"/>
        <v>0</v>
      </c>
      <c r="I17" s="8" t="b">
        <v>0</v>
      </c>
      <c r="J17" s="2" t="s">
        <v>160</v>
      </c>
      <c r="K17" s="12">
        <f t="shared" si="2"/>
        <v>46036</v>
      </c>
      <c r="L17" s="12">
        <f t="shared" si="3"/>
        <v>46051</v>
      </c>
    </row>
    <row r="18" ht="15.75" hidden="1" customHeight="1">
      <c r="A18" s="4">
        <v>45993.0</v>
      </c>
      <c r="B18" s="2" t="s">
        <v>173</v>
      </c>
      <c r="C18" s="2" t="s">
        <v>186</v>
      </c>
      <c r="D18" s="2" t="s">
        <v>159</v>
      </c>
      <c r="E18" s="2">
        <v>0.0</v>
      </c>
      <c r="F18" s="2">
        <v>21.0</v>
      </c>
      <c r="G18" s="2">
        <v>21.0</v>
      </c>
      <c r="H18" s="8">
        <f t="shared" si="1"/>
        <v>0</v>
      </c>
      <c r="I18" s="2" t="b">
        <v>1</v>
      </c>
      <c r="J18" s="2" t="s">
        <v>160</v>
      </c>
      <c r="K18" s="12">
        <f t="shared" si="2"/>
        <v>46008</v>
      </c>
      <c r="L18" s="12">
        <f t="shared" si="3"/>
        <v>46023</v>
      </c>
    </row>
    <row r="19" ht="15.75" hidden="1" customHeight="1">
      <c r="A19" s="4">
        <v>45971.0</v>
      </c>
      <c r="B19" s="2" t="s">
        <v>187</v>
      </c>
      <c r="C19" s="2" t="s">
        <v>188</v>
      </c>
      <c r="D19" s="2" t="s">
        <v>159</v>
      </c>
      <c r="E19" s="2">
        <v>0.0</v>
      </c>
      <c r="F19" s="2">
        <v>175.0</v>
      </c>
      <c r="G19" s="2">
        <v>175.0</v>
      </c>
      <c r="H19" s="8">
        <f t="shared" si="1"/>
        <v>0</v>
      </c>
      <c r="I19" s="2" t="b">
        <v>1</v>
      </c>
      <c r="J19" s="2" t="s">
        <v>160</v>
      </c>
      <c r="K19" s="12">
        <f t="shared" si="2"/>
        <v>45986</v>
      </c>
      <c r="L19" s="12">
        <f t="shared" si="3"/>
        <v>46001</v>
      </c>
    </row>
    <row r="20" ht="15.75" hidden="1" customHeight="1">
      <c r="A20" s="4">
        <v>45980.0</v>
      </c>
      <c r="B20" s="2" t="s">
        <v>157</v>
      </c>
      <c r="C20" s="2" t="s">
        <v>189</v>
      </c>
      <c r="D20" s="2" t="s">
        <v>159</v>
      </c>
      <c r="E20" s="2">
        <v>0.0</v>
      </c>
      <c r="F20" s="2">
        <v>50.0</v>
      </c>
      <c r="G20" s="2">
        <v>50.0</v>
      </c>
      <c r="H20" s="8">
        <f t="shared" si="1"/>
        <v>0</v>
      </c>
      <c r="I20" s="2" t="b">
        <v>1</v>
      </c>
      <c r="J20" s="2" t="s">
        <v>160</v>
      </c>
      <c r="K20" s="12">
        <f t="shared" si="2"/>
        <v>45995</v>
      </c>
      <c r="L20" s="12">
        <f t="shared" si="3"/>
        <v>46010</v>
      </c>
    </row>
    <row r="21" ht="15.75" hidden="1" customHeight="1">
      <c r="A21" s="4">
        <v>45981.0</v>
      </c>
      <c r="B21" s="2" t="s">
        <v>190</v>
      </c>
      <c r="C21" s="2" t="s">
        <v>191</v>
      </c>
      <c r="D21" s="2" t="s">
        <v>159</v>
      </c>
      <c r="E21" s="2">
        <v>0.0</v>
      </c>
      <c r="F21" s="2">
        <v>20.0</v>
      </c>
      <c r="G21" s="2">
        <v>20.0</v>
      </c>
      <c r="H21" s="8">
        <f t="shared" si="1"/>
        <v>0</v>
      </c>
      <c r="I21" s="2" t="b">
        <v>1</v>
      </c>
      <c r="J21" s="2" t="s">
        <v>160</v>
      </c>
      <c r="K21" s="12">
        <f t="shared" si="2"/>
        <v>45996</v>
      </c>
      <c r="L21" s="12">
        <f t="shared" si="3"/>
        <v>46011</v>
      </c>
    </row>
    <row r="22" ht="15.75" hidden="1" customHeight="1">
      <c r="A22" s="4">
        <v>45945.0</v>
      </c>
      <c r="B22" s="2" t="s">
        <v>192</v>
      </c>
      <c r="C22" s="2" t="s">
        <v>193</v>
      </c>
      <c r="D22" s="2" t="s">
        <v>115</v>
      </c>
      <c r="E22" s="2">
        <v>186.0</v>
      </c>
      <c r="F22" s="2">
        <v>30.0</v>
      </c>
      <c r="G22" s="2">
        <v>15.0</v>
      </c>
      <c r="H22" s="8">
        <f t="shared" si="1"/>
        <v>15</v>
      </c>
      <c r="I22" s="8" t="b">
        <v>0</v>
      </c>
      <c r="J22" s="2" t="s">
        <v>160</v>
      </c>
      <c r="K22" s="12">
        <f t="shared" si="2"/>
        <v>45960</v>
      </c>
      <c r="L22" s="12">
        <f t="shared" si="3"/>
        <v>45975</v>
      </c>
    </row>
    <row r="23" ht="15.75" hidden="1" customHeight="1">
      <c r="A23" s="4">
        <v>45953.0</v>
      </c>
      <c r="B23" s="2" t="s">
        <v>192</v>
      </c>
      <c r="C23" s="2" t="s">
        <v>194</v>
      </c>
      <c r="D23" s="2" t="s">
        <v>115</v>
      </c>
      <c r="E23" s="2">
        <v>186.0</v>
      </c>
      <c r="F23" s="2">
        <v>45.0</v>
      </c>
      <c r="G23" s="2">
        <v>15.0</v>
      </c>
      <c r="H23" s="8">
        <f t="shared" si="1"/>
        <v>30</v>
      </c>
      <c r="I23" s="8" t="b">
        <v>0</v>
      </c>
      <c r="J23" s="2" t="s">
        <v>160</v>
      </c>
      <c r="K23" s="12">
        <f t="shared" si="2"/>
        <v>45968</v>
      </c>
      <c r="L23" s="12">
        <f t="shared" si="3"/>
        <v>45983</v>
      </c>
    </row>
    <row r="24" ht="15.75" hidden="1" customHeight="1">
      <c r="A24" s="4">
        <v>45997.0</v>
      </c>
      <c r="B24" s="2" t="s">
        <v>173</v>
      </c>
      <c r="C24" s="2" t="s">
        <v>195</v>
      </c>
      <c r="D24" s="2" t="s">
        <v>166</v>
      </c>
      <c r="E24" s="2">
        <v>326.0</v>
      </c>
      <c r="F24" s="2">
        <v>90.0</v>
      </c>
      <c r="G24" s="2">
        <v>25.0</v>
      </c>
      <c r="H24" s="8">
        <f t="shared" si="1"/>
        <v>65</v>
      </c>
      <c r="I24" s="8" t="b">
        <v>0</v>
      </c>
      <c r="J24" s="2" t="s">
        <v>164</v>
      </c>
      <c r="K24" s="12">
        <f t="shared" si="2"/>
        <v>46012</v>
      </c>
      <c r="L24" s="12">
        <f t="shared" si="3"/>
        <v>46027</v>
      </c>
    </row>
    <row r="25" ht="15.75" hidden="1" customHeight="1">
      <c r="A25" s="4">
        <v>45959.0</v>
      </c>
      <c r="B25" s="2" t="s">
        <v>196</v>
      </c>
      <c r="C25" s="2" t="s">
        <v>197</v>
      </c>
      <c r="D25" s="2" t="s">
        <v>159</v>
      </c>
      <c r="E25" s="2">
        <v>0.0</v>
      </c>
      <c r="F25" s="2">
        <v>39.0</v>
      </c>
      <c r="G25" s="2">
        <v>39.0</v>
      </c>
      <c r="H25" s="8">
        <f t="shared" si="1"/>
        <v>0</v>
      </c>
      <c r="I25" s="2" t="b">
        <v>1</v>
      </c>
      <c r="J25" s="2" t="s">
        <v>160</v>
      </c>
      <c r="K25" s="12">
        <f t="shared" si="2"/>
        <v>45974</v>
      </c>
      <c r="L25" s="12">
        <f t="shared" si="3"/>
        <v>45989</v>
      </c>
    </row>
    <row r="26" ht="15.75" hidden="1" customHeight="1">
      <c r="A26" s="4">
        <v>46016.0</v>
      </c>
      <c r="B26" s="2" t="s">
        <v>173</v>
      </c>
      <c r="C26" s="2" t="s">
        <v>198</v>
      </c>
      <c r="D26" s="2" t="s">
        <v>115</v>
      </c>
      <c r="E26" s="2">
        <v>166.0</v>
      </c>
      <c r="F26" s="2">
        <v>80.0</v>
      </c>
      <c r="G26" s="2">
        <v>15.0</v>
      </c>
      <c r="H26" s="8">
        <f t="shared" si="1"/>
        <v>65</v>
      </c>
      <c r="I26" s="8" t="b">
        <v>0</v>
      </c>
      <c r="J26" s="2" t="s">
        <v>160</v>
      </c>
      <c r="K26" s="12">
        <f t="shared" si="2"/>
        <v>46031</v>
      </c>
      <c r="L26" s="12">
        <f t="shared" si="3"/>
        <v>46046</v>
      </c>
    </row>
    <row r="27" ht="15.75" hidden="1" customHeight="1">
      <c r="A27" s="4">
        <v>45994.0</v>
      </c>
      <c r="B27" s="2" t="s">
        <v>199</v>
      </c>
      <c r="C27" s="2" t="s">
        <v>200</v>
      </c>
      <c r="D27" s="2" t="s">
        <v>159</v>
      </c>
      <c r="E27" s="2">
        <v>0.0</v>
      </c>
      <c r="F27" s="2">
        <v>45.0</v>
      </c>
      <c r="G27" s="2">
        <v>45.0</v>
      </c>
      <c r="H27" s="8">
        <f t="shared" si="1"/>
        <v>0</v>
      </c>
      <c r="I27" s="2" t="b">
        <v>1</v>
      </c>
      <c r="J27" s="2" t="s">
        <v>160</v>
      </c>
      <c r="K27" s="12">
        <f t="shared" si="2"/>
        <v>46009</v>
      </c>
      <c r="L27" s="12">
        <f t="shared" si="3"/>
        <v>46024</v>
      </c>
    </row>
    <row r="28" ht="15.75" hidden="1" customHeight="1">
      <c r="A28" s="4">
        <v>45981.0</v>
      </c>
      <c r="B28" s="2" t="s">
        <v>201</v>
      </c>
      <c r="C28" s="2" t="s">
        <v>202</v>
      </c>
      <c r="D28" s="2" t="s">
        <v>159</v>
      </c>
      <c r="E28" s="2">
        <v>0.0</v>
      </c>
      <c r="F28" s="2">
        <v>20.0</v>
      </c>
      <c r="G28" s="2">
        <v>20.0</v>
      </c>
      <c r="H28" s="8">
        <f t="shared" si="1"/>
        <v>0</v>
      </c>
      <c r="I28" s="2" t="b">
        <v>1</v>
      </c>
      <c r="J28" s="2" t="s">
        <v>160</v>
      </c>
      <c r="K28" s="12">
        <f t="shared" si="2"/>
        <v>45996</v>
      </c>
      <c r="L28" s="12">
        <f t="shared" si="3"/>
        <v>46011</v>
      </c>
    </row>
    <row r="29" ht="15.75" hidden="1" customHeight="1">
      <c r="A29" s="4">
        <v>46021.0</v>
      </c>
      <c r="B29" s="2" t="s">
        <v>183</v>
      </c>
      <c r="C29" s="2" t="s">
        <v>203</v>
      </c>
      <c r="D29" s="2" t="s">
        <v>159</v>
      </c>
      <c r="E29" s="2">
        <v>0.0</v>
      </c>
      <c r="F29" s="2">
        <v>6.0</v>
      </c>
      <c r="G29" s="2">
        <v>6.0</v>
      </c>
      <c r="H29" s="8">
        <f t="shared" si="1"/>
        <v>0</v>
      </c>
      <c r="I29" s="2" t="b">
        <v>0</v>
      </c>
      <c r="J29" s="2" t="s">
        <v>160</v>
      </c>
      <c r="K29" s="12">
        <f t="shared" si="2"/>
        <v>46036</v>
      </c>
      <c r="L29" s="12">
        <f t="shared" si="3"/>
        <v>46051</v>
      </c>
    </row>
    <row r="30" ht="15.75" hidden="1" customHeight="1">
      <c r="A30" s="4">
        <v>46021.0</v>
      </c>
      <c r="B30" s="2" t="s">
        <v>204</v>
      </c>
      <c r="C30" s="2" t="s">
        <v>205</v>
      </c>
      <c r="D30" s="2" t="s">
        <v>166</v>
      </c>
      <c r="E30" s="2">
        <v>284.0</v>
      </c>
      <c r="F30" s="2">
        <v>50.0</v>
      </c>
      <c r="G30" s="2">
        <v>50.0</v>
      </c>
      <c r="H30" s="8">
        <f t="shared" si="1"/>
        <v>0</v>
      </c>
      <c r="I30" s="8" t="b">
        <v>0</v>
      </c>
      <c r="J30" s="2" t="s">
        <v>160</v>
      </c>
      <c r="K30" s="12">
        <f t="shared" si="2"/>
        <v>46036</v>
      </c>
      <c r="L30" s="12">
        <f t="shared" si="3"/>
        <v>46051</v>
      </c>
    </row>
    <row r="31" ht="15.75" hidden="1" customHeight="1">
      <c r="A31" s="4">
        <v>46021.0</v>
      </c>
      <c r="B31" s="2" t="s">
        <v>204</v>
      </c>
      <c r="C31" s="2" t="s">
        <v>206</v>
      </c>
      <c r="D31" s="2" t="s">
        <v>166</v>
      </c>
      <c r="E31" s="2">
        <v>284.0</v>
      </c>
      <c r="F31" s="2">
        <v>50.0</v>
      </c>
      <c r="G31" s="2">
        <v>50.0</v>
      </c>
      <c r="H31" s="8">
        <f t="shared" si="1"/>
        <v>0</v>
      </c>
      <c r="I31" s="8" t="b">
        <v>0</v>
      </c>
      <c r="J31" s="2" t="s">
        <v>160</v>
      </c>
      <c r="K31" s="12">
        <f t="shared" si="2"/>
        <v>46036</v>
      </c>
      <c r="L31" s="12">
        <f t="shared" si="3"/>
        <v>46051</v>
      </c>
    </row>
    <row r="32" ht="15.75" hidden="1" customHeight="1">
      <c r="A32" s="4">
        <v>45994.0</v>
      </c>
      <c r="B32" s="2" t="s">
        <v>173</v>
      </c>
      <c r="C32" s="2" t="s">
        <v>207</v>
      </c>
      <c r="D32" s="2" t="s">
        <v>159</v>
      </c>
      <c r="E32" s="2">
        <v>0.0</v>
      </c>
      <c r="F32" s="2">
        <v>15.0</v>
      </c>
      <c r="G32" s="2">
        <v>15.0</v>
      </c>
      <c r="H32" s="8">
        <f t="shared" si="1"/>
        <v>0</v>
      </c>
      <c r="I32" s="2" t="b">
        <v>1</v>
      </c>
      <c r="J32" s="2" t="s">
        <v>160</v>
      </c>
      <c r="K32" s="12">
        <f t="shared" si="2"/>
        <v>46009</v>
      </c>
      <c r="L32" s="12">
        <f t="shared" si="3"/>
        <v>46024</v>
      </c>
    </row>
    <row r="33" ht="15.75" hidden="1" customHeight="1">
      <c r="A33" s="4">
        <v>45971.0</v>
      </c>
      <c r="B33" s="2" t="s">
        <v>208</v>
      </c>
      <c r="C33" s="2" t="s">
        <v>209</v>
      </c>
      <c r="D33" s="2" t="s">
        <v>159</v>
      </c>
      <c r="E33" s="2">
        <v>0.0</v>
      </c>
      <c r="F33" s="2">
        <v>23.0</v>
      </c>
      <c r="G33" s="2">
        <v>23.0</v>
      </c>
      <c r="H33" s="8">
        <f t="shared" si="1"/>
        <v>0</v>
      </c>
      <c r="I33" s="2" t="b">
        <v>1</v>
      </c>
      <c r="J33" s="2" t="s">
        <v>160</v>
      </c>
      <c r="K33" s="12">
        <f t="shared" si="2"/>
        <v>45986</v>
      </c>
      <c r="L33" s="12">
        <f t="shared" si="3"/>
        <v>46001</v>
      </c>
    </row>
    <row r="34" ht="15.75" hidden="1" customHeight="1">
      <c r="A34" s="4">
        <v>45924.0</v>
      </c>
      <c r="B34" s="2" t="s">
        <v>210</v>
      </c>
      <c r="C34" s="2" t="s">
        <v>211</v>
      </c>
      <c r="D34" s="2" t="s">
        <v>159</v>
      </c>
      <c r="E34" s="2"/>
      <c r="F34" s="2">
        <v>21.0</v>
      </c>
      <c r="G34" s="2">
        <v>21.0</v>
      </c>
      <c r="H34" s="8">
        <f t="shared" si="1"/>
        <v>0</v>
      </c>
      <c r="I34" s="2" t="b">
        <v>1</v>
      </c>
      <c r="J34" s="2" t="s">
        <v>160</v>
      </c>
      <c r="K34" s="12">
        <f t="shared" si="2"/>
        <v>45939</v>
      </c>
      <c r="L34" s="12">
        <f t="shared" si="3"/>
        <v>45954</v>
      </c>
    </row>
    <row r="35" ht="15.75" hidden="1" customHeight="1">
      <c r="A35" s="4">
        <v>46021.0</v>
      </c>
      <c r="B35" s="2" t="s">
        <v>204</v>
      </c>
      <c r="C35" s="2" t="s">
        <v>206</v>
      </c>
      <c r="D35" s="2" t="s">
        <v>166</v>
      </c>
      <c r="E35" s="2">
        <v>301.0</v>
      </c>
      <c r="F35" s="2">
        <v>85.0</v>
      </c>
      <c r="G35" s="2">
        <v>85.0</v>
      </c>
      <c r="H35" s="8">
        <f t="shared" si="1"/>
        <v>0</v>
      </c>
      <c r="I35" s="8" t="b">
        <v>0</v>
      </c>
      <c r="J35" s="2" t="s">
        <v>160</v>
      </c>
      <c r="K35" s="12">
        <f t="shared" si="2"/>
        <v>46036</v>
      </c>
      <c r="L35" s="12">
        <f t="shared" si="3"/>
        <v>46051</v>
      </c>
    </row>
    <row r="36" ht="15.75" hidden="1" customHeight="1">
      <c r="A36" s="4">
        <v>45939.0</v>
      </c>
      <c r="B36" s="2" t="s">
        <v>212</v>
      </c>
      <c r="C36" s="2" t="s">
        <v>213</v>
      </c>
      <c r="D36" s="2" t="s">
        <v>159</v>
      </c>
      <c r="E36" s="2">
        <v>0.0</v>
      </c>
      <c r="F36" s="2">
        <v>48.0</v>
      </c>
      <c r="G36" s="2">
        <v>48.0</v>
      </c>
      <c r="H36" s="8">
        <f t="shared" si="1"/>
        <v>0</v>
      </c>
      <c r="I36" s="2" t="b">
        <v>0</v>
      </c>
      <c r="J36" s="2" t="s">
        <v>160</v>
      </c>
      <c r="K36" s="12">
        <f t="shared" si="2"/>
        <v>45954</v>
      </c>
      <c r="L36" s="12">
        <f t="shared" si="3"/>
        <v>45969</v>
      </c>
    </row>
    <row r="37" ht="15.75" hidden="1" customHeight="1">
      <c r="A37" s="4">
        <v>45930.0</v>
      </c>
      <c r="B37" s="2" t="s">
        <v>214</v>
      </c>
      <c r="C37" s="2" t="s">
        <v>215</v>
      </c>
      <c r="D37" s="2" t="s">
        <v>159</v>
      </c>
      <c r="E37" s="2"/>
      <c r="F37" s="2">
        <v>40.0</v>
      </c>
      <c r="G37" s="2">
        <v>40.0</v>
      </c>
      <c r="H37" s="8">
        <f t="shared" si="1"/>
        <v>0</v>
      </c>
      <c r="I37" s="2" t="b">
        <v>1</v>
      </c>
      <c r="J37" s="2" t="s">
        <v>160</v>
      </c>
      <c r="K37" s="12">
        <f t="shared" si="2"/>
        <v>45945</v>
      </c>
      <c r="L37" s="12">
        <f t="shared" si="3"/>
        <v>45960</v>
      </c>
    </row>
    <row r="38" ht="15.75" hidden="1" customHeight="1">
      <c r="A38" s="4">
        <v>45966.0</v>
      </c>
      <c r="B38" s="2" t="s">
        <v>216</v>
      </c>
      <c r="C38" s="2" t="s">
        <v>217</v>
      </c>
      <c r="D38" s="2" t="s">
        <v>159</v>
      </c>
      <c r="E38" s="2">
        <v>0.0</v>
      </c>
      <c r="F38" s="2">
        <v>45.0</v>
      </c>
      <c r="G38" s="2">
        <v>45.0</v>
      </c>
      <c r="H38" s="8">
        <f t="shared" si="1"/>
        <v>0</v>
      </c>
      <c r="I38" s="2" t="b">
        <v>1</v>
      </c>
      <c r="J38" s="2" t="s">
        <v>160</v>
      </c>
      <c r="K38" s="12">
        <f t="shared" si="2"/>
        <v>45981</v>
      </c>
      <c r="L38" s="12">
        <f t="shared" si="3"/>
        <v>45996</v>
      </c>
    </row>
    <row r="39" ht="15.75" hidden="1" customHeight="1">
      <c r="A39" s="4">
        <v>46014.0</v>
      </c>
      <c r="B39" s="2" t="s">
        <v>218</v>
      </c>
      <c r="C39" s="2" t="s">
        <v>219</v>
      </c>
      <c r="D39" s="2" t="s">
        <v>163</v>
      </c>
      <c r="E39" s="2">
        <v>223.0</v>
      </c>
      <c r="F39" s="2">
        <v>50.0</v>
      </c>
      <c r="G39" s="2">
        <v>25.0</v>
      </c>
      <c r="H39" s="8">
        <f t="shared" si="1"/>
        <v>25</v>
      </c>
      <c r="I39" s="8" t="b">
        <v>0</v>
      </c>
      <c r="J39" s="2" t="s">
        <v>164</v>
      </c>
      <c r="K39" s="12">
        <f t="shared" si="2"/>
        <v>46029</v>
      </c>
      <c r="L39" s="12">
        <f t="shared" si="3"/>
        <v>46044</v>
      </c>
    </row>
    <row r="40" ht="15.75" hidden="1" customHeight="1">
      <c r="A40" s="4">
        <v>45965.0</v>
      </c>
      <c r="B40" s="2" t="s">
        <v>157</v>
      </c>
      <c r="C40" s="2" t="s">
        <v>220</v>
      </c>
      <c r="D40" s="2" t="s">
        <v>163</v>
      </c>
      <c r="E40" s="2">
        <v>240.0</v>
      </c>
      <c r="F40" s="2">
        <v>90.0</v>
      </c>
      <c r="G40" s="2">
        <v>90.0</v>
      </c>
      <c r="H40" s="8">
        <f t="shared" si="1"/>
        <v>0</v>
      </c>
      <c r="I40" s="8" t="b">
        <v>0</v>
      </c>
      <c r="J40" s="2" t="s">
        <v>164</v>
      </c>
      <c r="K40" s="12">
        <f t="shared" si="2"/>
        <v>45980</v>
      </c>
      <c r="L40" s="12">
        <f t="shared" si="3"/>
        <v>45995</v>
      </c>
    </row>
    <row r="41" ht="15.75" hidden="1" customHeight="1">
      <c r="A41" s="4">
        <v>46021.0</v>
      </c>
      <c r="B41" s="2" t="s">
        <v>221</v>
      </c>
      <c r="C41" s="2" t="s">
        <v>222</v>
      </c>
      <c r="D41" s="2" t="s">
        <v>159</v>
      </c>
      <c r="E41" s="2">
        <v>0.0</v>
      </c>
      <c r="F41" s="2">
        <v>5.0</v>
      </c>
      <c r="G41" s="2">
        <v>5.0</v>
      </c>
      <c r="H41" s="8">
        <f t="shared" si="1"/>
        <v>0</v>
      </c>
      <c r="I41" s="8" t="b">
        <v>0</v>
      </c>
      <c r="J41" s="2" t="s">
        <v>160</v>
      </c>
      <c r="K41" s="12">
        <f t="shared" si="2"/>
        <v>46036</v>
      </c>
      <c r="L41" s="12">
        <f t="shared" si="3"/>
        <v>46051</v>
      </c>
    </row>
    <row r="42" ht="15.75" hidden="1" customHeight="1">
      <c r="A42" s="4">
        <v>46021.0</v>
      </c>
      <c r="B42" s="2" t="s">
        <v>223</v>
      </c>
      <c r="C42" s="2" t="s">
        <v>224</v>
      </c>
      <c r="D42" s="2" t="s">
        <v>159</v>
      </c>
      <c r="E42" s="2">
        <v>0.0</v>
      </c>
      <c r="F42" s="2">
        <v>5.0</v>
      </c>
      <c r="G42" s="2">
        <v>5.0</v>
      </c>
      <c r="H42" s="8">
        <f t="shared" si="1"/>
        <v>0</v>
      </c>
      <c r="I42" s="8" t="b">
        <v>0</v>
      </c>
      <c r="J42" s="2" t="s">
        <v>160</v>
      </c>
      <c r="K42" s="12">
        <f t="shared" si="2"/>
        <v>46036</v>
      </c>
      <c r="L42" s="12">
        <f t="shared" si="3"/>
        <v>46051</v>
      </c>
    </row>
    <row r="43" ht="15.75" hidden="1" customHeight="1">
      <c r="A43" s="4">
        <v>45945.0</v>
      </c>
      <c r="B43" s="2" t="s">
        <v>216</v>
      </c>
      <c r="C43" s="2" t="s">
        <v>225</v>
      </c>
      <c r="D43" s="2" t="s">
        <v>113</v>
      </c>
      <c r="E43" s="2">
        <v>0.0</v>
      </c>
      <c r="F43" s="2">
        <v>75.0</v>
      </c>
      <c r="G43" s="2">
        <v>75.0</v>
      </c>
      <c r="H43" s="8">
        <f t="shared" si="1"/>
        <v>0</v>
      </c>
      <c r="I43" s="2" t="b">
        <v>1</v>
      </c>
      <c r="J43" s="2" t="s">
        <v>160</v>
      </c>
      <c r="K43" s="12">
        <f t="shared" si="2"/>
        <v>45960</v>
      </c>
      <c r="L43" s="12">
        <f t="shared" si="3"/>
        <v>45975</v>
      </c>
    </row>
    <row r="44" ht="15.75" hidden="1" customHeight="1">
      <c r="A44" s="4">
        <v>46001.0</v>
      </c>
      <c r="B44" s="2" t="s">
        <v>226</v>
      </c>
      <c r="C44" s="2" t="s">
        <v>227</v>
      </c>
      <c r="D44" s="2" t="s">
        <v>159</v>
      </c>
      <c r="E44" s="2">
        <v>0.0</v>
      </c>
      <c r="F44" s="2">
        <v>40.0</v>
      </c>
      <c r="G44" s="2">
        <v>40.0</v>
      </c>
      <c r="H44" s="8">
        <f t="shared" si="1"/>
        <v>0</v>
      </c>
      <c r="I44" s="2" t="b">
        <v>1</v>
      </c>
      <c r="J44" s="2" t="s">
        <v>160</v>
      </c>
      <c r="K44" s="12">
        <f t="shared" si="2"/>
        <v>46016</v>
      </c>
      <c r="L44" s="12">
        <f t="shared" si="3"/>
        <v>46031</v>
      </c>
    </row>
    <row r="45" ht="15.75" hidden="1" customHeight="1">
      <c r="A45" s="4">
        <v>45985.0</v>
      </c>
      <c r="B45" s="2" t="s">
        <v>228</v>
      </c>
      <c r="C45" s="2" t="s">
        <v>229</v>
      </c>
      <c r="D45" s="2" t="s">
        <v>159</v>
      </c>
      <c r="E45" s="2">
        <v>0.0</v>
      </c>
      <c r="F45" s="2">
        <v>45.0</v>
      </c>
      <c r="G45" s="2">
        <v>45.0</v>
      </c>
      <c r="H45" s="8">
        <f t="shared" si="1"/>
        <v>0</v>
      </c>
      <c r="I45" s="2" t="b">
        <v>1</v>
      </c>
      <c r="J45" s="2" t="s">
        <v>160</v>
      </c>
      <c r="K45" s="12">
        <f t="shared" si="2"/>
        <v>46000</v>
      </c>
      <c r="L45" s="12">
        <f t="shared" si="3"/>
        <v>46015</v>
      </c>
    </row>
    <row r="46" ht="15.75" hidden="1" customHeight="1">
      <c r="A46" s="4">
        <v>46009.0</v>
      </c>
      <c r="B46" s="2" t="s">
        <v>230</v>
      </c>
      <c r="C46" s="2" t="s">
        <v>231</v>
      </c>
      <c r="D46" s="2" t="s">
        <v>159</v>
      </c>
      <c r="E46" s="2">
        <v>0.0</v>
      </c>
      <c r="F46" s="2">
        <v>52.0</v>
      </c>
      <c r="G46" s="2">
        <v>52.0</v>
      </c>
      <c r="H46" s="8">
        <f t="shared" si="1"/>
        <v>0</v>
      </c>
      <c r="I46" s="2" t="b">
        <v>1</v>
      </c>
      <c r="J46" s="2" t="s">
        <v>160</v>
      </c>
      <c r="K46" s="12">
        <f t="shared" si="2"/>
        <v>46024</v>
      </c>
      <c r="L46" s="12">
        <f t="shared" si="3"/>
        <v>46039</v>
      </c>
    </row>
    <row r="47" ht="15.75" hidden="1" customHeight="1">
      <c r="A47" s="4">
        <v>45915.0</v>
      </c>
      <c r="B47" s="2" t="s">
        <v>232</v>
      </c>
      <c r="C47" s="2" t="s">
        <v>233</v>
      </c>
      <c r="D47" s="2" t="s">
        <v>159</v>
      </c>
      <c r="E47" s="2">
        <v>0.0</v>
      </c>
      <c r="F47" s="2">
        <v>55.0</v>
      </c>
      <c r="G47" s="2">
        <v>55.0</v>
      </c>
      <c r="H47" s="8">
        <f t="shared" si="1"/>
        <v>0</v>
      </c>
      <c r="I47" s="2" t="b">
        <v>1</v>
      </c>
      <c r="J47" s="2" t="s">
        <v>160</v>
      </c>
      <c r="K47" s="12">
        <f t="shared" si="2"/>
        <v>45930</v>
      </c>
      <c r="L47" s="12">
        <f t="shared" si="3"/>
        <v>45945</v>
      </c>
    </row>
    <row r="48" ht="15.75" hidden="1" customHeight="1">
      <c r="A48" s="4">
        <v>45960.0</v>
      </c>
      <c r="B48" s="2" t="s">
        <v>234</v>
      </c>
      <c r="C48" s="2" t="s">
        <v>235</v>
      </c>
      <c r="D48" s="2" t="s">
        <v>91</v>
      </c>
      <c r="E48" s="2">
        <v>28.0</v>
      </c>
      <c r="F48" s="2">
        <v>110.0</v>
      </c>
      <c r="G48" s="2">
        <v>110.0</v>
      </c>
      <c r="H48" s="8">
        <f t="shared" si="1"/>
        <v>0</v>
      </c>
      <c r="I48" s="2" t="b">
        <v>1</v>
      </c>
      <c r="J48" s="2" t="s">
        <v>160</v>
      </c>
      <c r="K48" s="12">
        <f t="shared" si="2"/>
        <v>45975</v>
      </c>
      <c r="L48" s="12">
        <f t="shared" si="3"/>
        <v>45990</v>
      </c>
    </row>
    <row r="49" ht="15.75" hidden="1" customHeight="1">
      <c r="A49" s="4">
        <v>46003.0</v>
      </c>
      <c r="B49" s="2" t="s">
        <v>199</v>
      </c>
      <c r="C49" s="2" t="s">
        <v>236</v>
      </c>
      <c r="D49" s="2" t="s">
        <v>159</v>
      </c>
      <c r="E49" s="2">
        <v>0.0</v>
      </c>
      <c r="F49" s="2">
        <v>65.0</v>
      </c>
      <c r="G49" s="2">
        <v>65.0</v>
      </c>
      <c r="H49" s="8">
        <f t="shared" si="1"/>
        <v>0</v>
      </c>
      <c r="I49" s="2" t="b">
        <v>1</v>
      </c>
      <c r="J49" s="2" t="s">
        <v>160</v>
      </c>
      <c r="K49" s="12">
        <f t="shared" si="2"/>
        <v>46018</v>
      </c>
      <c r="L49" s="12">
        <f t="shared" si="3"/>
        <v>46033</v>
      </c>
    </row>
    <row r="50" ht="15.75" hidden="1" customHeight="1">
      <c r="A50" s="4">
        <v>45948.0</v>
      </c>
      <c r="B50" s="2" t="s">
        <v>214</v>
      </c>
      <c r="C50" s="2" t="s">
        <v>237</v>
      </c>
      <c r="D50" s="2" t="s">
        <v>159</v>
      </c>
      <c r="E50" s="2">
        <v>0.0</v>
      </c>
      <c r="F50" s="2">
        <v>125.0</v>
      </c>
      <c r="G50" s="2">
        <v>125.0</v>
      </c>
      <c r="H50" s="8">
        <f t="shared" si="1"/>
        <v>0</v>
      </c>
      <c r="I50" s="2" t="b">
        <v>1</v>
      </c>
      <c r="J50" s="2" t="s">
        <v>160</v>
      </c>
      <c r="K50" s="12">
        <f t="shared" si="2"/>
        <v>45963</v>
      </c>
      <c r="L50" s="12">
        <f t="shared" si="3"/>
        <v>45978</v>
      </c>
    </row>
    <row r="51" ht="15.75" hidden="1" customHeight="1">
      <c r="A51" s="4">
        <v>45942.0</v>
      </c>
      <c r="B51" s="2" t="s">
        <v>238</v>
      </c>
      <c r="C51" s="2" t="s">
        <v>239</v>
      </c>
      <c r="D51" s="2" t="s">
        <v>240</v>
      </c>
      <c r="E51" s="2">
        <v>0.0</v>
      </c>
      <c r="F51" s="2">
        <v>35.0</v>
      </c>
      <c r="G51" s="2">
        <v>35.0</v>
      </c>
      <c r="H51" s="8">
        <f t="shared" si="1"/>
        <v>0</v>
      </c>
      <c r="I51" s="2" t="b">
        <v>1</v>
      </c>
      <c r="J51" s="2" t="s">
        <v>160</v>
      </c>
      <c r="K51" s="12">
        <f t="shared" si="2"/>
        <v>45957</v>
      </c>
      <c r="L51" s="12">
        <f t="shared" si="3"/>
        <v>45972</v>
      </c>
    </row>
    <row r="52" ht="15.75" hidden="1" customHeight="1">
      <c r="A52" s="4">
        <v>46021.0</v>
      </c>
      <c r="B52" s="2" t="s">
        <v>223</v>
      </c>
      <c r="C52" s="2" t="s">
        <v>241</v>
      </c>
      <c r="D52" s="2" t="s">
        <v>159</v>
      </c>
      <c r="E52" s="2">
        <v>0.0</v>
      </c>
      <c r="F52" s="2">
        <v>6.0</v>
      </c>
      <c r="G52" s="2">
        <v>6.0</v>
      </c>
      <c r="H52" s="8">
        <f t="shared" si="1"/>
        <v>0</v>
      </c>
      <c r="I52" s="8" t="b">
        <v>0</v>
      </c>
      <c r="J52" s="2" t="s">
        <v>160</v>
      </c>
      <c r="K52" s="12">
        <f t="shared" si="2"/>
        <v>46036</v>
      </c>
      <c r="L52" s="12">
        <f t="shared" si="3"/>
        <v>46051</v>
      </c>
    </row>
    <row r="53" ht="15.75" hidden="1" customHeight="1">
      <c r="A53" s="4">
        <v>46021.0</v>
      </c>
      <c r="B53" s="2" t="s">
        <v>223</v>
      </c>
      <c r="C53" s="2" t="s">
        <v>242</v>
      </c>
      <c r="D53" s="2" t="s">
        <v>159</v>
      </c>
      <c r="E53" s="2">
        <v>0.0</v>
      </c>
      <c r="F53" s="2">
        <v>5.0</v>
      </c>
      <c r="G53" s="2">
        <v>5.0</v>
      </c>
      <c r="H53" s="8">
        <f t="shared" si="1"/>
        <v>0</v>
      </c>
      <c r="I53" s="8" t="b">
        <v>0</v>
      </c>
      <c r="J53" s="2" t="s">
        <v>160</v>
      </c>
      <c r="K53" s="12">
        <f t="shared" si="2"/>
        <v>46036</v>
      </c>
      <c r="L53" s="12">
        <f t="shared" si="3"/>
        <v>46051</v>
      </c>
    </row>
    <row r="54" ht="15.75" hidden="1" customHeight="1">
      <c r="A54" s="4">
        <v>45969.0</v>
      </c>
      <c r="B54" s="2" t="s">
        <v>243</v>
      </c>
      <c r="C54" s="2" t="s">
        <v>244</v>
      </c>
      <c r="D54" s="2" t="s">
        <v>159</v>
      </c>
      <c r="E54" s="2">
        <v>0.0</v>
      </c>
      <c r="F54" s="2">
        <v>80.0</v>
      </c>
      <c r="G54" s="2">
        <v>80.0</v>
      </c>
      <c r="H54" s="8">
        <f t="shared" si="1"/>
        <v>0</v>
      </c>
      <c r="I54" s="2" t="b">
        <v>1</v>
      </c>
      <c r="J54" s="2" t="s">
        <v>160</v>
      </c>
      <c r="K54" s="12">
        <f t="shared" si="2"/>
        <v>45984</v>
      </c>
      <c r="L54" s="12">
        <f t="shared" si="3"/>
        <v>45999</v>
      </c>
    </row>
    <row r="55" ht="15.75" hidden="1" customHeight="1">
      <c r="A55" s="4">
        <v>46021.0</v>
      </c>
      <c r="B55" s="2" t="s">
        <v>223</v>
      </c>
      <c r="C55" s="2" t="s">
        <v>245</v>
      </c>
      <c r="D55" s="2" t="s">
        <v>159</v>
      </c>
      <c r="E55" s="2">
        <v>0.0</v>
      </c>
      <c r="F55" s="2">
        <v>7.0</v>
      </c>
      <c r="G55" s="2">
        <v>7.0</v>
      </c>
      <c r="H55" s="8">
        <f t="shared" si="1"/>
        <v>0</v>
      </c>
      <c r="I55" s="8" t="b">
        <v>0</v>
      </c>
      <c r="J55" s="2" t="s">
        <v>160</v>
      </c>
      <c r="K55" s="12">
        <f t="shared" si="2"/>
        <v>46036</v>
      </c>
      <c r="L55" s="12">
        <f t="shared" si="3"/>
        <v>46051</v>
      </c>
    </row>
    <row r="56" ht="15.75" hidden="1" customHeight="1">
      <c r="A56" s="4">
        <v>46001.0</v>
      </c>
      <c r="B56" s="2" t="s">
        <v>123</v>
      </c>
      <c r="C56" s="2" t="s">
        <v>246</v>
      </c>
      <c r="D56" s="2" t="s">
        <v>159</v>
      </c>
      <c r="E56" s="2">
        <v>0.0</v>
      </c>
      <c r="F56" s="2">
        <v>40.0</v>
      </c>
      <c r="G56" s="2">
        <v>40.0</v>
      </c>
      <c r="H56" s="8">
        <f t="shared" si="1"/>
        <v>0</v>
      </c>
      <c r="I56" s="2" t="b">
        <v>1</v>
      </c>
      <c r="J56" s="2" t="s">
        <v>160</v>
      </c>
      <c r="K56" s="12">
        <f t="shared" si="2"/>
        <v>46016</v>
      </c>
      <c r="L56" s="12">
        <f t="shared" si="3"/>
        <v>46031</v>
      </c>
    </row>
    <row r="57" ht="15.75" hidden="1" customHeight="1">
      <c r="A57" s="4">
        <v>46012.0</v>
      </c>
      <c r="B57" s="2" t="s">
        <v>238</v>
      </c>
      <c r="C57" s="2" t="s">
        <v>247</v>
      </c>
      <c r="D57" s="2" t="s">
        <v>159</v>
      </c>
      <c r="E57" s="2">
        <v>0.0</v>
      </c>
      <c r="F57" s="2">
        <v>33.0</v>
      </c>
      <c r="G57" s="2">
        <v>33.0</v>
      </c>
      <c r="H57" s="8">
        <f t="shared" si="1"/>
        <v>0</v>
      </c>
      <c r="I57" s="2" t="b">
        <v>1</v>
      </c>
      <c r="J57" s="2" t="s">
        <v>160</v>
      </c>
      <c r="K57" s="12">
        <f t="shared" si="2"/>
        <v>46027</v>
      </c>
      <c r="L57" s="12">
        <f t="shared" si="3"/>
        <v>46042</v>
      </c>
    </row>
    <row r="58" ht="15.75" hidden="1" customHeight="1">
      <c r="A58" s="4">
        <v>45922.0</v>
      </c>
      <c r="B58" s="2" t="s">
        <v>176</v>
      </c>
      <c r="C58" s="2" t="s">
        <v>248</v>
      </c>
      <c r="D58" s="2" t="s">
        <v>159</v>
      </c>
      <c r="E58" s="2">
        <v>0.0</v>
      </c>
      <c r="F58" s="2">
        <v>40.0</v>
      </c>
      <c r="G58" s="2">
        <v>40.0</v>
      </c>
      <c r="H58" s="8">
        <f t="shared" si="1"/>
        <v>0</v>
      </c>
      <c r="I58" s="2" t="b">
        <v>1</v>
      </c>
      <c r="J58" s="2" t="s">
        <v>160</v>
      </c>
      <c r="K58" s="12">
        <f t="shared" si="2"/>
        <v>45937</v>
      </c>
      <c r="L58" s="12">
        <f t="shared" si="3"/>
        <v>45952</v>
      </c>
    </row>
    <row r="59" ht="15.75" hidden="1" customHeight="1">
      <c r="A59" s="4">
        <v>45987.0</v>
      </c>
      <c r="B59" s="2" t="s">
        <v>167</v>
      </c>
      <c r="C59" s="2" t="s">
        <v>249</v>
      </c>
      <c r="D59" s="2" t="s">
        <v>159</v>
      </c>
      <c r="E59" s="2">
        <v>0.0</v>
      </c>
      <c r="F59" s="2">
        <v>4.0</v>
      </c>
      <c r="G59" s="2">
        <v>4.0</v>
      </c>
      <c r="H59" s="8">
        <f t="shared" si="1"/>
        <v>0</v>
      </c>
      <c r="I59" s="2" t="b">
        <v>1</v>
      </c>
      <c r="J59" s="2" t="s">
        <v>160</v>
      </c>
      <c r="K59" s="12">
        <f t="shared" si="2"/>
        <v>46002</v>
      </c>
      <c r="L59" s="12">
        <f t="shared" si="3"/>
        <v>46017</v>
      </c>
    </row>
    <row r="60" ht="15.75" hidden="1" customHeight="1">
      <c r="A60" s="4">
        <v>45987.0</v>
      </c>
      <c r="B60" s="2" t="s">
        <v>167</v>
      </c>
      <c r="C60" s="2" t="s">
        <v>250</v>
      </c>
      <c r="D60" s="2" t="s">
        <v>159</v>
      </c>
      <c r="E60" s="2">
        <v>0.0</v>
      </c>
      <c r="F60" s="2">
        <v>5.0</v>
      </c>
      <c r="G60" s="2">
        <v>5.0</v>
      </c>
      <c r="H60" s="8">
        <f t="shared" si="1"/>
        <v>0</v>
      </c>
      <c r="I60" s="2" t="b">
        <v>1</v>
      </c>
      <c r="J60" s="2" t="s">
        <v>160</v>
      </c>
      <c r="K60" s="12">
        <f t="shared" si="2"/>
        <v>46002</v>
      </c>
      <c r="L60" s="12">
        <f t="shared" si="3"/>
        <v>46017</v>
      </c>
    </row>
    <row r="61" ht="15.75" customHeight="1">
      <c r="A61" s="4">
        <v>45929.0</v>
      </c>
      <c r="B61" s="2" t="s">
        <v>251</v>
      </c>
      <c r="C61" s="2" t="s">
        <v>252</v>
      </c>
      <c r="D61" s="2" t="s">
        <v>113</v>
      </c>
      <c r="E61" s="2" t="s">
        <v>253</v>
      </c>
      <c r="F61" s="2">
        <v>135.0</v>
      </c>
      <c r="G61" s="2">
        <v>135.0</v>
      </c>
      <c r="H61" s="8">
        <f t="shared" si="1"/>
        <v>0</v>
      </c>
      <c r="I61" s="2" t="b">
        <v>1</v>
      </c>
      <c r="J61" s="2" t="s">
        <v>160</v>
      </c>
      <c r="K61" s="12">
        <f t="shared" si="2"/>
        <v>45944</v>
      </c>
      <c r="L61" s="12">
        <f t="shared" si="3"/>
        <v>45959</v>
      </c>
    </row>
    <row r="62" ht="15.75" hidden="1" customHeight="1">
      <c r="A62" s="4">
        <v>45981.0</v>
      </c>
      <c r="B62" s="2" t="s">
        <v>180</v>
      </c>
      <c r="C62" s="2" t="s">
        <v>254</v>
      </c>
      <c r="D62" s="2" t="s">
        <v>159</v>
      </c>
      <c r="E62" s="2">
        <v>0.0</v>
      </c>
      <c r="F62" s="2">
        <v>25.0</v>
      </c>
      <c r="G62" s="2">
        <v>25.0</v>
      </c>
      <c r="H62" s="8">
        <f t="shared" si="1"/>
        <v>0</v>
      </c>
      <c r="I62" s="2" t="b">
        <v>1</v>
      </c>
      <c r="J62" s="2" t="s">
        <v>160</v>
      </c>
      <c r="K62" s="12">
        <f t="shared" si="2"/>
        <v>45996</v>
      </c>
      <c r="L62" s="12">
        <f t="shared" si="3"/>
        <v>46011</v>
      </c>
    </row>
    <row r="63" ht="15.75" hidden="1" customHeight="1">
      <c r="A63" s="4">
        <v>45915.0</v>
      </c>
      <c r="B63" s="2" t="s">
        <v>255</v>
      </c>
      <c r="C63" s="2" t="s">
        <v>256</v>
      </c>
      <c r="D63" s="2" t="s">
        <v>159</v>
      </c>
      <c r="E63" s="2">
        <v>0.0</v>
      </c>
      <c r="F63" s="2">
        <v>50.0</v>
      </c>
      <c r="G63" s="2">
        <v>50.0</v>
      </c>
      <c r="H63" s="8">
        <f t="shared" si="1"/>
        <v>0</v>
      </c>
      <c r="I63" s="2" t="b">
        <v>1</v>
      </c>
      <c r="J63" s="2" t="s">
        <v>160</v>
      </c>
      <c r="K63" s="12">
        <f t="shared" si="2"/>
        <v>45930</v>
      </c>
      <c r="L63" s="12">
        <f t="shared" si="3"/>
        <v>45945</v>
      </c>
    </row>
    <row r="64" ht="15.75" hidden="1" customHeight="1">
      <c r="A64" s="4">
        <v>46021.0</v>
      </c>
      <c r="B64" s="2" t="s">
        <v>223</v>
      </c>
      <c r="C64" s="2" t="s">
        <v>257</v>
      </c>
      <c r="D64" s="2" t="s">
        <v>159</v>
      </c>
      <c r="E64" s="2">
        <v>0.0</v>
      </c>
      <c r="F64" s="2">
        <v>7.0</v>
      </c>
      <c r="G64" s="2">
        <v>7.0</v>
      </c>
      <c r="H64" s="8">
        <f t="shared" si="1"/>
        <v>0</v>
      </c>
      <c r="I64" s="8" t="b">
        <v>0</v>
      </c>
      <c r="J64" s="2" t="s">
        <v>160</v>
      </c>
      <c r="K64" s="12">
        <f t="shared" si="2"/>
        <v>46036</v>
      </c>
      <c r="L64" s="12">
        <f t="shared" si="3"/>
        <v>46051</v>
      </c>
    </row>
    <row r="65" ht="15.75" hidden="1" customHeight="1">
      <c r="A65" s="4">
        <v>45972.0</v>
      </c>
      <c r="B65" s="2" t="s">
        <v>208</v>
      </c>
      <c r="C65" s="2" t="s">
        <v>258</v>
      </c>
      <c r="D65" s="2" t="s">
        <v>159</v>
      </c>
      <c r="E65" s="2">
        <v>0.0</v>
      </c>
      <c r="F65" s="2">
        <v>100.0</v>
      </c>
      <c r="G65" s="2">
        <v>100.0</v>
      </c>
      <c r="H65" s="8">
        <f t="shared" si="1"/>
        <v>0</v>
      </c>
      <c r="I65" s="2" t="b">
        <v>1</v>
      </c>
      <c r="J65" s="2" t="s">
        <v>160</v>
      </c>
      <c r="K65" s="12">
        <f t="shared" si="2"/>
        <v>45987</v>
      </c>
      <c r="L65" s="12">
        <f t="shared" si="3"/>
        <v>46002</v>
      </c>
    </row>
    <row r="66" ht="15.75" hidden="1" customHeight="1">
      <c r="A66" s="4">
        <v>46021.0</v>
      </c>
      <c r="B66" s="2" t="s">
        <v>223</v>
      </c>
      <c r="C66" s="2" t="s">
        <v>259</v>
      </c>
      <c r="D66" s="2" t="s">
        <v>159</v>
      </c>
      <c r="E66" s="2">
        <v>0.0</v>
      </c>
      <c r="F66" s="2">
        <v>6.0</v>
      </c>
      <c r="G66" s="2">
        <v>6.0</v>
      </c>
      <c r="H66" s="8">
        <f t="shared" si="1"/>
        <v>0</v>
      </c>
      <c r="I66" s="8" t="b">
        <v>0</v>
      </c>
      <c r="J66" s="2" t="s">
        <v>160</v>
      </c>
      <c r="K66" s="12">
        <f t="shared" si="2"/>
        <v>46036</v>
      </c>
      <c r="L66" s="12">
        <f t="shared" si="3"/>
        <v>46051</v>
      </c>
    </row>
    <row r="67" ht="15.75" hidden="1" customHeight="1">
      <c r="A67" s="4">
        <v>46021.0</v>
      </c>
      <c r="B67" s="2" t="s">
        <v>223</v>
      </c>
      <c r="C67" s="2" t="s">
        <v>260</v>
      </c>
      <c r="D67" s="2" t="s">
        <v>159</v>
      </c>
      <c r="E67" s="2">
        <v>0.0</v>
      </c>
      <c r="F67" s="2">
        <v>5.0</v>
      </c>
      <c r="G67" s="2">
        <v>5.0</v>
      </c>
      <c r="H67" s="8">
        <f t="shared" si="1"/>
        <v>0</v>
      </c>
      <c r="I67" s="8" t="b">
        <v>0</v>
      </c>
      <c r="J67" s="2" t="s">
        <v>160</v>
      </c>
      <c r="K67" s="12">
        <f t="shared" si="2"/>
        <v>46036</v>
      </c>
      <c r="L67" s="12">
        <f t="shared" si="3"/>
        <v>46051</v>
      </c>
    </row>
    <row r="68" ht="15.75" hidden="1" customHeight="1">
      <c r="A68" s="4">
        <v>45954.0</v>
      </c>
      <c r="B68" s="2" t="s">
        <v>261</v>
      </c>
      <c r="C68" s="2" t="s">
        <v>262</v>
      </c>
      <c r="D68" s="2" t="s">
        <v>115</v>
      </c>
      <c r="E68" s="2">
        <v>0.0</v>
      </c>
      <c r="F68" s="2">
        <v>40.0</v>
      </c>
      <c r="G68" s="2">
        <v>40.0</v>
      </c>
      <c r="H68" s="8">
        <f t="shared" si="1"/>
        <v>0</v>
      </c>
      <c r="I68" s="8" t="b">
        <v>0</v>
      </c>
      <c r="J68" s="2" t="s">
        <v>160</v>
      </c>
      <c r="K68" s="12">
        <f t="shared" si="2"/>
        <v>45969</v>
      </c>
      <c r="L68" s="12">
        <f t="shared" si="3"/>
        <v>45984</v>
      </c>
    </row>
    <row r="69" ht="15.75" hidden="1" customHeight="1">
      <c r="A69" s="4">
        <v>45978.0</v>
      </c>
      <c r="B69" s="2" t="s">
        <v>263</v>
      </c>
      <c r="C69" s="2" t="s">
        <v>264</v>
      </c>
      <c r="D69" s="2" t="s">
        <v>159</v>
      </c>
      <c r="E69" s="2">
        <v>0.0</v>
      </c>
      <c r="F69" s="2">
        <v>60.0</v>
      </c>
      <c r="G69" s="2">
        <v>60.0</v>
      </c>
      <c r="H69" s="8">
        <f t="shared" si="1"/>
        <v>0</v>
      </c>
      <c r="I69" s="8" t="b">
        <v>0</v>
      </c>
      <c r="J69" s="2" t="s">
        <v>160</v>
      </c>
      <c r="K69" s="12">
        <f t="shared" si="2"/>
        <v>45993</v>
      </c>
      <c r="L69" s="12">
        <f t="shared" si="3"/>
        <v>46008</v>
      </c>
    </row>
    <row r="70" ht="15.75" hidden="1" customHeight="1">
      <c r="A70" s="4">
        <v>45978.0</v>
      </c>
      <c r="B70" s="2" t="s">
        <v>263</v>
      </c>
      <c r="C70" s="2" t="s">
        <v>265</v>
      </c>
      <c r="D70" s="2" t="s">
        <v>159</v>
      </c>
      <c r="E70" s="2">
        <v>0.0</v>
      </c>
      <c r="F70" s="2">
        <v>70.0</v>
      </c>
      <c r="G70" s="2">
        <v>70.0</v>
      </c>
      <c r="H70" s="8">
        <f t="shared" si="1"/>
        <v>0</v>
      </c>
      <c r="I70" s="8" t="b">
        <v>0</v>
      </c>
      <c r="J70" s="2" t="s">
        <v>160</v>
      </c>
      <c r="K70" s="12">
        <f t="shared" si="2"/>
        <v>45993</v>
      </c>
      <c r="L70" s="12">
        <f t="shared" si="3"/>
        <v>46008</v>
      </c>
    </row>
    <row r="71" ht="15.75" hidden="1" customHeight="1">
      <c r="A71" s="4">
        <v>45978.0</v>
      </c>
      <c r="B71" s="2" t="s">
        <v>263</v>
      </c>
      <c r="C71" s="2" t="s">
        <v>266</v>
      </c>
      <c r="D71" s="2" t="s">
        <v>159</v>
      </c>
      <c r="E71" s="2">
        <v>0.0</v>
      </c>
      <c r="F71" s="2">
        <v>30.0</v>
      </c>
      <c r="G71" s="2">
        <v>30.0</v>
      </c>
      <c r="H71" s="8">
        <f t="shared" si="1"/>
        <v>0</v>
      </c>
      <c r="I71" s="8" t="b">
        <v>0</v>
      </c>
      <c r="J71" s="2" t="s">
        <v>160</v>
      </c>
      <c r="K71" s="12">
        <f t="shared" si="2"/>
        <v>45993</v>
      </c>
      <c r="L71" s="12">
        <f t="shared" si="3"/>
        <v>46008</v>
      </c>
    </row>
    <row r="72" ht="15.75" hidden="1" customHeight="1">
      <c r="A72" s="254">
        <v>45902.0</v>
      </c>
      <c r="B72" s="8" t="s">
        <v>267</v>
      </c>
      <c r="C72" s="8" t="s">
        <v>268</v>
      </c>
      <c r="D72" s="8" t="s">
        <v>91</v>
      </c>
      <c r="E72" s="2">
        <v>0.0</v>
      </c>
      <c r="F72" s="2">
        <v>660.0</v>
      </c>
      <c r="G72" s="2">
        <v>660.0</v>
      </c>
      <c r="H72" s="8">
        <f t="shared" si="1"/>
        <v>0</v>
      </c>
      <c r="I72" s="2" t="b">
        <v>1</v>
      </c>
      <c r="J72" s="2" t="s">
        <v>160</v>
      </c>
      <c r="K72" s="12">
        <f t="shared" si="2"/>
        <v>45917</v>
      </c>
      <c r="L72" s="12">
        <f t="shared" si="3"/>
        <v>45932</v>
      </c>
    </row>
    <row r="73" ht="15.75" hidden="1" customHeight="1">
      <c r="A73" s="4">
        <v>45988.0</v>
      </c>
      <c r="B73" s="2" t="s">
        <v>269</v>
      </c>
      <c r="C73" s="2" t="s">
        <v>270</v>
      </c>
      <c r="D73" s="2" t="s">
        <v>159</v>
      </c>
      <c r="E73" s="2">
        <v>0.0</v>
      </c>
      <c r="F73" s="2">
        <v>25.0</v>
      </c>
      <c r="G73" s="2">
        <v>25.0</v>
      </c>
      <c r="H73" s="8">
        <f t="shared" si="1"/>
        <v>0</v>
      </c>
      <c r="I73" s="2" t="b">
        <v>1</v>
      </c>
      <c r="J73" s="2" t="s">
        <v>160</v>
      </c>
      <c r="K73" s="12">
        <f t="shared" si="2"/>
        <v>46003</v>
      </c>
      <c r="L73" s="12">
        <f t="shared" si="3"/>
        <v>46018</v>
      </c>
    </row>
    <row r="74" ht="15.75" hidden="1" customHeight="1">
      <c r="A74" s="4">
        <v>45978.0</v>
      </c>
      <c r="B74" s="2" t="s">
        <v>263</v>
      </c>
      <c r="C74" s="2" t="s">
        <v>271</v>
      </c>
      <c r="D74" s="2" t="s">
        <v>159</v>
      </c>
      <c r="E74" s="2">
        <v>0.0</v>
      </c>
      <c r="F74" s="2">
        <v>45.0</v>
      </c>
      <c r="G74" s="2">
        <v>45.0</v>
      </c>
      <c r="H74" s="8">
        <f t="shared" si="1"/>
        <v>0</v>
      </c>
      <c r="I74" s="8" t="b">
        <v>0</v>
      </c>
      <c r="J74" s="2" t="s">
        <v>160</v>
      </c>
      <c r="K74" s="12">
        <f t="shared" si="2"/>
        <v>45993</v>
      </c>
      <c r="L74" s="12">
        <f t="shared" si="3"/>
        <v>46008</v>
      </c>
    </row>
    <row r="75" ht="15.75" hidden="1" customHeight="1">
      <c r="A75" s="4">
        <v>45980.0</v>
      </c>
      <c r="B75" s="2" t="s">
        <v>263</v>
      </c>
      <c r="C75" s="2" t="s">
        <v>272</v>
      </c>
      <c r="D75" s="2" t="s">
        <v>113</v>
      </c>
      <c r="E75" s="2">
        <v>0.0</v>
      </c>
      <c r="F75" s="2">
        <v>225.0</v>
      </c>
      <c r="G75" s="2">
        <v>130.0</v>
      </c>
      <c r="H75" s="8">
        <f t="shared" si="1"/>
        <v>95</v>
      </c>
      <c r="I75" s="8" t="b">
        <v>0</v>
      </c>
      <c r="J75" s="2" t="s">
        <v>160</v>
      </c>
      <c r="K75" s="12">
        <f t="shared" si="2"/>
        <v>45995</v>
      </c>
      <c r="L75" s="12">
        <f t="shared" si="3"/>
        <v>46010</v>
      </c>
    </row>
    <row r="76" ht="15.75" hidden="1" customHeight="1">
      <c r="A76" s="4">
        <v>45971.0</v>
      </c>
      <c r="B76" s="2" t="s">
        <v>273</v>
      </c>
      <c r="C76" s="2" t="s">
        <v>274</v>
      </c>
      <c r="D76" s="2" t="s">
        <v>159</v>
      </c>
      <c r="E76" s="2">
        <v>0.0</v>
      </c>
      <c r="F76" s="2">
        <v>55.0</v>
      </c>
      <c r="G76" s="2">
        <v>55.0</v>
      </c>
      <c r="H76" s="8">
        <f t="shared" si="1"/>
        <v>0</v>
      </c>
      <c r="I76" s="2" t="b">
        <v>1</v>
      </c>
      <c r="J76" s="2" t="s">
        <v>160</v>
      </c>
      <c r="K76" s="12">
        <f t="shared" si="2"/>
        <v>45986</v>
      </c>
      <c r="L76" s="12">
        <f t="shared" si="3"/>
        <v>46001</v>
      </c>
    </row>
    <row r="77" ht="15.75" hidden="1" customHeight="1">
      <c r="A77" s="4">
        <v>45987.0</v>
      </c>
      <c r="B77" s="2" t="s">
        <v>263</v>
      </c>
      <c r="C77" s="2" t="s">
        <v>275</v>
      </c>
      <c r="D77" s="2" t="s">
        <v>159</v>
      </c>
      <c r="E77" s="2">
        <v>0.0</v>
      </c>
      <c r="F77" s="2">
        <v>100.0</v>
      </c>
      <c r="G77" s="2">
        <v>0.0</v>
      </c>
      <c r="H77" s="8">
        <f t="shared" si="1"/>
        <v>100</v>
      </c>
      <c r="I77" s="8" t="b">
        <v>0</v>
      </c>
      <c r="J77" s="2" t="s">
        <v>160</v>
      </c>
      <c r="K77" s="12">
        <f t="shared" si="2"/>
        <v>46002</v>
      </c>
      <c r="L77" s="12">
        <f t="shared" si="3"/>
        <v>46017</v>
      </c>
    </row>
    <row r="78" ht="15.75" hidden="1" customHeight="1">
      <c r="A78" s="4">
        <v>45927.0</v>
      </c>
      <c r="B78" s="2" t="s">
        <v>176</v>
      </c>
      <c r="C78" s="2" t="s">
        <v>276</v>
      </c>
      <c r="D78" s="2" t="s">
        <v>159</v>
      </c>
      <c r="E78" s="2">
        <v>0.0</v>
      </c>
      <c r="F78" s="2">
        <v>55.0</v>
      </c>
      <c r="G78" s="2">
        <v>55.0</v>
      </c>
      <c r="H78" s="8">
        <f t="shared" si="1"/>
        <v>0</v>
      </c>
      <c r="I78" s="2" t="b">
        <v>1</v>
      </c>
      <c r="J78" s="2" t="s">
        <v>160</v>
      </c>
      <c r="K78" s="12">
        <f t="shared" si="2"/>
        <v>45942</v>
      </c>
      <c r="L78" s="12">
        <f t="shared" si="3"/>
        <v>45957</v>
      </c>
    </row>
    <row r="79" ht="15.75" hidden="1" customHeight="1">
      <c r="A79" s="4">
        <v>46009.0</v>
      </c>
      <c r="B79" s="2" t="s">
        <v>226</v>
      </c>
      <c r="C79" s="2" t="s">
        <v>277</v>
      </c>
      <c r="D79" s="2" t="s">
        <v>159</v>
      </c>
      <c r="E79" s="2">
        <v>0.0</v>
      </c>
      <c r="F79" s="2">
        <v>57.0</v>
      </c>
      <c r="G79" s="2">
        <v>57.0</v>
      </c>
      <c r="H79" s="8">
        <f t="shared" si="1"/>
        <v>0</v>
      </c>
      <c r="I79" s="2" t="b">
        <v>1</v>
      </c>
      <c r="J79" s="2" t="s">
        <v>160</v>
      </c>
      <c r="K79" s="12">
        <f t="shared" si="2"/>
        <v>46024</v>
      </c>
      <c r="L79" s="12">
        <f t="shared" si="3"/>
        <v>46039</v>
      </c>
    </row>
    <row r="80" ht="15.75" hidden="1" customHeight="1">
      <c r="A80" s="4">
        <v>45936.0</v>
      </c>
      <c r="B80" s="2" t="s">
        <v>176</v>
      </c>
      <c r="C80" s="2" t="s">
        <v>278</v>
      </c>
      <c r="D80" s="2" t="s">
        <v>91</v>
      </c>
      <c r="E80" s="2">
        <v>0.0</v>
      </c>
      <c r="F80" s="2">
        <v>40.0</v>
      </c>
      <c r="G80" s="2">
        <v>40.0</v>
      </c>
      <c r="H80" s="8">
        <f t="shared" si="1"/>
        <v>0</v>
      </c>
      <c r="I80" s="2" t="b">
        <v>1</v>
      </c>
      <c r="J80" s="2" t="s">
        <v>160</v>
      </c>
      <c r="K80" s="12">
        <f t="shared" si="2"/>
        <v>45951</v>
      </c>
      <c r="L80" s="12">
        <f t="shared" si="3"/>
        <v>45966</v>
      </c>
    </row>
    <row r="81" ht="15.75" hidden="1" customHeight="1">
      <c r="A81" s="4">
        <v>45985.0</v>
      </c>
      <c r="B81" s="2" t="s">
        <v>228</v>
      </c>
      <c r="C81" s="2" t="s">
        <v>279</v>
      </c>
      <c r="D81" s="2" t="s">
        <v>159</v>
      </c>
      <c r="E81" s="2">
        <v>0.0</v>
      </c>
      <c r="F81" s="2">
        <v>35.0</v>
      </c>
      <c r="G81" s="2">
        <v>35.0</v>
      </c>
      <c r="H81" s="8">
        <f t="shared" si="1"/>
        <v>0</v>
      </c>
      <c r="I81" s="2" t="b">
        <v>1</v>
      </c>
      <c r="J81" s="2" t="s">
        <v>160</v>
      </c>
      <c r="K81" s="12">
        <f t="shared" si="2"/>
        <v>46000</v>
      </c>
      <c r="L81" s="12">
        <f t="shared" si="3"/>
        <v>46015</v>
      </c>
    </row>
    <row r="82" ht="15.75" hidden="1" customHeight="1">
      <c r="A82" s="4">
        <v>45942.0</v>
      </c>
      <c r="B82" s="2" t="s">
        <v>280</v>
      </c>
      <c r="C82" s="2" t="s">
        <v>281</v>
      </c>
      <c r="D82" s="2" t="s">
        <v>115</v>
      </c>
      <c r="E82" s="2">
        <v>175.0</v>
      </c>
      <c r="F82" s="2">
        <v>190.0</v>
      </c>
      <c r="G82" s="2">
        <v>190.0</v>
      </c>
      <c r="H82" s="8">
        <f t="shared" si="1"/>
        <v>0</v>
      </c>
      <c r="I82" s="2" t="b">
        <v>1</v>
      </c>
      <c r="J82" s="2" t="s">
        <v>160</v>
      </c>
      <c r="K82" s="12">
        <f t="shared" si="2"/>
        <v>45957</v>
      </c>
      <c r="L82" s="12">
        <f t="shared" si="3"/>
        <v>45972</v>
      </c>
    </row>
    <row r="83" ht="15.75" hidden="1" customHeight="1">
      <c r="A83" s="4">
        <v>45942.0</v>
      </c>
      <c r="B83" s="2" t="s">
        <v>238</v>
      </c>
      <c r="C83" s="2" t="s">
        <v>282</v>
      </c>
      <c r="D83" s="2" t="s">
        <v>91</v>
      </c>
      <c r="E83" s="2">
        <v>1.0</v>
      </c>
      <c r="F83" s="2">
        <v>50.0</v>
      </c>
      <c r="G83" s="2">
        <v>50.0</v>
      </c>
      <c r="H83" s="8">
        <f t="shared" si="1"/>
        <v>0</v>
      </c>
      <c r="I83" s="2" t="b">
        <v>1</v>
      </c>
      <c r="J83" s="2" t="s">
        <v>160</v>
      </c>
      <c r="K83" s="12">
        <f t="shared" si="2"/>
        <v>45957</v>
      </c>
      <c r="L83" s="12">
        <f t="shared" si="3"/>
        <v>45972</v>
      </c>
    </row>
    <row r="84" ht="15.75" hidden="1" customHeight="1">
      <c r="A84" s="4">
        <v>45987.0</v>
      </c>
      <c r="B84" s="2" t="s">
        <v>263</v>
      </c>
      <c r="C84" s="2" t="s">
        <v>283</v>
      </c>
      <c r="D84" s="2" t="s">
        <v>159</v>
      </c>
      <c r="E84" s="2">
        <v>0.0</v>
      </c>
      <c r="F84" s="2">
        <v>25.0</v>
      </c>
      <c r="G84" s="2">
        <v>25.0</v>
      </c>
      <c r="H84" s="8">
        <f t="shared" si="1"/>
        <v>0</v>
      </c>
      <c r="I84" s="8" t="b">
        <v>0</v>
      </c>
      <c r="J84" s="2" t="s">
        <v>160</v>
      </c>
      <c r="K84" s="12">
        <f t="shared" si="2"/>
        <v>46002</v>
      </c>
      <c r="L84" s="12">
        <f t="shared" si="3"/>
        <v>46017</v>
      </c>
    </row>
    <row r="85" ht="15.75" hidden="1" customHeight="1">
      <c r="A85" s="4">
        <v>46009.0</v>
      </c>
      <c r="B85" s="2" t="s">
        <v>263</v>
      </c>
      <c r="C85" s="2" t="s">
        <v>284</v>
      </c>
      <c r="D85" s="2" t="s">
        <v>159</v>
      </c>
      <c r="E85" s="2">
        <v>0.0</v>
      </c>
      <c r="F85" s="2">
        <v>70.0</v>
      </c>
      <c r="G85" s="2">
        <v>0.0</v>
      </c>
      <c r="H85" s="8">
        <f t="shared" si="1"/>
        <v>70</v>
      </c>
      <c r="I85" s="8" t="b">
        <v>0</v>
      </c>
      <c r="J85" s="2" t="s">
        <v>160</v>
      </c>
      <c r="K85" s="12">
        <f t="shared" si="2"/>
        <v>46024</v>
      </c>
      <c r="L85" s="12">
        <f t="shared" si="3"/>
        <v>46039</v>
      </c>
    </row>
    <row r="86" ht="15.75" hidden="1" customHeight="1">
      <c r="A86" s="4">
        <v>46018.0</v>
      </c>
      <c r="B86" s="2" t="s">
        <v>263</v>
      </c>
      <c r="C86" s="2" t="s">
        <v>285</v>
      </c>
      <c r="D86" s="2" t="s">
        <v>115</v>
      </c>
      <c r="E86" s="2">
        <v>162.0</v>
      </c>
      <c r="F86" s="2">
        <v>65.0</v>
      </c>
      <c r="G86" s="2">
        <v>0.0</v>
      </c>
      <c r="H86" s="8">
        <f t="shared" si="1"/>
        <v>65</v>
      </c>
      <c r="I86" s="8" t="b">
        <v>0</v>
      </c>
      <c r="J86" s="2" t="s">
        <v>160</v>
      </c>
      <c r="K86" s="12">
        <f t="shared" si="2"/>
        <v>46033</v>
      </c>
      <c r="L86" s="12">
        <f t="shared" si="3"/>
        <v>46048</v>
      </c>
    </row>
    <row r="87" ht="15.75" hidden="1" customHeight="1">
      <c r="A87" s="4">
        <v>45969.0</v>
      </c>
      <c r="B87" s="2" t="s">
        <v>286</v>
      </c>
      <c r="C87" s="2" t="s">
        <v>287</v>
      </c>
      <c r="D87" s="2" t="s">
        <v>159</v>
      </c>
      <c r="E87" s="2">
        <v>0.0</v>
      </c>
      <c r="F87" s="2">
        <v>55.0</v>
      </c>
      <c r="G87" s="2">
        <v>55.0</v>
      </c>
      <c r="H87" s="8">
        <f t="shared" si="1"/>
        <v>0</v>
      </c>
      <c r="I87" s="8" t="b">
        <v>0</v>
      </c>
      <c r="J87" s="2" t="s">
        <v>160</v>
      </c>
      <c r="K87" s="12">
        <f t="shared" si="2"/>
        <v>45984</v>
      </c>
      <c r="L87" s="12">
        <f t="shared" si="3"/>
        <v>45999</v>
      </c>
    </row>
    <row r="88" ht="15.75" hidden="1" customHeight="1">
      <c r="A88" s="4">
        <v>45969.0</v>
      </c>
      <c r="B88" s="2" t="s">
        <v>286</v>
      </c>
      <c r="C88" s="2" t="s">
        <v>110</v>
      </c>
      <c r="D88" s="2" t="s">
        <v>159</v>
      </c>
      <c r="E88" s="2">
        <v>0.0</v>
      </c>
      <c r="F88" s="2">
        <v>9.0</v>
      </c>
      <c r="G88" s="2">
        <v>9.0</v>
      </c>
      <c r="H88" s="8">
        <f t="shared" si="1"/>
        <v>0</v>
      </c>
      <c r="I88" s="8" t="b">
        <v>0</v>
      </c>
      <c r="J88" s="2" t="s">
        <v>160</v>
      </c>
      <c r="K88" s="12">
        <f t="shared" si="2"/>
        <v>45984</v>
      </c>
      <c r="L88" s="12">
        <f t="shared" si="3"/>
        <v>45999</v>
      </c>
    </row>
    <row r="89" ht="15.75" hidden="1" customHeight="1">
      <c r="A89" s="4">
        <v>45969.0</v>
      </c>
      <c r="B89" s="2" t="s">
        <v>286</v>
      </c>
      <c r="C89" s="2" t="s">
        <v>110</v>
      </c>
      <c r="D89" s="2" t="s">
        <v>159</v>
      </c>
      <c r="E89" s="2">
        <v>0.0</v>
      </c>
      <c r="F89" s="2">
        <v>9.0</v>
      </c>
      <c r="G89" s="2">
        <v>9.0</v>
      </c>
      <c r="H89" s="8">
        <f t="shared" si="1"/>
        <v>0</v>
      </c>
      <c r="I89" s="8" t="b">
        <v>0</v>
      </c>
      <c r="J89" s="2" t="s">
        <v>160</v>
      </c>
      <c r="K89" s="12">
        <f t="shared" si="2"/>
        <v>45984</v>
      </c>
      <c r="L89" s="12">
        <f t="shared" si="3"/>
        <v>45999</v>
      </c>
    </row>
    <row r="90" ht="15.75" hidden="1" customHeight="1">
      <c r="A90" s="4">
        <v>45969.0</v>
      </c>
      <c r="B90" s="2" t="s">
        <v>286</v>
      </c>
      <c r="C90" s="2" t="s">
        <v>288</v>
      </c>
      <c r="D90" s="2" t="s">
        <v>159</v>
      </c>
      <c r="E90" s="2">
        <v>0.0</v>
      </c>
      <c r="F90" s="2">
        <v>16.0</v>
      </c>
      <c r="G90" s="2">
        <v>16.0</v>
      </c>
      <c r="H90" s="8">
        <f t="shared" si="1"/>
        <v>0</v>
      </c>
      <c r="I90" s="8" t="b">
        <v>0</v>
      </c>
      <c r="J90" s="2" t="s">
        <v>160</v>
      </c>
      <c r="K90" s="12">
        <f t="shared" si="2"/>
        <v>45984</v>
      </c>
      <c r="L90" s="12">
        <f t="shared" si="3"/>
        <v>45999</v>
      </c>
    </row>
    <row r="91" ht="15.75" hidden="1" customHeight="1">
      <c r="A91" s="4">
        <v>45969.0</v>
      </c>
      <c r="B91" s="2" t="s">
        <v>286</v>
      </c>
      <c r="C91" s="2" t="s">
        <v>289</v>
      </c>
      <c r="D91" s="2" t="s">
        <v>159</v>
      </c>
      <c r="E91" s="2">
        <v>0.0</v>
      </c>
      <c r="F91" s="2">
        <v>40.0</v>
      </c>
      <c r="G91" s="2">
        <v>0.0</v>
      </c>
      <c r="H91" s="8">
        <f t="shared" si="1"/>
        <v>40</v>
      </c>
      <c r="I91" s="8" t="b">
        <v>0</v>
      </c>
      <c r="J91" s="2" t="s">
        <v>160</v>
      </c>
      <c r="K91" s="12">
        <f t="shared" si="2"/>
        <v>45984</v>
      </c>
      <c r="L91" s="12">
        <f t="shared" si="3"/>
        <v>45999</v>
      </c>
    </row>
    <row r="92" ht="15.75" hidden="1" customHeight="1">
      <c r="A92" s="4">
        <v>45947.0</v>
      </c>
      <c r="B92" s="2" t="s">
        <v>290</v>
      </c>
      <c r="C92" s="2" t="s">
        <v>291</v>
      </c>
      <c r="D92" s="2" t="s">
        <v>159</v>
      </c>
      <c r="E92" s="2">
        <v>0.0</v>
      </c>
      <c r="F92" s="2">
        <v>85.0</v>
      </c>
      <c r="G92" s="2">
        <v>85.0</v>
      </c>
      <c r="H92" s="8">
        <f t="shared" si="1"/>
        <v>0</v>
      </c>
      <c r="I92" s="2" t="b">
        <v>1</v>
      </c>
      <c r="J92" s="2" t="s">
        <v>160</v>
      </c>
      <c r="K92" s="12">
        <f t="shared" si="2"/>
        <v>45962</v>
      </c>
      <c r="L92" s="12">
        <f t="shared" si="3"/>
        <v>45977</v>
      </c>
    </row>
    <row r="93" ht="15.75" hidden="1" customHeight="1">
      <c r="A93" s="4">
        <v>45935.0</v>
      </c>
      <c r="B93" s="2" t="s">
        <v>292</v>
      </c>
      <c r="C93" s="2" t="s">
        <v>293</v>
      </c>
      <c r="D93" s="2" t="s">
        <v>115</v>
      </c>
      <c r="E93" s="2">
        <v>167.0</v>
      </c>
      <c r="F93" s="2">
        <v>105.0</v>
      </c>
      <c r="G93" s="2">
        <v>105.0</v>
      </c>
      <c r="H93" s="8">
        <f t="shared" si="1"/>
        <v>0</v>
      </c>
      <c r="I93" s="8" t="b">
        <v>0</v>
      </c>
      <c r="J93" s="2" t="s">
        <v>160</v>
      </c>
      <c r="K93" s="12">
        <f t="shared" si="2"/>
        <v>45950</v>
      </c>
      <c r="L93" s="12">
        <f t="shared" si="3"/>
        <v>45965</v>
      </c>
    </row>
    <row r="94" ht="15.75" hidden="1" customHeight="1">
      <c r="A94" s="4">
        <v>46017.0</v>
      </c>
      <c r="B94" s="2" t="s">
        <v>294</v>
      </c>
      <c r="C94" s="2" t="s">
        <v>295</v>
      </c>
      <c r="D94" s="2" t="s">
        <v>159</v>
      </c>
      <c r="E94" s="2">
        <v>0.0</v>
      </c>
      <c r="F94" s="2">
        <v>75.0</v>
      </c>
      <c r="G94" s="2">
        <v>10.0</v>
      </c>
      <c r="H94" s="8">
        <f t="shared" si="1"/>
        <v>65</v>
      </c>
      <c r="I94" s="2" t="b">
        <v>1</v>
      </c>
      <c r="J94" s="2" t="s">
        <v>160</v>
      </c>
      <c r="K94" s="12">
        <f t="shared" si="2"/>
        <v>46032</v>
      </c>
      <c r="L94" s="12">
        <f t="shared" si="3"/>
        <v>46047</v>
      </c>
    </row>
    <row r="95" ht="15.75" hidden="1" customHeight="1">
      <c r="A95" s="4">
        <v>46017.0</v>
      </c>
      <c r="B95" s="2" t="s">
        <v>294</v>
      </c>
      <c r="C95" s="2" t="s">
        <v>296</v>
      </c>
      <c r="D95" s="2" t="s">
        <v>159</v>
      </c>
      <c r="E95" s="2">
        <v>0.0</v>
      </c>
      <c r="F95" s="2">
        <v>55.0</v>
      </c>
      <c r="G95" s="2">
        <v>10.0</v>
      </c>
      <c r="H95" s="8">
        <f t="shared" si="1"/>
        <v>45</v>
      </c>
      <c r="I95" s="2" t="b">
        <v>1</v>
      </c>
      <c r="J95" s="2" t="s">
        <v>160</v>
      </c>
      <c r="K95" s="12">
        <f t="shared" si="2"/>
        <v>46032</v>
      </c>
      <c r="L95" s="12">
        <f t="shared" si="3"/>
        <v>46047</v>
      </c>
    </row>
    <row r="96" ht="15.75" hidden="1" customHeight="1">
      <c r="A96" s="4">
        <v>45985.0</v>
      </c>
      <c r="B96" s="2" t="s">
        <v>228</v>
      </c>
      <c r="C96" s="2" t="s">
        <v>297</v>
      </c>
      <c r="D96" s="2" t="s">
        <v>159</v>
      </c>
      <c r="E96" s="2">
        <v>0.0</v>
      </c>
      <c r="F96" s="2">
        <v>30.0</v>
      </c>
      <c r="G96" s="2">
        <v>30.0</v>
      </c>
      <c r="H96" s="8">
        <f t="shared" si="1"/>
        <v>0</v>
      </c>
      <c r="I96" s="2" t="b">
        <v>1</v>
      </c>
      <c r="J96" s="2" t="s">
        <v>160</v>
      </c>
      <c r="K96" s="12">
        <f t="shared" si="2"/>
        <v>46000</v>
      </c>
      <c r="L96" s="12">
        <f t="shared" si="3"/>
        <v>46015</v>
      </c>
    </row>
    <row r="97" ht="15.75" hidden="1" customHeight="1">
      <c r="A97" s="4">
        <v>46021.0</v>
      </c>
      <c r="B97" s="2" t="s">
        <v>298</v>
      </c>
      <c r="C97" s="2" t="s">
        <v>299</v>
      </c>
      <c r="D97" s="2" t="s">
        <v>159</v>
      </c>
      <c r="E97" s="2">
        <v>0.0</v>
      </c>
      <c r="F97" s="2">
        <v>6.0</v>
      </c>
      <c r="G97" s="2">
        <v>0.0</v>
      </c>
      <c r="H97" s="8">
        <f t="shared" si="1"/>
        <v>6</v>
      </c>
      <c r="I97" s="8" t="b">
        <v>0</v>
      </c>
      <c r="J97" s="2" t="s">
        <v>160</v>
      </c>
      <c r="K97" s="12">
        <f t="shared" si="2"/>
        <v>46036</v>
      </c>
      <c r="L97" s="12">
        <f t="shared" si="3"/>
        <v>46051</v>
      </c>
    </row>
    <row r="98" ht="15.75" hidden="1" customHeight="1">
      <c r="A98" s="4">
        <v>46003.0</v>
      </c>
      <c r="B98" s="2" t="s">
        <v>199</v>
      </c>
      <c r="C98" s="2" t="s">
        <v>300</v>
      </c>
      <c r="D98" s="2" t="s">
        <v>159</v>
      </c>
      <c r="E98" s="2">
        <v>0.0</v>
      </c>
      <c r="F98" s="2">
        <v>55.0</v>
      </c>
      <c r="G98" s="2">
        <v>55.0</v>
      </c>
      <c r="H98" s="8">
        <f t="shared" si="1"/>
        <v>0</v>
      </c>
      <c r="I98" s="2" t="b">
        <v>1</v>
      </c>
      <c r="J98" s="2" t="s">
        <v>160</v>
      </c>
      <c r="K98" s="12">
        <f t="shared" si="2"/>
        <v>46018</v>
      </c>
      <c r="L98" s="12">
        <f t="shared" si="3"/>
        <v>46033</v>
      </c>
    </row>
    <row r="99" ht="15.75" hidden="1" customHeight="1">
      <c r="A99" s="4">
        <v>46001.0</v>
      </c>
      <c r="B99" s="2" t="s">
        <v>226</v>
      </c>
      <c r="C99" s="2" t="s">
        <v>301</v>
      </c>
      <c r="D99" s="2" t="s">
        <v>159</v>
      </c>
      <c r="E99" s="2">
        <v>0.0</v>
      </c>
      <c r="F99" s="2">
        <v>100.0</v>
      </c>
      <c r="G99" s="2">
        <v>100.0</v>
      </c>
      <c r="H99" s="8">
        <f t="shared" si="1"/>
        <v>0</v>
      </c>
      <c r="I99" s="2" t="b">
        <v>1</v>
      </c>
      <c r="J99" s="2" t="s">
        <v>160</v>
      </c>
      <c r="K99" s="12">
        <f t="shared" si="2"/>
        <v>46016</v>
      </c>
      <c r="L99" s="12">
        <f t="shared" si="3"/>
        <v>46031</v>
      </c>
    </row>
    <row r="100" ht="15.75" hidden="1" customHeight="1">
      <c r="A100" s="4">
        <v>46021.0</v>
      </c>
      <c r="B100" s="2" t="s">
        <v>298</v>
      </c>
      <c r="C100" s="2" t="s">
        <v>302</v>
      </c>
      <c r="D100" s="2" t="s">
        <v>159</v>
      </c>
      <c r="E100" s="2">
        <v>0.0</v>
      </c>
      <c r="F100" s="2">
        <v>4.0</v>
      </c>
      <c r="G100" s="2">
        <v>0.0</v>
      </c>
      <c r="H100" s="8">
        <f t="shared" si="1"/>
        <v>4</v>
      </c>
      <c r="I100" s="8" t="b">
        <v>0</v>
      </c>
      <c r="J100" s="2" t="s">
        <v>160</v>
      </c>
      <c r="K100" s="12">
        <f t="shared" si="2"/>
        <v>46036</v>
      </c>
      <c r="L100" s="12">
        <f t="shared" si="3"/>
        <v>46051</v>
      </c>
    </row>
    <row r="101" ht="15.75" hidden="1" customHeight="1">
      <c r="A101" s="4">
        <v>45985.0</v>
      </c>
      <c r="B101" s="2" t="s">
        <v>228</v>
      </c>
      <c r="C101" s="2" t="s">
        <v>303</v>
      </c>
      <c r="D101" s="2" t="s">
        <v>159</v>
      </c>
      <c r="E101" s="2">
        <v>0.0</v>
      </c>
      <c r="F101" s="2">
        <v>75.0</v>
      </c>
      <c r="G101" s="2">
        <v>75.0</v>
      </c>
      <c r="H101" s="8">
        <f t="shared" si="1"/>
        <v>0</v>
      </c>
      <c r="I101" s="2" t="b">
        <v>1</v>
      </c>
      <c r="J101" s="2" t="s">
        <v>160</v>
      </c>
      <c r="K101" s="12">
        <f t="shared" si="2"/>
        <v>46000</v>
      </c>
      <c r="L101" s="12">
        <f t="shared" si="3"/>
        <v>46015</v>
      </c>
    </row>
    <row r="102" ht="15.75" hidden="1" customHeight="1">
      <c r="A102" s="4">
        <v>46021.0</v>
      </c>
      <c r="B102" s="2" t="s">
        <v>298</v>
      </c>
      <c r="C102" s="2" t="s">
        <v>222</v>
      </c>
      <c r="D102" s="2" t="s">
        <v>159</v>
      </c>
      <c r="E102" s="2">
        <v>0.0</v>
      </c>
      <c r="F102" s="2">
        <v>5.0</v>
      </c>
      <c r="G102" s="2">
        <v>0.0</v>
      </c>
      <c r="H102" s="8">
        <f t="shared" si="1"/>
        <v>5</v>
      </c>
      <c r="I102" s="8" t="b">
        <v>0</v>
      </c>
      <c r="J102" s="2" t="s">
        <v>160</v>
      </c>
      <c r="K102" s="12">
        <f t="shared" si="2"/>
        <v>46036</v>
      </c>
      <c r="L102" s="12">
        <f t="shared" si="3"/>
        <v>46051</v>
      </c>
    </row>
    <row r="103" ht="15.75" hidden="1" customHeight="1">
      <c r="A103" s="4">
        <v>46021.0</v>
      </c>
      <c r="B103" s="2" t="s">
        <v>298</v>
      </c>
      <c r="C103" s="2" t="s">
        <v>304</v>
      </c>
      <c r="D103" s="2" t="s">
        <v>159</v>
      </c>
      <c r="E103" s="2">
        <v>0.0</v>
      </c>
      <c r="F103" s="2">
        <v>10.0</v>
      </c>
      <c r="G103" s="2">
        <v>0.0</v>
      </c>
      <c r="H103" s="8">
        <f t="shared" si="1"/>
        <v>10</v>
      </c>
      <c r="I103" s="8" t="b">
        <v>0</v>
      </c>
      <c r="J103" s="2" t="s">
        <v>160</v>
      </c>
      <c r="K103" s="12">
        <f t="shared" si="2"/>
        <v>46036</v>
      </c>
      <c r="L103" s="12">
        <f t="shared" si="3"/>
        <v>46051</v>
      </c>
    </row>
    <row r="104" ht="15.75" hidden="1" customHeight="1">
      <c r="A104" s="4">
        <v>45929.0</v>
      </c>
      <c r="B104" s="2" t="s">
        <v>180</v>
      </c>
      <c r="C104" s="2" t="s">
        <v>305</v>
      </c>
      <c r="D104" s="2" t="s">
        <v>113</v>
      </c>
      <c r="E104" s="2">
        <v>0.0</v>
      </c>
      <c r="F104" s="2">
        <v>45.0</v>
      </c>
      <c r="G104" s="2">
        <v>45.0</v>
      </c>
      <c r="H104" s="8">
        <f t="shared" si="1"/>
        <v>0</v>
      </c>
      <c r="I104" s="8" t="b">
        <v>0</v>
      </c>
      <c r="J104" s="2" t="s">
        <v>160</v>
      </c>
      <c r="K104" s="12">
        <f t="shared" si="2"/>
        <v>45944</v>
      </c>
      <c r="L104" s="12">
        <f t="shared" si="3"/>
        <v>45959</v>
      </c>
    </row>
    <row r="105" ht="15.75" hidden="1" customHeight="1">
      <c r="A105" s="4">
        <v>45974.0</v>
      </c>
      <c r="B105" s="2" t="s">
        <v>208</v>
      </c>
      <c r="C105" s="2" t="s">
        <v>306</v>
      </c>
      <c r="D105" s="2" t="s">
        <v>159</v>
      </c>
      <c r="E105" s="2">
        <v>0.0</v>
      </c>
      <c r="F105" s="2">
        <v>110.0</v>
      </c>
      <c r="G105" s="2">
        <v>110.0</v>
      </c>
      <c r="H105" s="8">
        <f t="shared" si="1"/>
        <v>0</v>
      </c>
      <c r="I105" s="2" t="b">
        <v>1</v>
      </c>
      <c r="J105" s="2" t="s">
        <v>160</v>
      </c>
      <c r="K105" s="12">
        <f t="shared" si="2"/>
        <v>45989</v>
      </c>
      <c r="L105" s="12">
        <f t="shared" si="3"/>
        <v>46004</v>
      </c>
    </row>
    <row r="106" ht="15.75" hidden="1" customHeight="1">
      <c r="A106" s="4">
        <v>45943.0</v>
      </c>
      <c r="B106" s="2" t="s">
        <v>180</v>
      </c>
      <c r="C106" s="2" t="s">
        <v>307</v>
      </c>
      <c r="D106" s="2" t="s">
        <v>115</v>
      </c>
      <c r="E106" s="2">
        <v>174.0</v>
      </c>
      <c r="F106" s="2">
        <v>65.0</v>
      </c>
      <c r="G106" s="2">
        <v>65.0</v>
      </c>
      <c r="H106" s="8">
        <f t="shared" si="1"/>
        <v>0</v>
      </c>
      <c r="I106" s="8" t="b">
        <v>0</v>
      </c>
      <c r="J106" s="2" t="s">
        <v>160</v>
      </c>
      <c r="K106" s="12">
        <f t="shared" si="2"/>
        <v>45958</v>
      </c>
      <c r="L106" s="12">
        <f t="shared" si="3"/>
        <v>45973</v>
      </c>
    </row>
    <row r="107" ht="15.75" hidden="1" customHeight="1">
      <c r="A107" s="4">
        <v>45981.0</v>
      </c>
      <c r="B107" s="2" t="s">
        <v>308</v>
      </c>
      <c r="C107" s="2" t="s">
        <v>309</v>
      </c>
      <c r="D107" s="2" t="s">
        <v>91</v>
      </c>
      <c r="E107" s="2">
        <v>65.0</v>
      </c>
      <c r="F107" s="2">
        <v>120.0</v>
      </c>
      <c r="G107" s="2">
        <v>120.0</v>
      </c>
      <c r="H107" s="8">
        <f t="shared" si="1"/>
        <v>0</v>
      </c>
      <c r="I107" s="2" t="b">
        <v>1</v>
      </c>
      <c r="J107" s="2" t="s">
        <v>160</v>
      </c>
      <c r="K107" s="12">
        <f t="shared" si="2"/>
        <v>45996</v>
      </c>
      <c r="L107" s="12">
        <f t="shared" si="3"/>
        <v>46011</v>
      </c>
    </row>
    <row r="108" ht="15.75" hidden="1" customHeight="1">
      <c r="A108" s="4">
        <v>45988.0</v>
      </c>
      <c r="B108" s="2" t="s">
        <v>125</v>
      </c>
      <c r="C108" s="2" t="s">
        <v>310</v>
      </c>
      <c r="D108" s="2" t="s">
        <v>159</v>
      </c>
      <c r="E108" s="2">
        <v>0.0</v>
      </c>
      <c r="F108" s="2">
        <v>55.0</v>
      </c>
      <c r="G108" s="2">
        <v>55.0</v>
      </c>
      <c r="H108" s="8">
        <f t="shared" si="1"/>
        <v>0</v>
      </c>
      <c r="I108" s="2" t="b">
        <v>0</v>
      </c>
      <c r="J108" s="2" t="s">
        <v>160</v>
      </c>
      <c r="K108" s="12">
        <f t="shared" si="2"/>
        <v>46003</v>
      </c>
      <c r="L108" s="12">
        <f t="shared" si="3"/>
        <v>46018</v>
      </c>
    </row>
    <row r="109" ht="15.75" hidden="1" customHeight="1">
      <c r="A109" s="4">
        <v>46015.0</v>
      </c>
      <c r="B109" s="2" t="s">
        <v>311</v>
      </c>
      <c r="C109" s="2" t="s">
        <v>312</v>
      </c>
      <c r="D109" s="2" t="s">
        <v>159</v>
      </c>
      <c r="E109" s="2">
        <v>0.0</v>
      </c>
      <c r="F109" s="2">
        <v>150.0</v>
      </c>
      <c r="G109" s="2">
        <v>150.0</v>
      </c>
      <c r="H109" s="8">
        <f t="shared" si="1"/>
        <v>0</v>
      </c>
      <c r="I109" s="2" t="b">
        <v>1</v>
      </c>
      <c r="J109" s="2" t="s">
        <v>160</v>
      </c>
      <c r="K109" s="12">
        <f t="shared" si="2"/>
        <v>46030</v>
      </c>
      <c r="L109" s="12">
        <f t="shared" si="3"/>
        <v>46045</v>
      </c>
    </row>
    <row r="110" ht="15.75" hidden="1" customHeight="1">
      <c r="A110" s="4">
        <v>46015.0</v>
      </c>
      <c r="B110" s="2" t="s">
        <v>226</v>
      </c>
      <c r="C110" s="2" t="s">
        <v>313</v>
      </c>
      <c r="D110" s="2" t="s">
        <v>159</v>
      </c>
      <c r="E110" s="2">
        <v>0.0</v>
      </c>
      <c r="F110" s="2">
        <v>155.0</v>
      </c>
      <c r="G110" s="2">
        <v>155.0</v>
      </c>
      <c r="H110" s="8">
        <f t="shared" si="1"/>
        <v>0</v>
      </c>
      <c r="I110" s="2" t="b">
        <v>1</v>
      </c>
      <c r="J110" s="2" t="s">
        <v>160</v>
      </c>
      <c r="K110" s="12">
        <f t="shared" si="2"/>
        <v>46030</v>
      </c>
      <c r="L110" s="12">
        <f t="shared" si="3"/>
        <v>46045</v>
      </c>
    </row>
    <row r="111" ht="15.75" hidden="1" customHeight="1">
      <c r="A111" s="4">
        <v>45987.0</v>
      </c>
      <c r="B111" s="2" t="s">
        <v>314</v>
      </c>
      <c r="C111" s="2" t="s">
        <v>315</v>
      </c>
      <c r="D111" s="2" t="s">
        <v>159</v>
      </c>
      <c r="E111" s="2">
        <v>0.0</v>
      </c>
      <c r="F111" s="2">
        <v>10.0</v>
      </c>
      <c r="G111" s="2">
        <v>0.0</v>
      </c>
      <c r="H111" s="8">
        <f t="shared" si="1"/>
        <v>10</v>
      </c>
      <c r="I111" s="8" t="b">
        <v>0</v>
      </c>
      <c r="J111" s="2" t="s">
        <v>160</v>
      </c>
      <c r="K111" s="12">
        <f t="shared" si="2"/>
        <v>46002</v>
      </c>
      <c r="L111" s="12">
        <f t="shared" si="3"/>
        <v>46017</v>
      </c>
    </row>
    <row r="112" ht="15.75" hidden="1" customHeight="1">
      <c r="A112" s="4">
        <v>45987.0</v>
      </c>
      <c r="B112" s="2" t="s">
        <v>314</v>
      </c>
      <c r="C112" s="2" t="s">
        <v>316</v>
      </c>
      <c r="D112" s="2" t="s">
        <v>159</v>
      </c>
      <c r="E112" s="2">
        <v>0.0</v>
      </c>
      <c r="F112" s="2">
        <v>12.0</v>
      </c>
      <c r="G112" s="2">
        <v>0.0</v>
      </c>
      <c r="H112" s="8">
        <f t="shared" si="1"/>
        <v>12</v>
      </c>
      <c r="I112" s="8" t="b">
        <v>0</v>
      </c>
      <c r="J112" s="2" t="s">
        <v>160</v>
      </c>
      <c r="K112" s="12">
        <f t="shared" si="2"/>
        <v>46002</v>
      </c>
      <c r="L112" s="12">
        <f t="shared" si="3"/>
        <v>46017</v>
      </c>
    </row>
    <row r="113" ht="15.75" hidden="1" customHeight="1">
      <c r="A113" s="4">
        <v>45993.0</v>
      </c>
      <c r="B113" s="2" t="s">
        <v>314</v>
      </c>
      <c r="C113" s="2" t="s">
        <v>317</v>
      </c>
      <c r="D113" s="2" t="s">
        <v>159</v>
      </c>
      <c r="E113" s="2">
        <v>0.0</v>
      </c>
      <c r="F113" s="2">
        <v>30.0</v>
      </c>
      <c r="G113" s="2">
        <v>0.0</v>
      </c>
      <c r="H113" s="8">
        <f t="shared" si="1"/>
        <v>30</v>
      </c>
      <c r="I113" s="8" t="b">
        <v>0</v>
      </c>
      <c r="J113" s="2" t="s">
        <v>160</v>
      </c>
      <c r="K113" s="12">
        <f t="shared" si="2"/>
        <v>46008</v>
      </c>
      <c r="L113" s="12">
        <f t="shared" si="3"/>
        <v>46023</v>
      </c>
    </row>
    <row r="114" ht="15.75" hidden="1" customHeight="1">
      <c r="A114" s="4">
        <v>45927.0</v>
      </c>
      <c r="B114" s="2" t="s">
        <v>176</v>
      </c>
      <c r="C114" s="2" t="s">
        <v>318</v>
      </c>
      <c r="D114" s="2" t="s">
        <v>159</v>
      </c>
      <c r="E114" s="2">
        <v>0.0</v>
      </c>
      <c r="F114" s="2">
        <v>95.0</v>
      </c>
      <c r="G114" s="2">
        <v>95.0</v>
      </c>
      <c r="H114" s="8">
        <f t="shared" si="1"/>
        <v>0</v>
      </c>
      <c r="I114" s="2" t="b">
        <v>1</v>
      </c>
      <c r="J114" s="2" t="s">
        <v>160</v>
      </c>
      <c r="K114" s="12">
        <f t="shared" si="2"/>
        <v>45942</v>
      </c>
      <c r="L114" s="12">
        <f t="shared" si="3"/>
        <v>45957</v>
      </c>
    </row>
    <row r="115" ht="15.75" hidden="1" customHeight="1">
      <c r="A115" s="4">
        <v>45917.0</v>
      </c>
      <c r="B115" s="2" t="s">
        <v>176</v>
      </c>
      <c r="C115" s="2" t="s">
        <v>319</v>
      </c>
      <c r="D115" s="2" t="s">
        <v>159</v>
      </c>
      <c r="E115" s="2">
        <v>0.0</v>
      </c>
      <c r="F115" s="2">
        <v>60.0</v>
      </c>
      <c r="G115" s="2">
        <v>60.0</v>
      </c>
      <c r="H115" s="8">
        <f t="shared" si="1"/>
        <v>0</v>
      </c>
      <c r="I115" s="2" t="b">
        <v>1</v>
      </c>
      <c r="J115" s="2" t="s">
        <v>160</v>
      </c>
      <c r="K115" s="12">
        <f t="shared" si="2"/>
        <v>45932</v>
      </c>
      <c r="L115" s="12">
        <f t="shared" si="3"/>
        <v>45947</v>
      </c>
    </row>
    <row r="116" ht="15.75" hidden="1" customHeight="1">
      <c r="A116" s="255">
        <v>45931.0</v>
      </c>
      <c r="B116" s="2" t="s">
        <v>123</v>
      </c>
      <c r="C116" s="2" t="s">
        <v>320</v>
      </c>
      <c r="D116" s="2" t="s">
        <v>159</v>
      </c>
      <c r="E116" s="2"/>
      <c r="F116" s="2">
        <v>5.0</v>
      </c>
      <c r="G116" s="2">
        <v>5.0</v>
      </c>
      <c r="H116" s="8">
        <f t="shared" si="1"/>
        <v>0</v>
      </c>
      <c r="I116" s="2" t="b">
        <v>1</v>
      </c>
      <c r="J116" s="2" t="s">
        <v>160</v>
      </c>
      <c r="K116" s="5">
        <f t="shared" si="2"/>
        <v>45946</v>
      </c>
      <c r="L116" s="5">
        <f t="shared" si="3"/>
        <v>45961</v>
      </c>
    </row>
    <row r="117" ht="15.75" hidden="1" customHeight="1">
      <c r="A117" s="4">
        <v>45994.0</v>
      </c>
      <c r="B117" s="2" t="s">
        <v>321</v>
      </c>
      <c r="C117" s="2" t="s">
        <v>322</v>
      </c>
      <c r="D117" s="2" t="s">
        <v>159</v>
      </c>
      <c r="E117" s="2">
        <v>0.0</v>
      </c>
      <c r="F117" s="2">
        <v>35.0</v>
      </c>
      <c r="G117" s="2">
        <v>35.0</v>
      </c>
      <c r="H117" s="8">
        <f t="shared" si="1"/>
        <v>0</v>
      </c>
      <c r="I117" s="8" t="b">
        <v>0</v>
      </c>
      <c r="J117" s="2" t="s">
        <v>160</v>
      </c>
      <c r="K117" s="12">
        <f t="shared" si="2"/>
        <v>46009</v>
      </c>
      <c r="L117" s="12">
        <f t="shared" si="3"/>
        <v>46024</v>
      </c>
    </row>
    <row r="118" ht="15.75" hidden="1" customHeight="1">
      <c r="A118" s="4">
        <v>45985.0</v>
      </c>
      <c r="B118" s="2" t="s">
        <v>228</v>
      </c>
      <c r="C118" s="2" t="s">
        <v>323</v>
      </c>
      <c r="D118" s="2" t="s">
        <v>159</v>
      </c>
      <c r="E118" s="2">
        <v>0.0</v>
      </c>
      <c r="F118" s="2">
        <v>30.0</v>
      </c>
      <c r="G118" s="2">
        <v>30.0</v>
      </c>
      <c r="H118" s="8">
        <f t="shared" si="1"/>
        <v>0</v>
      </c>
      <c r="I118" s="2" t="b">
        <v>1</v>
      </c>
      <c r="J118" s="2" t="s">
        <v>160</v>
      </c>
      <c r="K118" s="12">
        <f t="shared" si="2"/>
        <v>46000</v>
      </c>
      <c r="L118" s="12">
        <f t="shared" si="3"/>
        <v>46015</v>
      </c>
    </row>
    <row r="119" ht="15.75" hidden="1" customHeight="1">
      <c r="A119" s="4">
        <v>45994.0</v>
      </c>
      <c r="B119" s="2" t="s">
        <v>321</v>
      </c>
      <c r="C119" s="2" t="s">
        <v>324</v>
      </c>
      <c r="D119" s="2" t="s">
        <v>159</v>
      </c>
      <c r="E119" s="2">
        <v>0.0</v>
      </c>
      <c r="F119" s="2">
        <v>50.0</v>
      </c>
      <c r="G119" s="2">
        <v>50.0</v>
      </c>
      <c r="H119" s="8">
        <f t="shared" si="1"/>
        <v>0</v>
      </c>
      <c r="I119" s="8" t="b">
        <v>0</v>
      </c>
      <c r="J119" s="2" t="s">
        <v>160</v>
      </c>
      <c r="K119" s="12">
        <f t="shared" si="2"/>
        <v>46009</v>
      </c>
      <c r="L119" s="12">
        <f t="shared" si="3"/>
        <v>46024</v>
      </c>
    </row>
    <row r="120" ht="15.75" hidden="1" customHeight="1">
      <c r="A120" s="4">
        <v>45973.0</v>
      </c>
      <c r="B120" s="2" t="s">
        <v>325</v>
      </c>
      <c r="C120" s="2" t="s">
        <v>326</v>
      </c>
      <c r="D120" s="2" t="s">
        <v>159</v>
      </c>
      <c r="E120" s="2">
        <v>0.0</v>
      </c>
      <c r="F120" s="2">
        <v>100.0</v>
      </c>
      <c r="G120" s="2">
        <v>100.0</v>
      </c>
      <c r="H120" s="8">
        <f t="shared" si="1"/>
        <v>0</v>
      </c>
      <c r="I120" s="2" t="b">
        <v>1</v>
      </c>
      <c r="J120" s="2" t="s">
        <v>160</v>
      </c>
      <c r="K120" s="12">
        <f t="shared" si="2"/>
        <v>45988</v>
      </c>
      <c r="L120" s="12">
        <f t="shared" si="3"/>
        <v>46003</v>
      </c>
    </row>
    <row r="121" ht="15.75" hidden="1" customHeight="1">
      <c r="A121" s="4">
        <v>45997.0</v>
      </c>
      <c r="B121" s="2" t="s">
        <v>321</v>
      </c>
      <c r="C121" s="2" t="s">
        <v>327</v>
      </c>
      <c r="D121" s="2" t="s">
        <v>166</v>
      </c>
      <c r="E121" s="2">
        <v>287.0</v>
      </c>
      <c r="F121" s="2">
        <v>320.0</v>
      </c>
      <c r="G121" s="2">
        <v>200.0</v>
      </c>
      <c r="H121" s="8">
        <f t="shared" si="1"/>
        <v>120</v>
      </c>
      <c r="I121" s="8" t="b">
        <v>0</v>
      </c>
      <c r="J121" s="2" t="s">
        <v>164</v>
      </c>
      <c r="K121" s="12">
        <f t="shared" si="2"/>
        <v>46012</v>
      </c>
      <c r="L121" s="12">
        <f t="shared" si="3"/>
        <v>46027</v>
      </c>
    </row>
    <row r="122" ht="15.75" hidden="1" customHeight="1">
      <c r="A122" s="4">
        <v>45997.0</v>
      </c>
      <c r="B122" s="2" t="s">
        <v>321</v>
      </c>
      <c r="C122" s="2" t="s">
        <v>328</v>
      </c>
      <c r="D122" s="2" t="s">
        <v>166</v>
      </c>
      <c r="E122" s="2">
        <v>342.0</v>
      </c>
      <c r="F122" s="2">
        <v>140.0</v>
      </c>
      <c r="G122" s="2">
        <v>100.0</v>
      </c>
      <c r="H122" s="8">
        <f t="shared" si="1"/>
        <v>40</v>
      </c>
      <c r="I122" s="8" t="b">
        <v>0</v>
      </c>
      <c r="J122" s="2" t="s">
        <v>164</v>
      </c>
      <c r="K122" s="12">
        <f t="shared" si="2"/>
        <v>46012</v>
      </c>
      <c r="L122" s="12">
        <f t="shared" si="3"/>
        <v>46027</v>
      </c>
    </row>
    <row r="123" ht="15.75" hidden="1" customHeight="1">
      <c r="A123" s="4">
        <v>46003.0</v>
      </c>
      <c r="B123" s="2" t="s">
        <v>321</v>
      </c>
      <c r="C123" s="2" t="s">
        <v>329</v>
      </c>
      <c r="D123" s="2" t="s">
        <v>159</v>
      </c>
      <c r="E123" s="2">
        <v>0.0</v>
      </c>
      <c r="F123" s="2">
        <v>75.0</v>
      </c>
      <c r="G123" s="2">
        <v>75.0</v>
      </c>
      <c r="H123" s="8">
        <f t="shared" si="1"/>
        <v>0</v>
      </c>
      <c r="I123" s="8" t="b">
        <v>0</v>
      </c>
      <c r="J123" s="2" t="s">
        <v>160</v>
      </c>
      <c r="K123" s="12">
        <f t="shared" si="2"/>
        <v>46018</v>
      </c>
      <c r="L123" s="12">
        <f t="shared" si="3"/>
        <v>46033</v>
      </c>
    </row>
    <row r="124" ht="15.75" hidden="1" customHeight="1">
      <c r="A124" s="4">
        <v>46014.0</v>
      </c>
      <c r="B124" s="2" t="s">
        <v>238</v>
      </c>
      <c r="C124" s="2" t="s">
        <v>330</v>
      </c>
      <c r="D124" s="2" t="s">
        <v>159</v>
      </c>
      <c r="E124" s="2">
        <v>0.0</v>
      </c>
      <c r="F124" s="2">
        <v>75.0</v>
      </c>
      <c r="G124" s="2">
        <v>75.0</v>
      </c>
      <c r="H124" s="8">
        <f t="shared" si="1"/>
        <v>0</v>
      </c>
      <c r="I124" s="2" t="b">
        <v>1</v>
      </c>
      <c r="J124" s="2" t="s">
        <v>160</v>
      </c>
      <c r="K124" s="12">
        <f t="shared" si="2"/>
        <v>46029</v>
      </c>
      <c r="L124" s="12">
        <f t="shared" si="3"/>
        <v>46044</v>
      </c>
    </row>
    <row r="125" ht="15.75" hidden="1" customHeight="1">
      <c r="A125" s="4">
        <v>46003.0</v>
      </c>
      <c r="B125" s="2" t="s">
        <v>321</v>
      </c>
      <c r="C125" s="2" t="s">
        <v>331</v>
      </c>
      <c r="D125" s="2" t="s">
        <v>159</v>
      </c>
      <c r="E125" s="2">
        <v>0.0</v>
      </c>
      <c r="F125" s="2">
        <v>75.0</v>
      </c>
      <c r="G125" s="2">
        <v>75.0</v>
      </c>
      <c r="H125" s="8">
        <f t="shared" si="1"/>
        <v>0</v>
      </c>
      <c r="I125" s="8" t="b">
        <v>0</v>
      </c>
      <c r="J125" s="2" t="s">
        <v>160</v>
      </c>
      <c r="K125" s="12">
        <f t="shared" si="2"/>
        <v>46018</v>
      </c>
      <c r="L125" s="12">
        <f t="shared" si="3"/>
        <v>46033</v>
      </c>
    </row>
    <row r="126" ht="15.75" hidden="1" customHeight="1">
      <c r="A126" s="4">
        <v>45914.0</v>
      </c>
      <c r="B126" s="2" t="s">
        <v>134</v>
      </c>
      <c r="C126" s="2" t="s">
        <v>332</v>
      </c>
      <c r="D126" s="2" t="s">
        <v>159</v>
      </c>
      <c r="E126" s="2">
        <v>0.0</v>
      </c>
      <c r="F126" s="2">
        <v>90.0</v>
      </c>
      <c r="G126" s="2">
        <v>90.0</v>
      </c>
      <c r="H126" s="8">
        <f t="shared" si="1"/>
        <v>0</v>
      </c>
      <c r="I126" s="8" t="b">
        <v>0</v>
      </c>
      <c r="J126" s="2" t="s">
        <v>160</v>
      </c>
      <c r="K126" s="12">
        <f t="shared" si="2"/>
        <v>45929</v>
      </c>
      <c r="L126" s="12">
        <f t="shared" si="3"/>
        <v>45944</v>
      </c>
    </row>
    <row r="127" ht="15.75" hidden="1" customHeight="1">
      <c r="A127" s="4">
        <v>45914.0</v>
      </c>
      <c r="B127" s="2" t="s">
        <v>134</v>
      </c>
      <c r="C127" s="2" t="s">
        <v>333</v>
      </c>
      <c r="D127" s="2" t="s">
        <v>91</v>
      </c>
      <c r="E127" s="2">
        <v>0.0</v>
      </c>
      <c r="F127" s="2">
        <v>130.0</v>
      </c>
      <c r="G127" s="2">
        <v>130.0</v>
      </c>
      <c r="H127" s="8">
        <f t="shared" si="1"/>
        <v>0</v>
      </c>
      <c r="I127" s="8" t="b">
        <v>0</v>
      </c>
      <c r="J127" s="2" t="s">
        <v>160</v>
      </c>
      <c r="K127" s="12">
        <f t="shared" si="2"/>
        <v>45929</v>
      </c>
      <c r="L127" s="12">
        <f t="shared" si="3"/>
        <v>45944</v>
      </c>
    </row>
    <row r="128" ht="15.75" hidden="1" customHeight="1">
      <c r="A128" s="4">
        <v>45915.0</v>
      </c>
      <c r="B128" s="2" t="s">
        <v>134</v>
      </c>
      <c r="C128" s="2" t="s">
        <v>334</v>
      </c>
      <c r="D128" s="2" t="s">
        <v>159</v>
      </c>
      <c r="E128" s="2">
        <v>0.0</v>
      </c>
      <c r="F128" s="2">
        <v>21.0</v>
      </c>
      <c r="G128" s="2">
        <v>21.0</v>
      </c>
      <c r="H128" s="8">
        <f t="shared" si="1"/>
        <v>0</v>
      </c>
      <c r="I128" s="8" t="b">
        <v>0</v>
      </c>
      <c r="J128" s="2" t="s">
        <v>160</v>
      </c>
      <c r="K128" s="12">
        <f t="shared" si="2"/>
        <v>45930</v>
      </c>
      <c r="L128" s="12">
        <f t="shared" si="3"/>
        <v>45945</v>
      </c>
    </row>
    <row r="129" ht="15.75" hidden="1" customHeight="1">
      <c r="A129" s="4">
        <v>45932.0</v>
      </c>
      <c r="B129" s="2" t="s">
        <v>134</v>
      </c>
      <c r="C129" s="2" t="s">
        <v>335</v>
      </c>
      <c r="D129" s="2" t="s">
        <v>336</v>
      </c>
      <c r="E129" s="2">
        <v>165.0</v>
      </c>
      <c r="F129" s="2">
        <v>45.0</v>
      </c>
      <c r="G129" s="2">
        <v>45.0</v>
      </c>
      <c r="H129" s="8">
        <f t="shared" si="1"/>
        <v>0</v>
      </c>
      <c r="I129" s="8" t="b">
        <v>0</v>
      </c>
      <c r="J129" s="2" t="s">
        <v>160</v>
      </c>
      <c r="K129" s="12">
        <f t="shared" si="2"/>
        <v>45947</v>
      </c>
      <c r="L129" s="12">
        <f t="shared" si="3"/>
        <v>45962</v>
      </c>
    </row>
    <row r="130" ht="15.75" hidden="1" customHeight="1">
      <c r="A130" s="4">
        <v>45932.0</v>
      </c>
      <c r="B130" s="2" t="s">
        <v>134</v>
      </c>
      <c r="C130" s="2" t="s">
        <v>337</v>
      </c>
      <c r="D130" s="2" t="s">
        <v>115</v>
      </c>
      <c r="E130" s="2">
        <v>165.0</v>
      </c>
      <c r="F130" s="2">
        <v>45.0</v>
      </c>
      <c r="G130" s="2">
        <v>45.0</v>
      </c>
      <c r="H130" s="8">
        <f t="shared" si="1"/>
        <v>0</v>
      </c>
      <c r="I130" s="8" t="b">
        <v>0</v>
      </c>
      <c r="J130" s="2" t="s">
        <v>160</v>
      </c>
      <c r="K130" s="12">
        <f t="shared" si="2"/>
        <v>45947</v>
      </c>
      <c r="L130" s="12">
        <f t="shared" si="3"/>
        <v>45962</v>
      </c>
    </row>
    <row r="131" ht="15.75" hidden="1" customHeight="1">
      <c r="A131" s="4">
        <v>45981.0</v>
      </c>
      <c r="B131" s="2" t="s">
        <v>123</v>
      </c>
      <c r="C131" s="2" t="s">
        <v>338</v>
      </c>
      <c r="D131" s="2" t="s">
        <v>159</v>
      </c>
      <c r="E131" s="2">
        <v>0.0</v>
      </c>
      <c r="F131" s="2">
        <v>25.0</v>
      </c>
      <c r="G131" s="2">
        <v>25.0</v>
      </c>
      <c r="H131" s="8">
        <f t="shared" si="1"/>
        <v>0</v>
      </c>
      <c r="I131" s="2" t="b">
        <v>1</v>
      </c>
      <c r="J131" s="2" t="s">
        <v>160</v>
      </c>
      <c r="K131" s="12">
        <f t="shared" si="2"/>
        <v>45996</v>
      </c>
      <c r="L131" s="12">
        <f t="shared" si="3"/>
        <v>46011</v>
      </c>
    </row>
    <row r="132" ht="15.75" hidden="1" customHeight="1">
      <c r="A132" s="4">
        <v>45914.0</v>
      </c>
      <c r="B132" s="2" t="s">
        <v>292</v>
      </c>
      <c r="C132" s="2" t="s">
        <v>339</v>
      </c>
      <c r="D132" s="2" t="s">
        <v>91</v>
      </c>
      <c r="E132" s="2">
        <v>48.0</v>
      </c>
      <c r="F132" s="2">
        <v>55.0</v>
      </c>
      <c r="G132" s="2">
        <v>55.0</v>
      </c>
      <c r="H132" s="8">
        <f t="shared" si="1"/>
        <v>0</v>
      </c>
      <c r="I132" s="2" t="b">
        <v>1</v>
      </c>
      <c r="J132" s="2" t="s">
        <v>160</v>
      </c>
      <c r="K132" s="12">
        <f t="shared" si="2"/>
        <v>45929</v>
      </c>
      <c r="L132" s="12">
        <f t="shared" si="3"/>
        <v>45944</v>
      </c>
    </row>
    <row r="133" ht="15.75" hidden="1" customHeight="1">
      <c r="A133" s="4">
        <v>46009.0</v>
      </c>
      <c r="B133" s="2" t="s">
        <v>230</v>
      </c>
      <c r="C133" s="2" t="s">
        <v>340</v>
      </c>
      <c r="D133" s="2" t="s">
        <v>159</v>
      </c>
      <c r="E133" s="2">
        <v>0.0</v>
      </c>
      <c r="F133" s="2">
        <v>51.5</v>
      </c>
      <c r="G133" s="2">
        <v>51.5</v>
      </c>
      <c r="H133" s="8">
        <f t="shared" si="1"/>
        <v>0</v>
      </c>
      <c r="I133" s="2" t="b">
        <v>1</v>
      </c>
      <c r="J133" s="2" t="s">
        <v>160</v>
      </c>
      <c r="K133" s="12">
        <f t="shared" si="2"/>
        <v>46024</v>
      </c>
      <c r="L133" s="12">
        <f t="shared" si="3"/>
        <v>46039</v>
      </c>
    </row>
    <row r="134" ht="15.75" hidden="1" customHeight="1">
      <c r="A134" s="4">
        <v>46014.0</v>
      </c>
      <c r="B134" s="2" t="s">
        <v>238</v>
      </c>
      <c r="C134" s="2" t="s">
        <v>341</v>
      </c>
      <c r="D134" s="2" t="s">
        <v>159</v>
      </c>
      <c r="E134" s="2">
        <v>0.0</v>
      </c>
      <c r="F134" s="2">
        <v>75.0</v>
      </c>
      <c r="G134" s="2">
        <v>75.0</v>
      </c>
      <c r="H134" s="8">
        <f t="shared" si="1"/>
        <v>0</v>
      </c>
      <c r="I134" s="2" t="b">
        <v>1</v>
      </c>
      <c r="J134" s="2" t="s">
        <v>160</v>
      </c>
      <c r="K134" s="12">
        <f t="shared" si="2"/>
        <v>46029</v>
      </c>
      <c r="L134" s="12">
        <f t="shared" si="3"/>
        <v>46044</v>
      </c>
    </row>
    <row r="135" ht="15.75" hidden="1" customHeight="1">
      <c r="A135" s="4">
        <v>46012.0</v>
      </c>
      <c r="B135" s="2" t="s">
        <v>342</v>
      </c>
      <c r="C135" s="2" t="s">
        <v>343</v>
      </c>
      <c r="D135" s="2" t="s">
        <v>159</v>
      </c>
      <c r="E135" s="2">
        <v>0.0</v>
      </c>
      <c r="F135" s="2">
        <v>45.0</v>
      </c>
      <c r="G135" s="2">
        <v>45.0</v>
      </c>
      <c r="H135" s="8">
        <f t="shared" si="1"/>
        <v>0</v>
      </c>
      <c r="I135" s="2" t="b">
        <v>1</v>
      </c>
      <c r="J135" s="2" t="s">
        <v>160</v>
      </c>
      <c r="K135" s="12">
        <f t="shared" si="2"/>
        <v>46027</v>
      </c>
      <c r="L135" s="12">
        <f t="shared" si="3"/>
        <v>46042</v>
      </c>
    </row>
    <row r="136" ht="15.75" hidden="1" customHeight="1">
      <c r="A136" s="4">
        <v>45929.0</v>
      </c>
      <c r="B136" s="2" t="s">
        <v>344</v>
      </c>
      <c r="C136" s="2" t="s">
        <v>345</v>
      </c>
      <c r="D136" s="2" t="s">
        <v>113</v>
      </c>
      <c r="E136" s="2">
        <v>0.0</v>
      </c>
      <c r="F136" s="2">
        <v>50.0</v>
      </c>
      <c r="G136" s="2">
        <v>50.0</v>
      </c>
      <c r="H136" s="8">
        <f t="shared" si="1"/>
        <v>0</v>
      </c>
      <c r="I136" s="2" t="b">
        <v>1</v>
      </c>
      <c r="J136" s="2" t="s">
        <v>160</v>
      </c>
      <c r="K136" s="12">
        <f t="shared" si="2"/>
        <v>45944</v>
      </c>
      <c r="L136" s="12">
        <f t="shared" si="3"/>
        <v>45959</v>
      </c>
    </row>
    <row r="137" ht="15.75" hidden="1" customHeight="1">
      <c r="A137" s="4">
        <v>45957.0</v>
      </c>
      <c r="B137" s="2" t="s">
        <v>346</v>
      </c>
      <c r="C137" s="2" t="s">
        <v>347</v>
      </c>
      <c r="D137" s="2" t="s">
        <v>159</v>
      </c>
      <c r="E137" s="2">
        <v>0.0</v>
      </c>
      <c r="F137" s="2">
        <v>80.0</v>
      </c>
      <c r="G137" s="2">
        <v>80.0</v>
      </c>
      <c r="H137" s="8">
        <f t="shared" si="1"/>
        <v>0</v>
      </c>
      <c r="I137" s="2" t="b">
        <v>1</v>
      </c>
      <c r="J137" s="2" t="s">
        <v>160</v>
      </c>
      <c r="K137" s="12">
        <f t="shared" si="2"/>
        <v>45972</v>
      </c>
      <c r="L137" s="12">
        <f t="shared" si="3"/>
        <v>45987</v>
      </c>
    </row>
    <row r="138" ht="15.75" hidden="1" customHeight="1">
      <c r="A138" s="4">
        <v>45954.0</v>
      </c>
      <c r="B138" s="2" t="s">
        <v>176</v>
      </c>
      <c r="C138" s="2" t="s">
        <v>348</v>
      </c>
      <c r="D138" s="2" t="s">
        <v>113</v>
      </c>
      <c r="E138" s="2">
        <v>0.0</v>
      </c>
      <c r="F138" s="2">
        <v>50.0</v>
      </c>
      <c r="G138" s="2">
        <v>50.0</v>
      </c>
      <c r="H138" s="8">
        <f t="shared" si="1"/>
        <v>0</v>
      </c>
      <c r="I138" s="2" t="b">
        <v>1</v>
      </c>
      <c r="J138" s="2" t="s">
        <v>160</v>
      </c>
      <c r="K138" s="12">
        <f t="shared" si="2"/>
        <v>45969</v>
      </c>
      <c r="L138" s="12">
        <f t="shared" si="3"/>
        <v>45984</v>
      </c>
    </row>
    <row r="139" ht="15.75" hidden="1" customHeight="1">
      <c r="A139" s="4">
        <v>45925.0</v>
      </c>
      <c r="B139" s="2" t="s">
        <v>344</v>
      </c>
      <c r="C139" s="2" t="s">
        <v>349</v>
      </c>
      <c r="D139" s="2" t="s">
        <v>159</v>
      </c>
      <c r="E139" s="2"/>
      <c r="F139" s="2">
        <v>45.0</v>
      </c>
      <c r="G139" s="2">
        <v>45.0</v>
      </c>
      <c r="H139" s="8">
        <f t="shared" si="1"/>
        <v>0</v>
      </c>
      <c r="I139" s="2" t="b">
        <v>1</v>
      </c>
      <c r="J139" s="2" t="s">
        <v>160</v>
      </c>
      <c r="K139" s="12">
        <f t="shared" si="2"/>
        <v>45940</v>
      </c>
      <c r="L139" s="12">
        <f t="shared" si="3"/>
        <v>45955</v>
      </c>
    </row>
    <row r="140" ht="15.75" hidden="1" customHeight="1">
      <c r="A140" s="254">
        <v>45897.0</v>
      </c>
      <c r="B140" s="8" t="s">
        <v>350</v>
      </c>
      <c r="C140" s="8" t="s">
        <v>351</v>
      </c>
      <c r="D140" s="8" t="s">
        <v>159</v>
      </c>
      <c r="E140" s="2">
        <v>0.0</v>
      </c>
      <c r="F140" s="2">
        <v>42.0</v>
      </c>
      <c r="G140" s="2">
        <v>42.0</v>
      </c>
      <c r="H140" s="8">
        <f t="shared" si="1"/>
        <v>0</v>
      </c>
      <c r="I140" s="2" t="b">
        <v>1</v>
      </c>
      <c r="J140" s="2" t="s">
        <v>160</v>
      </c>
      <c r="K140" s="12">
        <f t="shared" si="2"/>
        <v>45912</v>
      </c>
      <c r="L140" s="12">
        <f t="shared" si="3"/>
        <v>45927</v>
      </c>
    </row>
    <row r="141" ht="15.75" hidden="1" customHeight="1">
      <c r="A141" s="4">
        <v>45936.0</v>
      </c>
      <c r="B141" s="2" t="s">
        <v>134</v>
      </c>
      <c r="C141" s="2" t="s">
        <v>352</v>
      </c>
      <c r="D141" s="2" t="s">
        <v>115</v>
      </c>
      <c r="E141" s="2">
        <v>172.0</v>
      </c>
      <c r="F141" s="2">
        <v>260.0</v>
      </c>
      <c r="G141" s="2">
        <v>260.0</v>
      </c>
      <c r="H141" s="8">
        <f t="shared" si="1"/>
        <v>0</v>
      </c>
      <c r="I141" s="8" t="b">
        <v>0</v>
      </c>
      <c r="J141" s="2" t="s">
        <v>160</v>
      </c>
      <c r="K141" s="12">
        <f t="shared" si="2"/>
        <v>45951</v>
      </c>
      <c r="L141" s="12">
        <f t="shared" si="3"/>
        <v>45966</v>
      </c>
    </row>
    <row r="142" ht="15.75" hidden="1" customHeight="1">
      <c r="A142" s="4">
        <v>45977.0</v>
      </c>
      <c r="B142" s="2" t="s">
        <v>269</v>
      </c>
      <c r="C142" s="2" t="s">
        <v>353</v>
      </c>
      <c r="D142" s="2" t="s">
        <v>159</v>
      </c>
      <c r="E142" s="2">
        <v>0.0</v>
      </c>
      <c r="F142" s="2">
        <v>25.0</v>
      </c>
      <c r="G142" s="2">
        <v>25.0</v>
      </c>
      <c r="H142" s="8">
        <f t="shared" si="1"/>
        <v>0</v>
      </c>
      <c r="I142" s="2" t="b">
        <v>1</v>
      </c>
      <c r="J142" s="2" t="s">
        <v>160</v>
      </c>
      <c r="K142" s="12">
        <f t="shared" si="2"/>
        <v>45992</v>
      </c>
      <c r="L142" s="12">
        <f t="shared" si="3"/>
        <v>46007</v>
      </c>
    </row>
    <row r="143" ht="15.75" hidden="1" customHeight="1">
      <c r="A143" s="4">
        <v>45940.0</v>
      </c>
      <c r="B143" s="2" t="s">
        <v>134</v>
      </c>
      <c r="C143" s="2" t="s">
        <v>354</v>
      </c>
      <c r="D143" s="2" t="s">
        <v>163</v>
      </c>
      <c r="E143" s="2">
        <v>201.0</v>
      </c>
      <c r="F143" s="2">
        <v>1050.0</v>
      </c>
      <c r="G143" s="2">
        <f>715</f>
        <v>715</v>
      </c>
      <c r="H143" s="8">
        <f t="shared" si="1"/>
        <v>335</v>
      </c>
      <c r="I143" s="8" t="b">
        <v>0</v>
      </c>
      <c r="J143" s="2" t="s">
        <v>164</v>
      </c>
      <c r="K143" s="12">
        <f t="shared" si="2"/>
        <v>45955</v>
      </c>
      <c r="L143" s="12">
        <f t="shared" si="3"/>
        <v>45970</v>
      </c>
    </row>
    <row r="144" ht="15.75" hidden="1" customHeight="1">
      <c r="A144" s="4">
        <v>45941.0</v>
      </c>
      <c r="B144" s="2" t="s">
        <v>134</v>
      </c>
      <c r="C144" s="2" t="s">
        <v>355</v>
      </c>
      <c r="D144" s="2" t="s">
        <v>159</v>
      </c>
      <c r="E144" s="2">
        <v>0.0</v>
      </c>
      <c r="F144" s="2">
        <v>40.0</v>
      </c>
      <c r="G144" s="2">
        <v>40.0</v>
      </c>
      <c r="H144" s="8">
        <f t="shared" si="1"/>
        <v>0</v>
      </c>
      <c r="I144" s="8" t="b">
        <v>0</v>
      </c>
      <c r="J144" s="2" t="s">
        <v>160</v>
      </c>
      <c r="K144" s="12">
        <f t="shared" si="2"/>
        <v>45956</v>
      </c>
      <c r="L144" s="12">
        <f t="shared" si="3"/>
        <v>45971</v>
      </c>
    </row>
    <row r="145" ht="15.75" hidden="1" customHeight="1">
      <c r="A145" s="4">
        <v>45951.0</v>
      </c>
      <c r="B145" s="2" t="s">
        <v>134</v>
      </c>
      <c r="C145" s="2" t="s">
        <v>205</v>
      </c>
      <c r="D145" s="2" t="s">
        <v>115</v>
      </c>
      <c r="E145" s="2">
        <v>165.0</v>
      </c>
      <c r="F145" s="2">
        <v>45.0</v>
      </c>
      <c r="G145" s="2">
        <v>45.0</v>
      </c>
      <c r="H145" s="8">
        <f t="shared" si="1"/>
        <v>0</v>
      </c>
      <c r="I145" s="8" t="b">
        <v>0</v>
      </c>
      <c r="J145" s="2" t="s">
        <v>160</v>
      </c>
      <c r="K145" s="12">
        <f t="shared" si="2"/>
        <v>45966</v>
      </c>
      <c r="L145" s="12">
        <f t="shared" si="3"/>
        <v>45981</v>
      </c>
    </row>
    <row r="146" ht="15.75" hidden="1" customHeight="1">
      <c r="A146" s="4">
        <v>45925.0</v>
      </c>
      <c r="B146" s="2" t="s">
        <v>356</v>
      </c>
      <c r="C146" s="2" t="s">
        <v>357</v>
      </c>
      <c r="D146" s="2" t="s">
        <v>159</v>
      </c>
      <c r="E146" s="2"/>
      <c r="F146" s="2">
        <v>120.0</v>
      </c>
      <c r="G146" s="2">
        <v>120.0</v>
      </c>
      <c r="H146" s="8">
        <f t="shared" si="1"/>
        <v>0</v>
      </c>
      <c r="I146" s="2" t="b">
        <v>1</v>
      </c>
      <c r="J146" s="2" t="s">
        <v>160</v>
      </c>
      <c r="K146" s="12">
        <f t="shared" si="2"/>
        <v>45940</v>
      </c>
      <c r="L146" s="12">
        <f t="shared" si="3"/>
        <v>45955</v>
      </c>
    </row>
    <row r="147" ht="15.75" hidden="1" customHeight="1">
      <c r="A147" s="4">
        <v>45988.0</v>
      </c>
      <c r="B147" s="2" t="s">
        <v>269</v>
      </c>
      <c r="C147" s="2" t="s">
        <v>358</v>
      </c>
      <c r="D147" s="2" t="s">
        <v>159</v>
      </c>
      <c r="E147" s="2">
        <v>0.0</v>
      </c>
      <c r="F147" s="2">
        <v>30.0</v>
      </c>
      <c r="G147" s="2">
        <v>30.0</v>
      </c>
      <c r="H147" s="8">
        <f t="shared" si="1"/>
        <v>0</v>
      </c>
      <c r="I147" s="2" t="b">
        <v>1</v>
      </c>
      <c r="J147" s="2" t="s">
        <v>160</v>
      </c>
      <c r="K147" s="12">
        <f t="shared" si="2"/>
        <v>46003</v>
      </c>
      <c r="L147" s="12">
        <f t="shared" si="3"/>
        <v>46018</v>
      </c>
    </row>
    <row r="148" ht="15.75" hidden="1" customHeight="1">
      <c r="A148" s="4">
        <v>45936.0</v>
      </c>
      <c r="B148" s="2" t="s">
        <v>176</v>
      </c>
      <c r="C148" s="2" t="s">
        <v>359</v>
      </c>
      <c r="D148" s="2" t="s">
        <v>91</v>
      </c>
      <c r="E148" s="2">
        <v>0.0</v>
      </c>
      <c r="F148" s="2">
        <v>55.0</v>
      </c>
      <c r="G148" s="2">
        <v>55.0</v>
      </c>
      <c r="H148" s="8">
        <f t="shared" si="1"/>
        <v>0</v>
      </c>
      <c r="I148" s="2" t="b">
        <v>1</v>
      </c>
      <c r="J148" s="2" t="s">
        <v>160</v>
      </c>
      <c r="K148" s="12">
        <f t="shared" si="2"/>
        <v>45951</v>
      </c>
      <c r="L148" s="12">
        <f t="shared" si="3"/>
        <v>45966</v>
      </c>
    </row>
    <row r="149" ht="15.75" hidden="1" customHeight="1">
      <c r="A149" s="4">
        <v>45956.0</v>
      </c>
      <c r="B149" s="2" t="s">
        <v>134</v>
      </c>
      <c r="C149" s="2" t="s">
        <v>360</v>
      </c>
      <c r="D149" s="2" t="s">
        <v>159</v>
      </c>
      <c r="E149" s="2">
        <v>0.0</v>
      </c>
      <c r="F149" s="2">
        <v>38.0</v>
      </c>
      <c r="G149" s="2">
        <v>38.0</v>
      </c>
      <c r="H149" s="8">
        <f t="shared" si="1"/>
        <v>0</v>
      </c>
      <c r="I149" s="8" t="b">
        <v>0</v>
      </c>
      <c r="J149" s="2" t="s">
        <v>160</v>
      </c>
      <c r="K149" s="12">
        <f t="shared" si="2"/>
        <v>45971</v>
      </c>
      <c r="L149" s="12">
        <f t="shared" si="3"/>
        <v>45986</v>
      </c>
      <c r="P149" s="2" t="s">
        <v>361</v>
      </c>
    </row>
    <row r="150" ht="15.75" hidden="1" customHeight="1">
      <c r="A150" s="4">
        <v>45972.0</v>
      </c>
      <c r="B150" s="2" t="s">
        <v>134</v>
      </c>
      <c r="C150" s="2" t="s">
        <v>362</v>
      </c>
      <c r="D150" s="2" t="s">
        <v>159</v>
      </c>
      <c r="E150" s="2">
        <v>0.0</v>
      </c>
      <c r="F150" s="2">
        <v>15.0</v>
      </c>
      <c r="G150" s="2">
        <v>15.0</v>
      </c>
      <c r="H150" s="8">
        <f t="shared" si="1"/>
        <v>0</v>
      </c>
      <c r="I150" s="8" t="b">
        <v>0</v>
      </c>
      <c r="J150" s="2" t="s">
        <v>160</v>
      </c>
      <c r="K150" s="12">
        <f t="shared" si="2"/>
        <v>45987</v>
      </c>
      <c r="L150" s="12">
        <f t="shared" si="3"/>
        <v>46002</v>
      </c>
    </row>
    <row r="151" ht="15.75" hidden="1" customHeight="1">
      <c r="A151" s="4">
        <v>46012.0</v>
      </c>
      <c r="B151" s="2" t="s">
        <v>363</v>
      </c>
      <c r="C151" s="2" t="s">
        <v>364</v>
      </c>
      <c r="D151" s="2" t="s">
        <v>159</v>
      </c>
      <c r="E151" s="2">
        <v>0.0</v>
      </c>
      <c r="F151" s="2">
        <v>30.0</v>
      </c>
      <c r="G151" s="2">
        <v>30.0</v>
      </c>
      <c r="H151" s="8">
        <f t="shared" si="1"/>
        <v>0</v>
      </c>
      <c r="I151" s="2" t="b">
        <v>0</v>
      </c>
      <c r="J151" s="2" t="s">
        <v>160</v>
      </c>
      <c r="K151" s="12">
        <f t="shared" si="2"/>
        <v>46027</v>
      </c>
      <c r="L151" s="12">
        <f t="shared" si="3"/>
        <v>46042</v>
      </c>
    </row>
    <row r="152" ht="15.75" hidden="1" customHeight="1">
      <c r="A152" s="4">
        <v>45968.0</v>
      </c>
      <c r="B152" s="2" t="s">
        <v>325</v>
      </c>
      <c r="C152" s="2" t="s">
        <v>365</v>
      </c>
      <c r="D152" s="2" t="s">
        <v>159</v>
      </c>
      <c r="E152" s="2">
        <v>0.0</v>
      </c>
      <c r="F152" s="2">
        <v>50.0</v>
      </c>
      <c r="G152" s="2">
        <v>50.0</v>
      </c>
      <c r="H152" s="8">
        <f t="shared" si="1"/>
        <v>0</v>
      </c>
      <c r="I152" s="2" t="b">
        <v>1</v>
      </c>
      <c r="J152" s="2" t="s">
        <v>160</v>
      </c>
      <c r="K152" s="12">
        <f t="shared" si="2"/>
        <v>45983</v>
      </c>
      <c r="L152" s="12">
        <f t="shared" si="3"/>
        <v>45998</v>
      </c>
    </row>
    <row r="153" ht="15.75" hidden="1" customHeight="1">
      <c r="A153" s="4">
        <v>46012.0</v>
      </c>
      <c r="B153" s="2" t="s">
        <v>366</v>
      </c>
      <c r="C153" s="2" t="s">
        <v>367</v>
      </c>
      <c r="D153" s="2" t="s">
        <v>159</v>
      </c>
      <c r="E153" s="2">
        <v>0.0</v>
      </c>
      <c r="F153" s="2">
        <v>90.0</v>
      </c>
      <c r="G153" s="2">
        <v>10.0</v>
      </c>
      <c r="H153" s="8">
        <f t="shared" si="1"/>
        <v>80</v>
      </c>
      <c r="I153" s="8" t="b">
        <v>0</v>
      </c>
      <c r="J153" s="2" t="s">
        <v>160</v>
      </c>
      <c r="K153" s="12">
        <f t="shared" si="2"/>
        <v>46027</v>
      </c>
      <c r="L153" s="12">
        <f t="shared" si="3"/>
        <v>46042</v>
      </c>
    </row>
    <row r="154" ht="15.75" hidden="1" customHeight="1">
      <c r="A154" s="4">
        <v>45929.0</v>
      </c>
      <c r="B154" s="2" t="s">
        <v>208</v>
      </c>
      <c r="C154" s="2" t="s">
        <v>368</v>
      </c>
      <c r="D154" s="2" t="s">
        <v>113</v>
      </c>
      <c r="E154" s="2">
        <v>0.0</v>
      </c>
      <c r="F154" s="2">
        <v>60.0</v>
      </c>
      <c r="G154" s="2">
        <v>30.0</v>
      </c>
      <c r="H154" s="8">
        <f t="shared" si="1"/>
        <v>30</v>
      </c>
      <c r="I154" s="8" t="b">
        <v>0</v>
      </c>
      <c r="J154" s="2" t="s">
        <v>160</v>
      </c>
      <c r="K154" s="12">
        <f t="shared" si="2"/>
        <v>45944</v>
      </c>
      <c r="L154" s="12">
        <f t="shared" si="3"/>
        <v>45959</v>
      </c>
    </row>
    <row r="155" ht="15.75" hidden="1" customHeight="1">
      <c r="A155" s="4">
        <v>45978.0</v>
      </c>
      <c r="B155" s="2" t="s">
        <v>369</v>
      </c>
      <c r="C155" s="2" t="s">
        <v>370</v>
      </c>
      <c r="D155" s="2" t="s">
        <v>159</v>
      </c>
      <c r="E155" s="2">
        <v>0.0</v>
      </c>
      <c r="F155" s="2">
        <v>75.0</v>
      </c>
      <c r="G155" s="2">
        <v>75.0</v>
      </c>
      <c r="H155" s="8">
        <f t="shared" si="1"/>
        <v>0</v>
      </c>
      <c r="I155" s="2" t="b">
        <v>1</v>
      </c>
      <c r="J155" s="2" t="s">
        <v>160</v>
      </c>
      <c r="K155" s="12">
        <f t="shared" si="2"/>
        <v>45993</v>
      </c>
      <c r="L155" s="12">
        <f t="shared" si="3"/>
        <v>46008</v>
      </c>
    </row>
    <row r="156" ht="15.75" hidden="1" customHeight="1">
      <c r="A156" s="4">
        <v>45985.0</v>
      </c>
      <c r="B156" s="2" t="s">
        <v>228</v>
      </c>
      <c r="C156" s="2" t="s">
        <v>371</v>
      </c>
      <c r="D156" s="2" t="s">
        <v>159</v>
      </c>
      <c r="E156" s="2">
        <v>0.0</v>
      </c>
      <c r="F156" s="2">
        <v>35.0</v>
      </c>
      <c r="G156" s="2">
        <v>35.0</v>
      </c>
      <c r="H156" s="8">
        <f t="shared" si="1"/>
        <v>0</v>
      </c>
      <c r="I156" s="2" t="b">
        <v>1</v>
      </c>
      <c r="J156" s="2" t="s">
        <v>160</v>
      </c>
      <c r="K156" s="12">
        <f t="shared" si="2"/>
        <v>46000</v>
      </c>
      <c r="L156" s="12">
        <f t="shared" si="3"/>
        <v>46015</v>
      </c>
    </row>
    <row r="157" ht="15.75" hidden="1" customHeight="1">
      <c r="A157" s="4">
        <v>45973.0</v>
      </c>
      <c r="B157" s="2" t="s">
        <v>372</v>
      </c>
      <c r="C157" s="2" t="s">
        <v>373</v>
      </c>
      <c r="D157" s="2" t="s">
        <v>159</v>
      </c>
      <c r="E157" s="2">
        <v>0.0</v>
      </c>
      <c r="F157" s="2">
        <v>55.0</v>
      </c>
      <c r="G157" s="2">
        <v>55.0</v>
      </c>
      <c r="H157" s="8">
        <f t="shared" si="1"/>
        <v>0</v>
      </c>
      <c r="I157" s="2" t="b">
        <v>1</v>
      </c>
      <c r="J157" s="2" t="s">
        <v>160</v>
      </c>
      <c r="K157" s="12">
        <f t="shared" si="2"/>
        <v>45988</v>
      </c>
      <c r="L157" s="12">
        <f t="shared" si="3"/>
        <v>46003</v>
      </c>
    </row>
    <row r="158" ht="15.75" hidden="1" customHeight="1">
      <c r="A158" s="4">
        <v>45929.0</v>
      </c>
      <c r="B158" s="2" t="s">
        <v>208</v>
      </c>
      <c r="C158" s="2" t="s">
        <v>374</v>
      </c>
      <c r="D158" s="2" t="s">
        <v>113</v>
      </c>
      <c r="E158" s="2">
        <v>0.0</v>
      </c>
      <c r="F158" s="2">
        <v>60.0</v>
      </c>
      <c r="G158" s="2">
        <v>60.0</v>
      </c>
      <c r="H158" s="8">
        <f t="shared" si="1"/>
        <v>0</v>
      </c>
      <c r="I158" s="8" t="b">
        <v>0</v>
      </c>
      <c r="J158" s="2" t="s">
        <v>160</v>
      </c>
      <c r="K158" s="12">
        <f t="shared" si="2"/>
        <v>45944</v>
      </c>
      <c r="L158" s="12">
        <f t="shared" si="3"/>
        <v>45959</v>
      </c>
    </row>
    <row r="159" ht="15.75" hidden="1" customHeight="1">
      <c r="A159" s="4">
        <v>45923.0</v>
      </c>
      <c r="B159" s="2" t="s">
        <v>375</v>
      </c>
      <c r="C159" s="2" t="s">
        <v>376</v>
      </c>
      <c r="D159" s="2" t="s">
        <v>159</v>
      </c>
      <c r="E159" s="2">
        <v>0.0</v>
      </c>
      <c r="F159" s="2">
        <v>35.0</v>
      </c>
      <c r="G159" s="2">
        <v>35.0</v>
      </c>
      <c r="H159" s="8">
        <f t="shared" si="1"/>
        <v>0</v>
      </c>
      <c r="I159" s="2" t="b">
        <v>1</v>
      </c>
      <c r="J159" s="2" t="s">
        <v>160</v>
      </c>
      <c r="K159" s="12">
        <f t="shared" si="2"/>
        <v>45938</v>
      </c>
      <c r="L159" s="12">
        <f t="shared" si="3"/>
        <v>45953</v>
      </c>
    </row>
    <row r="160" ht="15.75" hidden="1" customHeight="1">
      <c r="A160" s="4">
        <v>45980.0</v>
      </c>
      <c r="B160" s="2" t="s">
        <v>377</v>
      </c>
      <c r="C160" s="2" t="s">
        <v>378</v>
      </c>
      <c r="D160" s="2" t="s">
        <v>159</v>
      </c>
      <c r="E160" s="2">
        <v>0.0</v>
      </c>
      <c r="F160" s="2">
        <v>60.0</v>
      </c>
      <c r="G160" s="2">
        <v>60.0</v>
      </c>
      <c r="H160" s="8">
        <f t="shared" si="1"/>
        <v>0</v>
      </c>
      <c r="I160" s="2" t="b">
        <v>1</v>
      </c>
      <c r="J160" s="2" t="s">
        <v>160</v>
      </c>
      <c r="K160" s="12">
        <f t="shared" si="2"/>
        <v>45995</v>
      </c>
      <c r="L160" s="12">
        <f t="shared" si="3"/>
        <v>46010</v>
      </c>
    </row>
    <row r="161" ht="15.75" hidden="1" customHeight="1">
      <c r="A161" s="4">
        <v>46012.0</v>
      </c>
      <c r="B161" s="2" t="s">
        <v>230</v>
      </c>
      <c r="C161" s="2" t="s">
        <v>379</v>
      </c>
      <c r="D161" s="2" t="s">
        <v>159</v>
      </c>
      <c r="E161" s="2">
        <v>0.0</v>
      </c>
      <c r="F161" s="2">
        <v>67.5</v>
      </c>
      <c r="G161" s="2">
        <v>67.5</v>
      </c>
      <c r="H161" s="8">
        <f t="shared" si="1"/>
        <v>0</v>
      </c>
      <c r="I161" s="2" t="b">
        <v>1</v>
      </c>
      <c r="J161" s="2" t="s">
        <v>160</v>
      </c>
      <c r="K161" s="12">
        <f t="shared" si="2"/>
        <v>46027</v>
      </c>
      <c r="L161" s="12">
        <f t="shared" si="3"/>
        <v>46042</v>
      </c>
    </row>
    <row r="162" ht="15.75" hidden="1" customHeight="1">
      <c r="A162" s="4">
        <v>45977.0</v>
      </c>
      <c r="B162" s="2" t="s">
        <v>216</v>
      </c>
      <c r="C162" s="2" t="s">
        <v>380</v>
      </c>
      <c r="D162" s="2" t="s">
        <v>159</v>
      </c>
      <c r="E162" s="2">
        <v>0.0</v>
      </c>
      <c r="F162" s="2">
        <v>1.0</v>
      </c>
      <c r="G162" s="2">
        <v>1.0</v>
      </c>
      <c r="H162" s="8">
        <f t="shared" si="1"/>
        <v>0</v>
      </c>
      <c r="I162" s="2" t="b">
        <v>1</v>
      </c>
      <c r="J162" s="2" t="s">
        <v>160</v>
      </c>
      <c r="K162" s="12">
        <f t="shared" si="2"/>
        <v>45992</v>
      </c>
      <c r="L162" s="12">
        <f t="shared" si="3"/>
        <v>46007</v>
      </c>
    </row>
    <row r="163" ht="15.75" hidden="1" customHeight="1">
      <c r="A163" s="4">
        <v>45981.0</v>
      </c>
      <c r="B163" s="2" t="s">
        <v>180</v>
      </c>
      <c r="C163" s="2" t="s">
        <v>381</v>
      </c>
      <c r="D163" s="2" t="s">
        <v>159</v>
      </c>
      <c r="E163" s="2">
        <v>0.0</v>
      </c>
      <c r="F163" s="2">
        <v>15.0</v>
      </c>
      <c r="G163" s="2">
        <v>15.0</v>
      </c>
      <c r="H163" s="8">
        <f t="shared" si="1"/>
        <v>0</v>
      </c>
      <c r="I163" s="2" t="b">
        <v>1</v>
      </c>
      <c r="J163" s="2" t="s">
        <v>160</v>
      </c>
      <c r="K163" s="12">
        <f t="shared" si="2"/>
        <v>45996</v>
      </c>
      <c r="L163" s="12">
        <f t="shared" si="3"/>
        <v>46011</v>
      </c>
    </row>
    <row r="164" ht="15.75" hidden="1" customHeight="1">
      <c r="A164" s="4">
        <v>45988.0</v>
      </c>
      <c r="B164" s="2" t="s">
        <v>269</v>
      </c>
      <c r="C164" s="2" t="s">
        <v>382</v>
      </c>
      <c r="D164" s="2" t="s">
        <v>159</v>
      </c>
      <c r="E164" s="2">
        <v>0.0</v>
      </c>
      <c r="F164" s="2">
        <v>40.0</v>
      </c>
      <c r="G164" s="2">
        <v>40.0</v>
      </c>
      <c r="H164" s="8">
        <f t="shared" si="1"/>
        <v>0</v>
      </c>
      <c r="I164" s="2" t="b">
        <v>1</v>
      </c>
      <c r="J164" s="2" t="s">
        <v>160</v>
      </c>
      <c r="K164" s="12">
        <f t="shared" si="2"/>
        <v>46003</v>
      </c>
      <c r="L164" s="12">
        <f t="shared" si="3"/>
        <v>46018</v>
      </c>
    </row>
    <row r="165" ht="15.75" hidden="1" customHeight="1">
      <c r="A165" s="4">
        <v>45929.0</v>
      </c>
      <c r="B165" s="2" t="s">
        <v>208</v>
      </c>
      <c r="C165" s="2" t="s">
        <v>383</v>
      </c>
      <c r="D165" s="2" t="s">
        <v>113</v>
      </c>
      <c r="E165" s="2">
        <v>0.0</v>
      </c>
      <c r="F165" s="2">
        <v>350.0</v>
      </c>
      <c r="G165" s="2">
        <v>345.0</v>
      </c>
      <c r="H165" s="8">
        <f t="shared" si="1"/>
        <v>5</v>
      </c>
      <c r="I165" s="8" t="b">
        <v>0</v>
      </c>
      <c r="J165" s="2" t="s">
        <v>160</v>
      </c>
      <c r="K165" s="12">
        <f t="shared" si="2"/>
        <v>45944</v>
      </c>
      <c r="L165" s="12">
        <f t="shared" si="3"/>
        <v>45959</v>
      </c>
    </row>
    <row r="166" ht="15.75" hidden="1" customHeight="1">
      <c r="A166" s="4">
        <v>45931.0</v>
      </c>
      <c r="B166" s="2" t="s">
        <v>208</v>
      </c>
      <c r="C166" s="2" t="s">
        <v>384</v>
      </c>
      <c r="D166" s="2" t="s">
        <v>113</v>
      </c>
      <c r="E166" s="2">
        <v>0.0</v>
      </c>
      <c r="F166" s="2">
        <v>60.0</v>
      </c>
      <c r="G166" s="2">
        <v>30.0</v>
      </c>
      <c r="H166" s="8">
        <f t="shared" si="1"/>
        <v>30</v>
      </c>
      <c r="I166" s="8" t="b">
        <v>0</v>
      </c>
      <c r="J166" s="2" t="s">
        <v>160</v>
      </c>
      <c r="K166" s="12">
        <f t="shared" si="2"/>
        <v>45946</v>
      </c>
      <c r="L166" s="12">
        <f t="shared" si="3"/>
        <v>45961</v>
      </c>
    </row>
    <row r="167" ht="15.75" hidden="1" customHeight="1">
      <c r="A167" s="4">
        <v>45932.0</v>
      </c>
      <c r="B167" s="2" t="s">
        <v>208</v>
      </c>
      <c r="C167" s="2" t="s">
        <v>385</v>
      </c>
      <c r="D167" s="2" t="s">
        <v>113</v>
      </c>
      <c r="E167" s="2">
        <v>0.0</v>
      </c>
      <c r="F167" s="2">
        <v>200.0</v>
      </c>
      <c r="G167" s="2">
        <v>100.0</v>
      </c>
      <c r="H167" s="8">
        <f t="shared" si="1"/>
        <v>100</v>
      </c>
      <c r="I167" s="8" t="b">
        <v>0</v>
      </c>
      <c r="J167" s="2" t="s">
        <v>160</v>
      </c>
      <c r="K167" s="12">
        <f t="shared" si="2"/>
        <v>45947</v>
      </c>
      <c r="L167" s="12">
        <f t="shared" si="3"/>
        <v>45962</v>
      </c>
    </row>
    <row r="168" ht="15.75" hidden="1" customHeight="1">
      <c r="A168" s="4">
        <v>45954.0</v>
      </c>
      <c r="B168" s="2" t="s">
        <v>208</v>
      </c>
      <c r="C168" s="2" t="s">
        <v>386</v>
      </c>
      <c r="D168" s="2" t="s">
        <v>113</v>
      </c>
      <c r="E168" s="2">
        <v>0.0</v>
      </c>
      <c r="F168" s="2">
        <v>110.0</v>
      </c>
      <c r="G168" s="2">
        <v>55.0</v>
      </c>
      <c r="H168" s="8">
        <f t="shared" si="1"/>
        <v>55</v>
      </c>
      <c r="I168" s="8" t="b">
        <v>0</v>
      </c>
      <c r="J168" s="2" t="s">
        <v>160</v>
      </c>
      <c r="K168" s="12">
        <f t="shared" si="2"/>
        <v>45969</v>
      </c>
      <c r="L168" s="12">
        <f t="shared" si="3"/>
        <v>45984</v>
      </c>
    </row>
    <row r="169" ht="15.75" hidden="1" customHeight="1">
      <c r="A169" s="254">
        <v>45897.0</v>
      </c>
      <c r="B169" s="8" t="s">
        <v>387</v>
      </c>
      <c r="C169" s="8" t="s">
        <v>388</v>
      </c>
      <c r="D169" s="8" t="s">
        <v>159</v>
      </c>
      <c r="E169" s="2">
        <v>0.0</v>
      </c>
      <c r="F169" s="8">
        <v>80.0</v>
      </c>
      <c r="G169" s="8">
        <v>0.0</v>
      </c>
      <c r="H169" s="8">
        <f t="shared" si="1"/>
        <v>80</v>
      </c>
      <c r="I169" s="8" t="b">
        <v>0</v>
      </c>
      <c r="J169" s="2" t="s">
        <v>160</v>
      </c>
      <c r="K169" s="12">
        <f t="shared" si="2"/>
        <v>45912</v>
      </c>
      <c r="L169" s="12">
        <f t="shared" si="3"/>
        <v>45927</v>
      </c>
    </row>
    <row r="170" ht="15.75" hidden="1" customHeight="1">
      <c r="A170" s="4">
        <v>46003.0</v>
      </c>
      <c r="B170" s="2" t="s">
        <v>389</v>
      </c>
      <c r="C170" s="2" t="s">
        <v>390</v>
      </c>
      <c r="D170" s="2" t="s">
        <v>159</v>
      </c>
      <c r="E170" s="2">
        <v>0.0</v>
      </c>
      <c r="F170" s="2">
        <v>55.0</v>
      </c>
      <c r="G170" s="2">
        <v>55.0</v>
      </c>
      <c r="H170" s="8">
        <f t="shared" si="1"/>
        <v>0</v>
      </c>
      <c r="I170" s="2" t="b">
        <v>1</v>
      </c>
      <c r="J170" s="2" t="s">
        <v>160</v>
      </c>
      <c r="K170" s="12">
        <f t="shared" si="2"/>
        <v>46018</v>
      </c>
      <c r="L170" s="12">
        <f t="shared" si="3"/>
        <v>46033</v>
      </c>
    </row>
    <row r="171" ht="15.75" hidden="1" customHeight="1">
      <c r="A171" s="4">
        <v>45948.0</v>
      </c>
      <c r="B171" s="2" t="s">
        <v>267</v>
      </c>
      <c r="C171" s="2" t="s">
        <v>391</v>
      </c>
      <c r="D171" s="2" t="s">
        <v>115</v>
      </c>
      <c r="E171" s="2">
        <v>165.0</v>
      </c>
      <c r="F171" s="8">
        <f t="shared" ref="F171:G171" si="4">17*45</f>
        <v>765</v>
      </c>
      <c r="G171" s="8">
        <f t="shared" si="4"/>
        <v>765</v>
      </c>
      <c r="H171" s="8">
        <f t="shared" si="1"/>
        <v>0</v>
      </c>
      <c r="I171" s="8" t="b">
        <v>0</v>
      </c>
      <c r="J171" s="2" t="s">
        <v>164</v>
      </c>
      <c r="K171" s="12">
        <f t="shared" si="2"/>
        <v>45963</v>
      </c>
      <c r="L171" s="12">
        <f t="shared" si="3"/>
        <v>45978</v>
      </c>
    </row>
    <row r="172" ht="15.75" hidden="1" customHeight="1">
      <c r="A172" s="4">
        <v>46009.0</v>
      </c>
      <c r="B172" s="2" t="s">
        <v>392</v>
      </c>
      <c r="C172" s="2" t="s">
        <v>393</v>
      </c>
      <c r="D172" s="2" t="s">
        <v>159</v>
      </c>
      <c r="E172" s="2">
        <v>0.0</v>
      </c>
      <c r="F172" s="2">
        <v>50.0</v>
      </c>
      <c r="G172" s="2">
        <v>50.0</v>
      </c>
      <c r="H172" s="8">
        <f t="shared" si="1"/>
        <v>0</v>
      </c>
      <c r="I172" s="8" t="b">
        <v>0</v>
      </c>
      <c r="J172" s="2" t="s">
        <v>160</v>
      </c>
      <c r="K172" s="12">
        <f t="shared" si="2"/>
        <v>46024</v>
      </c>
      <c r="L172" s="12">
        <f t="shared" si="3"/>
        <v>46039</v>
      </c>
    </row>
    <row r="173" ht="15.75" hidden="1" customHeight="1">
      <c r="A173" s="4">
        <v>46010.0</v>
      </c>
      <c r="B173" s="2" t="s">
        <v>392</v>
      </c>
      <c r="C173" s="2" t="s">
        <v>394</v>
      </c>
      <c r="D173" s="2" t="s">
        <v>159</v>
      </c>
      <c r="E173" s="2">
        <v>0.0</v>
      </c>
      <c r="F173" s="2">
        <v>50.0</v>
      </c>
      <c r="G173" s="2">
        <v>50.0</v>
      </c>
      <c r="H173" s="8">
        <f t="shared" si="1"/>
        <v>0</v>
      </c>
      <c r="I173" s="8" t="b">
        <v>0</v>
      </c>
      <c r="J173" s="2" t="s">
        <v>160</v>
      </c>
      <c r="K173" s="12">
        <f t="shared" si="2"/>
        <v>46025</v>
      </c>
      <c r="L173" s="12">
        <f t="shared" si="3"/>
        <v>46040</v>
      </c>
    </row>
    <row r="174" ht="15.75" hidden="1" customHeight="1">
      <c r="A174" s="4">
        <v>46014.0</v>
      </c>
      <c r="B174" s="2" t="s">
        <v>392</v>
      </c>
      <c r="C174" s="2" t="s">
        <v>395</v>
      </c>
      <c r="D174" s="2" t="s">
        <v>159</v>
      </c>
      <c r="E174" s="2">
        <v>0.0</v>
      </c>
      <c r="F174" s="2">
        <v>45.0</v>
      </c>
      <c r="G174" s="2">
        <v>5.0</v>
      </c>
      <c r="H174" s="8">
        <f t="shared" si="1"/>
        <v>40</v>
      </c>
      <c r="I174" s="8" t="b">
        <v>0</v>
      </c>
      <c r="J174" s="2" t="s">
        <v>160</v>
      </c>
      <c r="K174" s="12">
        <f t="shared" si="2"/>
        <v>46029</v>
      </c>
      <c r="L174" s="12">
        <f t="shared" si="3"/>
        <v>46044</v>
      </c>
    </row>
    <row r="175" ht="15.75" hidden="1" customHeight="1">
      <c r="A175" s="4">
        <v>46014.0</v>
      </c>
      <c r="B175" s="2" t="s">
        <v>392</v>
      </c>
      <c r="C175" s="2" t="s">
        <v>396</v>
      </c>
      <c r="D175" s="2" t="s">
        <v>159</v>
      </c>
      <c r="E175" s="2">
        <v>0.0</v>
      </c>
      <c r="F175" s="2">
        <v>45.0</v>
      </c>
      <c r="G175" s="2">
        <v>45.0</v>
      </c>
      <c r="H175" s="8">
        <f t="shared" si="1"/>
        <v>0</v>
      </c>
      <c r="I175" s="8" t="b">
        <v>0</v>
      </c>
      <c r="J175" s="2" t="s">
        <v>160</v>
      </c>
      <c r="K175" s="12">
        <f t="shared" si="2"/>
        <v>46029</v>
      </c>
      <c r="L175" s="12">
        <f t="shared" si="3"/>
        <v>46044</v>
      </c>
    </row>
    <row r="176" ht="15.75" hidden="1" customHeight="1">
      <c r="A176" s="4">
        <v>45966.0</v>
      </c>
      <c r="B176" s="2" t="s">
        <v>216</v>
      </c>
      <c r="C176" s="2" t="s">
        <v>397</v>
      </c>
      <c r="D176" s="2" t="s">
        <v>159</v>
      </c>
      <c r="E176" s="2">
        <v>0.0</v>
      </c>
      <c r="F176" s="2">
        <v>1.0</v>
      </c>
      <c r="G176" s="2">
        <v>1.0</v>
      </c>
      <c r="H176" s="8">
        <f t="shared" si="1"/>
        <v>0</v>
      </c>
      <c r="I176" s="2" t="b">
        <v>0</v>
      </c>
      <c r="J176" s="2" t="s">
        <v>160</v>
      </c>
      <c r="K176" s="12">
        <f t="shared" si="2"/>
        <v>45981</v>
      </c>
      <c r="L176" s="12">
        <f t="shared" si="3"/>
        <v>45996</v>
      </c>
    </row>
    <row r="177" ht="15.75" hidden="1" customHeight="1">
      <c r="A177" s="4">
        <v>45988.0</v>
      </c>
      <c r="B177" s="2" t="s">
        <v>398</v>
      </c>
      <c r="C177" s="2" t="s">
        <v>399</v>
      </c>
      <c r="D177" s="2" t="s">
        <v>159</v>
      </c>
      <c r="E177" s="2">
        <v>0.0</v>
      </c>
      <c r="F177" s="2">
        <v>50.0</v>
      </c>
      <c r="G177" s="2">
        <v>50.0</v>
      </c>
      <c r="H177" s="8">
        <f t="shared" si="1"/>
        <v>0</v>
      </c>
      <c r="I177" s="2" t="b">
        <v>0</v>
      </c>
      <c r="J177" s="2" t="s">
        <v>160</v>
      </c>
      <c r="K177" s="12">
        <f t="shared" si="2"/>
        <v>46003</v>
      </c>
      <c r="L177" s="12">
        <f t="shared" si="3"/>
        <v>46018</v>
      </c>
    </row>
    <row r="178" ht="15.75" hidden="1" customHeight="1">
      <c r="A178" s="4">
        <v>45996.0</v>
      </c>
      <c r="B178" s="2" t="s">
        <v>398</v>
      </c>
      <c r="C178" s="2" t="s">
        <v>400</v>
      </c>
      <c r="D178" s="2" t="s">
        <v>159</v>
      </c>
      <c r="E178" s="2">
        <v>0.0</v>
      </c>
      <c r="F178" s="2">
        <v>38.0</v>
      </c>
      <c r="G178" s="2">
        <v>38.0</v>
      </c>
      <c r="H178" s="8">
        <f t="shared" si="1"/>
        <v>0</v>
      </c>
      <c r="I178" s="8" t="b">
        <v>0</v>
      </c>
      <c r="J178" s="2" t="s">
        <v>160</v>
      </c>
      <c r="K178" s="12">
        <f t="shared" si="2"/>
        <v>46011</v>
      </c>
      <c r="L178" s="12">
        <f t="shared" si="3"/>
        <v>46026</v>
      </c>
    </row>
    <row r="179" ht="15.75" hidden="1" customHeight="1">
      <c r="A179" s="4">
        <v>45980.0</v>
      </c>
      <c r="B179" s="2" t="s">
        <v>401</v>
      </c>
      <c r="C179" s="2" t="s">
        <v>402</v>
      </c>
      <c r="D179" s="2" t="s">
        <v>159</v>
      </c>
      <c r="E179" s="2">
        <v>0.0</v>
      </c>
      <c r="F179" s="2">
        <v>40.0</v>
      </c>
      <c r="G179" s="2">
        <v>40.0</v>
      </c>
      <c r="H179" s="8">
        <f t="shared" si="1"/>
        <v>0</v>
      </c>
      <c r="I179" s="2" t="b">
        <v>1</v>
      </c>
      <c r="J179" s="2" t="s">
        <v>160</v>
      </c>
      <c r="K179" s="12">
        <f t="shared" si="2"/>
        <v>45995</v>
      </c>
      <c r="L179" s="12">
        <f t="shared" si="3"/>
        <v>46010</v>
      </c>
    </row>
    <row r="180" ht="15.75" hidden="1" customHeight="1">
      <c r="A180" s="4">
        <v>45933.0</v>
      </c>
      <c r="B180" s="2" t="s">
        <v>57</v>
      </c>
      <c r="C180" s="2" t="s">
        <v>403</v>
      </c>
      <c r="D180" s="2" t="s">
        <v>159</v>
      </c>
      <c r="E180" s="2"/>
      <c r="F180" s="2">
        <v>10.0</v>
      </c>
      <c r="G180" s="2">
        <v>10.0</v>
      </c>
      <c r="H180" s="8">
        <f t="shared" si="1"/>
        <v>0</v>
      </c>
      <c r="I180" s="2" t="b">
        <v>1</v>
      </c>
      <c r="J180" s="2" t="s">
        <v>160</v>
      </c>
      <c r="K180" s="12">
        <f t="shared" si="2"/>
        <v>45948</v>
      </c>
      <c r="L180" s="12">
        <f t="shared" si="3"/>
        <v>45963</v>
      </c>
    </row>
    <row r="181" ht="15.75" hidden="1" customHeight="1">
      <c r="A181" s="4">
        <v>45947.0</v>
      </c>
      <c r="B181" s="2" t="s">
        <v>404</v>
      </c>
      <c r="C181" s="2" t="s">
        <v>405</v>
      </c>
      <c r="D181" s="2" t="s">
        <v>159</v>
      </c>
      <c r="E181" s="2">
        <v>0.0</v>
      </c>
      <c r="F181" s="2">
        <v>36.0</v>
      </c>
      <c r="G181" s="2">
        <v>36.0</v>
      </c>
      <c r="H181" s="8">
        <f t="shared" si="1"/>
        <v>0</v>
      </c>
      <c r="I181" s="2" t="b">
        <v>1</v>
      </c>
      <c r="J181" s="2" t="s">
        <v>160</v>
      </c>
      <c r="K181" s="12">
        <f t="shared" si="2"/>
        <v>45962</v>
      </c>
      <c r="L181" s="12">
        <f t="shared" si="3"/>
        <v>45977</v>
      </c>
    </row>
    <row r="182" ht="15.75" hidden="1" customHeight="1">
      <c r="A182" s="4">
        <v>45929.0</v>
      </c>
      <c r="B182" s="2" t="s">
        <v>176</v>
      </c>
      <c r="C182" s="2" t="s">
        <v>406</v>
      </c>
      <c r="D182" s="2" t="s">
        <v>159</v>
      </c>
      <c r="E182" s="2">
        <v>0.0</v>
      </c>
      <c r="F182" s="2">
        <v>40.0</v>
      </c>
      <c r="G182" s="2">
        <v>40.0</v>
      </c>
      <c r="H182" s="8">
        <f t="shared" si="1"/>
        <v>0</v>
      </c>
      <c r="I182" s="2" t="b">
        <v>1</v>
      </c>
      <c r="J182" s="2" t="s">
        <v>160</v>
      </c>
      <c r="K182" s="12">
        <f t="shared" si="2"/>
        <v>45944</v>
      </c>
      <c r="L182" s="12">
        <f t="shared" si="3"/>
        <v>45959</v>
      </c>
    </row>
    <row r="183" ht="15.75" hidden="1" customHeight="1">
      <c r="A183" s="4">
        <v>45971.0</v>
      </c>
      <c r="B183" s="2" t="s">
        <v>407</v>
      </c>
      <c r="C183" s="2" t="s">
        <v>406</v>
      </c>
      <c r="D183" s="2" t="s">
        <v>159</v>
      </c>
      <c r="E183" s="2">
        <v>0.0</v>
      </c>
      <c r="F183" s="2">
        <v>40.0</v>
      </c>
      <c r="G183" s="2">
        <v>40.0</v>
      </c>
      <c r="H183" s="8">
        <f t="shared" si="1"/>
        <v>0</v>
      </c>
      <c r="I183" s="2" t="b">
        <v>1</v>
      </c>
      <c r="J183" s="2" t="s">
        <v>160</v>
      </c>
      <c r="K183" s="12">
        <f t="shared" si="2"/>
        <v>45986</v>
      </c>
      <c r="L183" s="12">
        <f t="shared" si="3"/>
        <v>46001</v>
      </c>
    </row>
    <row r="184" ht="15.75" hidden="1" customHeight="1">
      <c r="A184" s="4">
        <v>45915.0</v>
      </c>
      <c r="B184" s="2" t="s">
        <v>408</v>
      </c>
      <c r="C184" s="2" t="s">
        <v>409</v>
      </c>
      <c r="D184" s="2" t="s">
        <v>159</v>
      </c>
      <c r="E184" s="2">
        <v>0.0</v>
      </c>
      <c r="F184" s="2">
        <v>10.0</v>
      </c>
      <c r="G184" s="2">
        <v>10.0</v>
      </c>
      <c r="H184" s="8">
        <f t="shared" si="1"/>
        <v>0</v>
      </c>
      <c r="I184" s="2" t="b">
        <v>1</v>
      </c>
      <c r="J184" s="2" t="s">
        <v>160</v>
      </c>
      <c r="K184" s="12">
        <f t="shared" si="2"/>
        <v>45930</v>
      </c>
      <c r="L184" s="12">
        <f t="shared" si="3"/>
        <v>45945</v>
      </c>
    </row>
    <row r="185" ht="15.75" hidden="1" customHeight="1">
      <c r="A185" s="4">
        <v>45969.0</v>
      </c>
      <c r="B185" s="2" t="s">
        <v>410</v>
      </c>
      <c r="C185" s="2" t="s">
        <v>411</v>
      </c>
      <c r="D185" s="2" t="s">
        <v>159</v>
      </c>
      <c r="E185" s="2">
        <v>0.0</v>
      </c>
      <c r="F185" s="2">
        <v>50.0</v>
      </c>
      <c r="G185" s="2">
        <v>50.0</v>
      </c>
      <c r="H185" s="8">
        <f t="shared" si="1"/>
        <v>0</v>
      </c>
      <c r="I185" s="2" t="b">
        <v>1</v>
      </c>
      <c r="J185" s="2" t="s">
        <v>160</v>
      </c>
      <c r="K185" s="12">
        <f t="shared" si="2"/>
        <v>45984</v>
      </c>
      <c r="L185" s="12">
        <f t="shared" si="3"/>
        <v>45999</v>
      </c>
    </row>
    <row r="186" ht="15.75" hidden="1" customHeight="1">
      <c r="A186" s="4">
        <v>45993.0</v>
      </c>
      <c r="B186" s="2" t="s">
        <v>410</v>
      </c>
      <c r="C186" s="2" t="s">
        <v>412</v>
      </c>
      <c r="D186" s="2" t="s">
        <v>159</v>
      </c>
      <c r="E186" s="2">
        <v>0.0</v>
      </c>
      <c r="F186" s="2">
        <v>40.0</v>
      </c>
      <c r="G186" s="2">
        <v>40.0</v>
      </c>
      <c r="H186" s="8">
        <f t="shared" si="1"/>
        <v>0</v>
      </c>
      <c r="I186" s="2" t="b">
        <v>1</v>
      </c>
      <c r="J186" s="2" t="s">
        <v>160</v>
      </c>
      <c r="K186" s="12">
        <f t="shared" si="2"/>
        <v>46008</v>
      </c>
      <c r="L186" s="12">
        <f t="shared" si="3"/>
        <v>46023</v>
      </c>
    </row>
    <row r="187" ht="15.75" hidden="1" customHeight="1">
      <c r="A187" s="4">
        <v>45997.0</v>
      </c>
      <c r="B187" s="2" t="s">
        <v>167</v>
      </c>
      <c r="C187" s="2" t="s">
        <v>413</v>
      </c>
      <c r="D187" s="2" t="s">
        <v>159</v>
      </c>
      <c r="E187" s="2">
        <v>0.0</v>
      </c>
      <c r="F187" s="2">
        <v>55.0</v>
      </c>
      <c r="G187" s="2">
        <v>55.0</v>
      </c>
      <c r="H187" s="8">
        <f t="shared" si="1"/>
        <v>0</v>
      </c>
      <c r="I187" s="2" t="b">
        <v>1</v>
      </c>
      <c r="J187" s="2" t="s">
        <v>160</v>
      </c>
      <c r="K187" s="12">
        <f t="shared" si="2"/>
        <v>46012</v>
      </c>
      <c r="L187" s="12">
        <f t="shared" si="3"/>
        <v>46027</v>
      </c>
    </row>
    <row r="188" ht="15.75" hidden="1" customHeight="1">
      <c r="A188" s="4">
        <v>45972.0</v>
      </c>
      <c r="B188" s="2" t="s">
        <v>208</v>
      </c>
      <c r="C188" s="2" t="s">
        <v>414</v>
      </c>
      <c r="D188" s="2" t="s">
        <v>159</v>
      </c>
      <c r="E188" s="2">
        <v>0.0</v>
      </c>
      <c r="F188" s="2">
        <v>120.0</v>
      </c>
      <c r="G188" s="2">
        <v>120.0</v>
      </c>
      <c r="H188" s="8">
        <f t="shared" si="1"/>
        <v>0</v>
      </c>
      <c r="I188" s="2" t="b">
        <v>1</v>
      </c>
      <c r="J188" s="2" t="s">
        <v>160</v>
      </c>
      <c r="K188" s="12">
        <f t="shared" si="2"/>
        <v>45987</v>
      </c>
      <c r="L188" s="12">
        <f t="shared" si="3"/>
        <v>46002</v>
      </c>
    </row>
    <row r="189" ht="15.75" hidden="1" customHeight="1">
      <c r="A189" s="4">
        <v>45996.0</v>
      </c>
      <c r="B189" s="2" t="s">
        <v>398</v>
      </c>
      <c r="C189" s="2" t="s">
        <v>415</v>
      </c>
      <c r="D189" s="2" t="s">
        <v>159</v>
      </c>
      <c r="E189" s="2">
        <v>0.0</v>
      </c>
      <c r="F189" s="2">
        <v>38.0</v>
      </c>
      <c r="G189" s="2">
        <v>38.0</v>
      </c>
      <c r="H189" s="8">
        <f t="shared" si="1"/>
        <v>0</v>
      </c>
      <c r="I189" s="8" t="b">
        <v>0</v>
      </c>
      <c r="J189" s="2" t="s">
        <v>160</v>
      </c>
      <c r="K189" s="12">
        <f t="shared" si="2"/>
        <v>46011</v>
      </c>
      <c r="L189" s="12">
        <f t="shared" si="3"/>
        <v>46026</v>
      </c>
    </row>
    <row r="190" ht="15.75" hidden="1" customHeight="1">
      <c r="A190" s="4">
        <v>45949.0</v>
      </c>
      <c r="B190" s="2" t="s">
        <v>416</v>
      </c>
      <c r="C190" s="2" t="s">
        <v>417</v>
      </c>
      <c r="D190" s="2" t="s">
        <v>159</v>
      </c>
      <c r="E190" s="2">
        <v>0.0</v>
      </c>
      <c r="F190" s="2">
        <v>30.0</v>
      </c>
      <c r="G190" s="2">
        <v>30.0</v>
      </c>
      <c r="H190" s="8">
        <f t="shared" si="1"/>
        <v>0</v>
      </c>
      <c r="I190" s="2" t="b">
        <v>1</v>
      </c>
      <c r="J190" s="2" t="s">
        <v>160</v>
      </c>
      <c r="K190" s="12">
        <f t="shared" si="2"/>
        <v>45964</v>
      </c>
      <c r="L190" s="12">
        <f t="shared" si="3"/>
        <v>45979</v>
      </c>
    </row>
    <row r="191" ht="15.75" hidden="1" customHeight="1">
      <c r="A191" s="4">
        <v>46009.0</v>
      </c>
      <c r="B191" s="2" t="s">
        <v>418</v>
      </c>
      <c r="C191" s="2" t="s">
        <v>419</v>
      </c>
      <c r="D191" s="2" t="s">
        <v>159</v>
      </c>
      <c r="E191" s="2">
        <v>0.0</v>
      </c>
      <c r="F191" s="2">
        <v>59.5</v>
      </c>
      <c r="G191" s="2">
        <v>59.5</v>
      </c>
      <c r="H191" s="8">
        <f t="shared" si="1"/>
        <v>0</v>
      </c>
      <c r="I191" s="8" t="b">
        <v>0</v>
      </c>
      <c r="J191" s="2" t="s">
        <v>160</v>
      </c>
      <c r="K191" s="12">
        <f t="shared" si="2"/>
        <v>46024</v>
      </c>
      <c r="L191" s="12">
        <f t="shared" si="3"/>
        <v>46039</v>
      </c>
    </row>
    <row r="192" ht="15.75" hidden="1" customHeight="1">
      <c r="A192" s="4">
        <v>45932.0</v>
      </c>
      <c r="B192" s="2" t="s">
        <v>311</v>
      </c>
      <c r="C192" s="2" t="s">
        <v>420</v>
      </c>
      <c r="D192" s="2" t="s">
        <v>113</v>
      </c>
      <c r="E192" s="2">
        <v>107.0</v>
      </c>
      <c r="F192" s="2">
        <v>90.0</v>
      </c>
      <c r="G192" s="2">
        <v>90.0</v>
      </c>
      <c r="H192" s="8">
        <f t="shared" si="1"/>
        <v>0</v>
      </c>
      <c r="I192" s="2" t="b">
        <v>1</v>
      </c>
      <c r="J192" s="2" t="s">
        <v>164</v>
      </c>
      <c r="K192" s="12">
        <f t="shared" si="2"/>
        <v>45947</v>
      </c>
      <c r="L192" s="12">
        <f t="shared" si="3"/>
        <v>45962</v>
      </c>
    </row>
    <row r="193" ht="15.75" hidden="1" customHeight="1">
      <c r="A193" s="4">
        <v>45977.0</v>
      </c>
      <c r="B193" s="2" t="s">
        <v>325</v>
      </c>
      <c r="C193" s="2" t="s">
        <v>421</v>
      </c>
      <c r="D193" s="2" t="s">
        <v>159</v>
      </c>
      <c r="E193" s="2">
        <v>0.0</v>
      </c>
      <c r="F193" s="2">
        <v>45.0</v>
      </c>
      <c r="G193" s="2">
        <v>45.0</v>
      </c>
      <c r="H193" s="8">
        <f t="shared" si="1"/>
        <v>0</v>
      </c>
      <c r="I193" s="2" t="b">
        <v>1</v>
      </c>
      <c r="J193" s="2" t="s">
        <v>160</v>
      </c>
      <c r="K193" s="12">
        <f t="shared" si="2"/>
        <v>45992</v>
      </c>
      <c r="L193" s="12">
        <f t="shared" si="3"/>
        <v>46007</v>
      </c>
    </row>
    <row r="194" ht="15.75" hidden="1" customHeight="1">
      <c r="A194" s="4">
        <v>45945.0</v>
      </c>
      <c r="B194" s="2" t="s">
        <v>342</v>
      </c>
      <c r="C194" s="2" t="s">
        <v>422</v>
      </c>
      <c r="D194" s="2" t="s">
        <v>115</v>
      </c>
      <c r="E194" s="2">
        <v>187.0</v>
      </c>
      <c r="F194" s="2">
        <v>25.0</v>
      </c>
      <c r="G194" s="2">
        <v>25.0</v>
      </c>
      <c r="H194" s="8">
        <f t="shared" si="1"/>
        <v>0</v>
      </c>
      <c r="I194" s="8" t="b">
        <v>0</v>
      </c>
      <c r="J194" s="2" t="s">
        <v>160</v>
      </c>
      <c r="K194" s="12">
        <f t="shared" si="2"/>
        <v>45960</v>
      </c>
      <c r="L194" s="12">
        <f t="shared" si="3"/>
        <v>45975</v>
      </c>
    </row>
    <row r="195" ht="15.75" hidden="1" customHeight="1">
      <c r="A195" s="4">
        <v>46021.0</v>
      </c>
      <c r="B195" s="2" t="s">
        <v>167</v>
      </c>
      <c r="C195" s="2" t="s">
        <v>423</v>
      </c>
      <c r="D195" s="2" t="s">
        <v>159</v>
      </c>
      <c r="E195" s="2">
        <v>0.0</v>
      </c>
      <c r="F195" s="2">
        <v>4.0</v>
      </c>
      <c r="G195" s="2">
        <v>4.0</v>
      </c>
      <c r="H195" s="8">
        <f t="shared" si="1"/>
        <v>0</v>
      </c>
      <c r="I195" s="2" t="b">
        <v>1</v>
      </c>
      <c r="J195" s="2" t="s">
        <v>160</v>
      </c>
      <c r="K195" s="12">
        <f t="shared" si="2"/>
        <v>46036</v>
      </c>
      <c r="L195" s="12">
        <f t="shared" si="3"/>
        <v>46051</v>
      </c>
    </row>
    <row r="196" ht="15.75" hidden="1" customHeight="1">
      <c r="A196" s="4">
        <v>45945.0</v>
      </c>
      <c r="B196" s="2" t="s">
        <v>342</v>
      </c>
      <c r="C196" s="2" t="s">
        <v>424</v>
      </c>
      <c r="D196" s="2" t="s">
        <v>115</v>
      </c>
      <c r="E196" s="2">
        <v>186.0</v>
      </c>
      <c r="F196" s="2">
        <v>45.0</v>
      </c>
      <c r="G196" s="2">
        <v>45.0</v>
      </c>
      <c r="H196" s="8">
        <f t="shared" si="1"/>
        <v>0</v>
      </c>
      <c r="I196" s="8" t="b">
        <v>0</v>
      </c>
      <c r="J196" s="2" t="s">
        <v>160</v>
      </c>
      <c r="K196" s="12">
        <f t="shared" si="2"/>
        <v>45960</v>
      </c>
      <c r="L196" s="12">
        <f t="shared" si="3"/>
        <v>45975</v>
      </c>
    </row>
    <row r="197" ht="15.75" hidden="1" customHeight="1">
      <c r="A197" s="4">
        <v>45947.0</v>
      </c>
      <c r="B197" s="2" t="s">
        <v>342</v>
      </c>
      <c r="C197" s="2" t="s">
        <v>425</v>
      </c>
      <c r="D197" s="2" t="s">
        <v>115</v>
      </c>
      <c r="E197" s="2">
        <v>167.0</v>
      </c>
      <c r="F197" s="2">
        <v>45.0</v>
      </c>
      <c r="G197" s="2">
        <v>45.0</v>
      </c>
      <c r="H197" s="8">
        <f t="shared" si="1"/>
        <v>0</v>
      </c>
      <c r="I197" s="8" t="b">
        <v>0</v>
      </c>
      <c r="J197" s="2" t="s">
        <v>160</v>
      </c>
      <c r="K197" s="12">
        <f t="shared" si="2"/>
        <v>45962</v>
      </c>
      <c r="L197" s="12">
        <f t="shared" si="3"/>
        <v>45977</v>
      </c>
    </row>
    <row r="198" ht="15.75" hidden="1" customHeight="1">
      <c r="A198" s="4">
        <v>45965.0</v>
      </c>
      <c r="B198" s="2" t="s">
        <v>426</v>
      </c>
      <c r="C198" s="2" t="s">
        <v>427</v>
      </c>
      <c r="D198" s="2" t="s">
        <v>159</v>
      </c>
      <c r="E198" s="2">
        <v>0.0</v>
      </c>
      <c r="F198" s="2">
        <v>40.0</v>
      </c>
      <c r="G198" s="2">
        <v>40.0</v>
      </c>
      <c r="H198" s="8">
        <f t="shared" si="1"/>
        <v>0</v>
      </c>
      <c r="I198" s="8" t="b">
        <v>0</v>
      </c>
      <c r="J198" s="2" t="s">
        <v>160</v>
      </c>
      <c r="K198" s="12">
        <f t="shared" si="2"/>
        <v>45980</v>
      </c>
      <c r="L198" s="12">
        <f t="shared" si="3"/>
        <v>45995</v>
      </c>
    </row>
    <row r="199" ht="15.75" hidden="1" customHeight="1">
      <c r="A199" s="4">
        <v>45948.0</v>
      </c>
      <c r="B199" s="2" t="s">
        <v>214</v>
      </c>
      <c r="C199" s="2" t="s">
        <v>428</v>
      </c>
      <c r="D199" s="2" t="s">
        <v>91</v>
      </c>
      <c r="E199" s="2">
        <v>3.0</v>
      </c>
      <c r="F199" s="2">
        <v>75.0</v>
      </c>
      <c r="G199" s="2">
        <v>75.0</v>
      </c>
      <c r="H199" s="8">
        <f t="shared" si="1"/>
        <v>0</v>
      </c>
      <c r="I199" s="2" t="b">
        <v>1</v>
      </c>
      <c r="J199" s="2" t="s">
        <v>160</v>
      </c>
      <c r="K199" s="12">
        <f t="shared" si="2"/>
        <v>45963</v>
      </c>
      <c r="L199" s="12">
        <f t="shared" si="3"/>
        <v>45978</v>
      </c>
    </row>
    <row r="200" ht="15.75" hidden="1" customHeight="1">
      <c r="A200" s="4">
        <v>45915.0</v>
      </c>
      <c r="B200" s="2" t="s">
        <v>232</v>
      </c>
      <c r="C200" s="2" t="s">
        <v>429</v>
      </c>
      <c r="D200" s="2" t="s">
        <v>159</v>
      </c>
      <c r="E200" s="2">
        <v>0.0</v>
      </c>
      <c r="F200" s="2">
        <v>60.0</v>
      </c>
      <c r="G200" s="2">
        <v>60.0</v>
      </c>
      <c r="H200" s="8">
        <f t="shared" si="1"/>
        <v>0</v>
      </c>
      <c r="I200" s="2" t="b">
        <v>1</v>
      </c>
      <c r="J200" s="2" t="s">
        <v>160</v>
      </c>
      <c r="K200" s="12">
        <f t="shared" si="2"/>
        <v>45930</v>
      </c>
      <c r="L200" s="12">
        <f t="shared" si="3"/>
        <v>45945</v>
      </c>
    </row>
    <row r="201" ht="15.75" hidden="1" customHeight="1">
      <c r="A201" s="4">
        <v>45920.0</v>
      </c>
      <c r="B201" s="2" t="s">
        <v>232</v>
      </c>
      <c r="C201" s="2" t="s">
        <v>430</v>
      </c>
      <c r="D201" s="2" t="s">
        <v>159</v>
      </c>
      <c r="E201" s="2">
        <v>0.0</v>
      </c>
      <c r="F201" s="2">
        <v>100.0</v>
      </c>
      <c r="G201" s="2">
        <v>100.0</v>
      </c>
      <c r="H201" s="8">
        <f t="shared" si="1"/>
        <v>0</v>
      </c>
      <c r="I201" s="2" t="b">
        <v>1</v>
      </c>
      <c r="J201" s="2" t="s">
        <v>160</v>
      </c>
      <c r="K201" s="12">
        <f t="shared" si="2"/>
        <v>45935</v>
      </c>
      <c r="L201" s="12">
        <f t="shared" si="3"/>
        <v>45950</v>
      </c>
    </row>
    <row r="202" ht="15.75" hidden="1" customHeight="1">
      <c r="A202" s="4">
        <v>45959.0</v>
      </c>
      <c r="B202" s="2" t="s">
        <v>196</v>
      </c>
      <c r="C202" s="2" t="s">
        <v>431</v>
      </c>
      <c r="D202" s="2" t="s">
        <v>159</v>
      </c>
      <c r="E202" s="2">
        <v>0.0</v>
      </c>
      <c r="F202" s="2">
        <v>41.0</v>
      </c>
      <c r="G202" s="2">
        <v>41.0</v>
      </c>
      <c r="H202" s="8">
        <f t="shared" si="1"/>
        <v>0</v>
      </c>
      <c r="I202" s="2" t="b">
        <v>1</v>
      </c>
      <c r="J202" s="2" t="s">
        <v>160</v>
      </c>
      <c r="K202" s="12">
        <f t="shared" si="2"/>
        <v>45974</v>
      </c>
      <c r="L202" s="12">
        <f t="shared" si="3"/>
        <v>45989</v>
      </c>
    </row>
    <row r="203" ht="15.75" hidden="1" customHeight="1">
      <c r="A203" s="4">
        <v>45922.0</v>
      </c>
      <c r="B203" s="2" t="s">
        <v>176</v>
      </c>
      <c r="C203" s="2" t="s">
        <v>431</v>
      </c>
      <c r="D203" s="2" t="s">
        <v>159</v>
      </c>
      <c r="E203" s="2">
        <v>0.0</v>
      </c>
      <c r="F203" s="2">
        <v>45.0</v>
      </c>
      <c r="G203" s="2">
        <v>45.0</v>
      </c>
      <c r="H203" s="8">
        <f t="shared" si="1"/>
        <v>0</v>
      </c>
      <c r="I203" s="2" t="b">
        <v>1</v>
      </c>
      <c r="J203" s="2" t="s">
        <v>160</v>
      </c>
      <c r="K203" s="12">
        <f t="shared" si="2"/>
        <v>45937</v>
      </c>
      <c r="L203" s="12">
        <f t="shared" si="3"/>
        <v>45952</v>
      </c>
    </row>
    <row r="204" ht="15.75" hidden="1" customHeight="1">
      <c r="A204" s="4">
        <v>45933.0</v>
      </c>
      <c r="B204" s="2" t="s">
        <v>432</v>
      </c>
      <c r="C204" s="2" t="s">
        <v>433</v>
      </c>
      <c r="D204" s="2" t="s">
        <v>159</v>
      </c>
      <c r="E204" s="2">
        <v>0.0</v>
      </c>
      <c r="F204" s="2">
        <v>110.0</v>
      </c>
      <c r="G204" s="2">
        <v>110.0</v>
      </c>
      <c r="H204" s="8">
        <f t="shared" si="1"/>
        <v>0</v>
      </c>
      <c r="I204" s="2" t="b">
        <v>1</v>
      </c>
      <c r="J204" s="2" t="s">
        <v>160</v>
      </c>
      <c r="K204" s="12">
        <f t="shared" si="2"/>
        <v>45948</v>
      </c>
      <c r="L204" s="12">
        <f t="shared" si="3"/>
        <v>45963</v>
      </c>
    </row>
    <row r="205" ht="15.75" hidden="1" customHeight="1">
      <c r="A205" s="4">
        <v>45929.0</v>
      </c>
      <c r="B205" s="2" t="s">
        <v>208</v>
      </c>
      <c r="C205" s="2" t="s">
        <v>434</v>
      </c>
      <c r="D205" s="2" t="s">
        <v>159</v>
      </c>
      <c r="E205" s="2"/>
      <c r="F205" s="2">
        <v>40.0</v>
      </c>
      <c r="G205" s="2">
        <v>40.0</v>
      </c>
      <c r="H205" s="8">
        <f t="shared" si="1"/>
        <v>0</v>
      </c>
      <c r="I205" s="2" t="b">
        <v>1</v>
      </c>
      <c r="J205" s="2" t="s">
        <v>160</v>
      </c>
      <c r="K205" s="12">
        <f t="shared" si="2"/>
        <v>45944</v>
      </c>
      <c r="L205" s="12">
        <f t="shared" si="3"/>
        <v>45959</v>
      </c>
    </row>
    <row r="206" ht="15.75" hidden="1" customHeight="1">
      <c r="A206" s="4">
        <v>45924.0</v>
      </c>
      <c r="B206" s="2" t="s">
        <v>176</v>
      </c>
      <c r="C206" s="2" t="s">
        <v>434</v>
      </c>
      <c r="D206" s="2" t="s">
        <v>159</v>
      </c>
      <c r="E206" s="2">
        <v>0.0</v>
      </c>
      <c r="F206" s="2">
        <v>50.0</v>
      </c>
      <c r="G206" s="2">
        <v>50.0</v>
      </c>
      <c r="H206" s="8">
        <f t="shared" si="1"/>
        <v>0</v>
      </c>
      <c r="I206" s="2" t="b">
        <v>1</v>
      </c>
      <c r="J206" s="2" t="s">
        <v>160</v>
      </c>
      <c r="K206" s="12">
        <f t="shared" si="2"/>
        <v>45939</v>
      </c>
      <c r="L206" s="12">
        <f t="shared" si="3"/>
        <v>45954</v>
      </c>
    </row>
    <row r="207" ht="15.75" hidden="1" customHeight="1">
      <c r="A207" s="4">
        <v>45924.0</v>
      </c>
      <c r="B207" s="2" t="s">
        <v>176</v>
      </c>
      <c r="C207" s="2" t="s">
        <v>435</v>
      </c>
      <c r="D207" s="2" t="s">
        <v>159</v>
      </c>
      <c r="E207" s="2">
        <v>0.0</v>
      </c>
      <c r="F207" s="2">
        <v>40.0</v>
      </c>
      <c r="G207" s="2">
        <v>40.0</v>
      </c>
      <c r="H207" s="8">
        <f t="shared" si="1"/>
        <v>0</v>
      </c>
      <c r="I207" s="2" t="b">
        <v>1</v>
      </c>
      <c r="J207" s="2" t="s">
        <v>160</v>
      </c>
      <c r="K207" s="12">
        <f t="shared" si="2"/>
        <v>45939</v>
      </c>
      <c r="L207" s="12">
        <f t="shared" si="3"/>
        <v>45954</v>
      </c>
    </row>
    <row r="208" ht="15.75" hidden="1" customHeight="1">
      <c r="A208" s="4">
        <v>45985.0</v>
      </c>
      <c r="B208" s="2" t="s">
        <v>228</v>
      </c>
      <c r="C208" s="2" t="s">
        <v>436</v>
      </c>
      <c r="D208" s="2" t="s">
        <v>159</v>
      </c>
      <c r="E208" s="2">
        <v>0.0</v>
      </c>
      <c r="F208" s="2">
        <v>50.0</v>
      </c>
      <c r="G208" s="2">
        <v>50.0</v>
      </c>
      <c r="H208" s="8">
        <f t="shared" si="1"/>
        <v>0</v>
      </c>
      <c r="I208" s="2" t="b">
        <v>1</v>
      </c>
      <c r="J208" s="2" t="s">
        <v>160</v>
      </c>
      <c r="K208" s="12">
        <f t="shared" si="2"/>
        <v>46000</v>
      </c>
      <c r="L208" s="12">
        <f t="shared" si="3"/>
        <v>46015</v>
      </c>
    </row>
    <row r="209" ht="15.75" hidden="1" customHeight="1">
      <c r="A209" s="4">
        <v>45923.0</v>
      </c>
      <c r="B209" s="2" t="s">
        <v>123</v>
      </c>
      <c r="C209" s="2" t="s">
        <v>437</v>
      </c>
      <c r="D209" s="2" t="s">
        <v>159</v>
      </c>
      <c r="E209" s="2"/>
      <c r="F209" s="2">
        <v>50.0</v>
      </c>
      <c r="G209" s="2">
        <v>50.0</v>
      </c>
      <c r="H209" s="8">
        <f t="shared" si="1"/>
        <v>0</v>
      </c>
      <c r="I209" s="2" t="b">
        <v>1</v>
      </c>
      <c r="J209" s="2" t="s">
        <v>160</v>
      </c>
      <c r="K209" s="12">
        <f t="shared" si="2"/>
        <v>45938</v>
      </c>
      <c r="L209" s="12">
        <f t="shared" si="3"/>
        <v>45953</v>
      </c>
    </row>
    <row r="210" ht="15.75" hidden="1" customHeight="1">
      <c r="A210" s="4">
        <v>45980.0</v>
      </c>
      <c r="B210" s="2" t="s">
        <v>438</v>
      </c>
      <c r="C210" s="2" t="s">
        <v>439</v>
      </c>
      <c r="D210" s="2" t="s">
        <v>159</v>
      </c>
      <c r="E210" s="2">
        <v>0.0</v>
      </c>
      <c r="F210" s="2">
        <v>50.0</v>
      </c>
      <c r="G210" s="2">
        <v>50.0</v>
      </c>
      <c r="H210" s="8">
        <f t="shared" si="1"/>
        <v>0</v>
      </c>
      <c r="I210" s="2" t="b">
        <v>1</v>
      </c>
      <c r="J210" s="2" t="s">
        <v>160</v>
      </c>
      <c r="K210" s="12">
        <f t="shared" si="2"/>
        <v>45995</v>
      </c>
      <c r="L210" s="12">
        <f t="shared" si="3"/>
        <v>46010</v>
      </c>
    </row>
    <row r="211" ht="15.75" hidden="1" customHeight="1">
      <c r="A211" s="4">
        <v>45924.0</v>
      </c>
      <c r="B211" s="2" t="s">
        <v>176</v>
      </c>
      <c r="C211" s="2" t="s">
        <v>440</v>
      </c>
      <c r="D211" s="2" t="s">
        <v>159</v>
      </c>
      <c r="E211" s="2">
        <v>0.0</v>
      </c>
      <c r="F211" s="2">
        <v>60.0</v>
      </c>
      <c r="G211" s="2">
        <v>60.0</v>
      </c>
      <c r="H211" s="8">
        <f t="shared" si="1"/>
        <v>0</v>
      </c>
      <c r="I211" s="2" t="b">
        <v>1</v>
      </c>
      <c r="J211" s="2" t="s">
        <v>160</v>
      </c>
      <c r="K211" s="12">
        <f t="shared" si="2"/>
        <v>45939</v>
      </c>
      <c r="L211" s="12">
        <f t="shared" si="3"/>
        <v>45954</v>
      </c>
    </row>
    <row r="212" ht="15.75" hidden="1" customHeight="1">
      <c r="A212" s="4">
        <v>45966.0</v>
      </c>
      <c r="B212" s="2" t="s">
        <v>416</v>
      </c>
      <c r="C212" s="2" t="s">
        <v>441</v>
      </c>
      <c r="D212" s="2" t="s">
        <v>159</v>
      </c>
      <c r="E212" s="2">
        <v>0.0</v>
      </c>
      <c r="F212" s="2">
        <v>40.0</v>
      </c>
      <c r="G212" s="2">
        <v>40.0</v>
      </c>
      <c r="H212" s="8">
        <f t="shared" si="1"/>
        <v>0</v>
      </c>
      <c r="I212" s="2" t="b">
        <v>1</v>
      </c>
      <c r="J212" s="2" t="s">
        <v>160</v>
      </c>
      <c r="K212" s="12">
        <f t="shared" si="2"/>
        <v>45981</v>
      </c>
      <c r="L212" s="12">
        <f t="shared" si="3"/>
        <v>45996</v>
      </c>
    </row>
    <row r="213" ht="15.75" hidden="1" customHeight="1">
      <c r="A213" s="4">
        <v>45929.0</v>
      </c>
      <c r="B213" s="2" t="s">
        <v>176</v>
      </c>
      <c r="C213" s="2" t="s">
        <v>442</v>
      </c>
      <c r="D213" s="2" t="s">
        <v>159</v>
      </c>
      <c r="E213" s="2">
        <v>0.0</v>
      </c>
      <c r="F213" s="2">
        <v>50.0</v>
      </c>
      <c r="G213" s="2">
        <v>50.0</v>
      </c>
      <c r="H213" s="8">
        <f t="shared" si="1"/>
        <v>0</v>
      </c>
      <c r="I213" s="2" t="b">
        <v>1</v>
      </c>
      <c r="J213" s="2" t="s">
        <v>160</v>
      </c>
      <c r="K213" s="12">
        <f t="shared" si="2"/>
        <v>45944</v>
      </c>
      <c r="L213" s="12">
        <f t="shared" si="3"/>
        <v>45959</v>
      </c>
    </row>
    <row r="214" ht="15.75" hidden="1" customHeight="1">
      <c r="A214" s="4">
        <v>45977.0</v>
      </c>
      <c r="B214" s="2" t="s">
        <v>210</v>
      </c>
      <c r="C214" s="2" t="s">
        <v>443</v>
      </c>
      <c r="D214" s="2" t="s">
        <v>159</v>
      </c>
      <c r="E214" s="2">
        <v>0.0</v>
      </c>
      <c r="F214" s="2">
        <v>1.0</v>
      </c>
      <c r="G214" s="2">
        <v>1.0</v>
      </c>
      <c r="H214" s="8">
        <f t="shared" si="1"/>
        <v>0</v>
      </c>
      <c r="I214" s="2" t="b">
        <v>1</v>
      </c>
      <c r="J214" s="2" t="s">
        <v>160</v>
      </c>
      <c r="K214" s="12">
        <f t="shared" si="2"/>
        <v>45992</v>
      </c>
      <c r="L214" s="12">
        <f t="shared" si="3"/>
        <v>46007</v>
      </c>
    </row>
    <row r="215" ht="15.75" hidden="1" customHeight="1">
      <c r="A215" s="4">
        <v>45988.0</v>
      </c>
      <c r="B215" s="2" t="s">
        <v>269</v>
      </c>
      <c r="C215" s="2" t="s">
        <v>444</v>
      </c>
      <c r="D215" s="2" t="s">
        <v>159</v>
      </c>
      <c r="E215" s="2">
        <v>0.0</v>
      </c>
      <c r="F215" s="2">
        <v>25.0</v>
      </c>
      <c r="G215" s="2">
        <v>25.0</v>
      </c>
      <c r="H215" s="8">
        <f t="shared" si="1"/>
        <v>0</v>
      </c>
      <c r="I215" s="2" t="b">
        <v>1</v>
      </c>
      <c r="J215" s="2" t="s">
        <v>160</v>
      </c>
      <c r="K215" s="12">
        <f t="shared" si="2"/>
        <v>46003</v>
      </c>
      <c r="L215" s="12">
        <f t="shared" si="3"/>
        <v>46018</v>
      </c>
    </row>
    <row r="216" ht="15.75" hidden="1" customHeight="1">
      <c r="A216" s="4">
        <v>45965.0</v>
      </c>
      <c r="B216" s="2" t="s">
        <v>426</v>
      </c>
      <c r="C216" s="2" t="s">
        <v>445</v>
      </c>
      <c r="D216" s="2" t="s">
        <v>159</v>
      </c>
      <c r="E216" s="2">
        <v>0.0</v>
      </c>
      <c r="F216" s="2">
        <v>20.0</v>
      </c>
      <c r="G216" s="2">
        <v>20.0</v>
      </c>
      <c r="H216" s="8">
        <f t="shared" si="1"/>
        <v>0</v>
      </c>
      <c r="I216" s="8" t="b">
        <v>0</v>
      </c>
      <c r="J216" s="2" t="s">
        <v>160</v>
      </c>
      <c r="K216" s="12">
        <f t="shared" si="2"/>
        <v>45980</v>
      </c>
      <c r="L216" s="12">
        <f t="shared" si="3"/>
        <v>45995</v>
      </c>
    </row>
    <row r="217" ht="15.75" hidden="1" customHeight="1">
      <c r="A217" s="4">
        <v>45988.0</v>
      </c>
      <c r="B217" s="2" t="s">
        <v>269</v>
      </c>
      <c r="C217" s="2" t="s">
        <v>446</v>
      </c>
      <c r="D217" s="2" t="s">
        <v>159</v>
      </c>
      <c r="E217" s="2">
        <v>0.0</v>
      </c>
      <c r="F217" s="2">
        <v>25.0</v>
      </c>
      <c r="G217" s="2">
        <v>25.0</v>
      </c>
      <c r="H217" s="8">
        <f t="shared" si="1"/>
        <v>0</v>
      </c>
      <c r="I217" s="2" t="b">
        <v>1</v>
      </c>
      <c r="J217" s="2" t="s">
        <v>160</v>
      </c>
      <c r="K217" s="12">
        <f t="shared" si="2"/>
        <v>46003</v>
      </c>
      <c r="L217" s="12">
        <f t="shared" si="3"/>
        <v>46018</v>
      </c>
    </row>
    <row r="218" ht="15.75" hidden="1" customHeight="1">
      <c r="A218" s="4">
        <v>45917.0</v>
      </c>
      <c r="B218" s="2" t="s">
        <v>131</v>
      </c>
      <c r="C218" s="2" t="s">
        <v>447</v>
      </c>
      <c r="D218" s="2" t="s">
        <v>159</v>
      </c>
      <c r="E218" s="2"/>
      <c r="F218" s="2">
        <v>45.0</v>
      </c>
      <c r="G218" s="2">
        <v>45.0</v>
      </c>
      <c r="H218" s="8">
        <f t="shared" si="1"/>
        <v>0</v>
      </c>
      <c r="I218" s="2" t="b">
        <v>1</v>
      </c>
      <c r="J218" s="2" t="s">
        <v>160</v>
      </c>
      <c r="K218" s="12">
        <f t="shared" si="2"/>
        <v>45932</v>
      </c>
      <c r="L218" s="12">
        <f t="shared" si="3"/>
        <v>45947</v>
      </c>
    </row>
    <row r="219" ht="15.75" hidden="1" customHeight="1">
      <c r="A219" s="4">
        <v>45965.0</v>
      </c>
      <c r="B219" s="2" t="s">
        <v>426</v>
      </c>
      <c r="C219" s="2" t="s">
        <v>448</v>
      </c>
      <c r="D219" s="2" t="s">
        <v>159</v>
      </c>
      <c r="E219" s="2">
        <v>0.0</v>
      </c>
      <c r="F219" s="2">
        <v>40.0</v>
      </c>
      <c r="G219" s="2">
        <v>40.0</v>
      </c>
      <c r="H219" s="8">
        <f t="shared" si="1"/>
        <v>0</v>
      </c>
      <c r="I219" s="8" t="b">
        <v>0</v>
      </c>
      <c r="J219" s="2" t="s">
        <v>160</v>
      </c>
      <c r="K219" s="12">
        <f t="shared" si="2"/>
        <v>45980</v>
      </c>
      <c r="L219" s="12">
        <f t="shared" si="3"/>
        <v>45995</v>
      </c>
    </row>
    <row r="220" ht="15.75" hidden="1" customHeight="1">
      <c r="A220" s="4">
        <v>45954.0</v>
      </c>
      <c r="B220" s="2" t="s">
        <v>176</v>
      </c>
      <c r="C220" s="2" t="s">
        <v>449</v>
      </c>
      <c r="D220" s="2" t="s">
        <v>113</v>
      </c>
      <c r="E220" s="2">
        <v>0.0</v>
      </c>
      <c r="F220" s="2">
        <v>35.0</v>
      </c>
      <c r="G220" s="2">
        <v>35.0</v>
      </c>
      <c r="H220" s="8">
        <f t="shared" si="1"/>
        <v>0</v>
      </c>
      <c r="I220" s="2" t="b">
        <v>1</v>
      </c>
      <c r="J220" s="2" t="s">
        <v>160</v>
      </c>
      <c r="K220" s="12">
        <f t="shared" si="2"/>
        <v>45969</v>
      </c>
      <c r="L220" s="12">
        <f t="shared" si="3"/>
        <v>45984</v>
      </c>
    </row>
    <row r="221" ht="15.75" hidden="1" customHeight="1">
      <c r="A221" s="4">
        <v>45969.0</v>
      </c>
      <c r="B221" s="2" t="s">
        <v>426</v>
      </c>
      <c r="C221" s="2" t="s">
        <v>450</v>
      </c>
      <c r="D221" s="2" t="s">
        <v>159</v>
      </c>
      <c r="E221" s="2">
        <v>0.0</v>
      </c>
      <c r="F221" s="2">
        <v>100.0</v>
      </c>
      <c r="G221" s="2">
        <v>100.0</v>
      </c>
      <c r="H221" s="8">
        <f t="shared" si="1"/>
        <v>0</v>
      </c>
      <c r="I221" s="8" t="b">
        <v>0</v>
      </c>
      <c r="J221" s="2" t="s">
        <v>160</v>
      </c>
      <c r="K221" s="12">
        <f t="shared" si="2"/>
        <v>45984</v>
      </c>
      <c r="L221" s="12">
        <f t="shared" si="3"/>
        <v>45999</v>
      </c>
    </row>
    <row r="222" ht="15.75" hidden="1" customHeight="1">
      <c r="A222" s="4">
        <v>45969.0</v>
      </c>
      <c r="B222" s="2" t="s">
        <v>426</v>
      </c>
      <c r="C222" s="2" t="s">
        <v>451</v>
      </c>
      <c r="D222" s="2" t="s">
        <v>159</v>
      </c>
      <c r="E222" s="2">
        <v>0.0</v>
      </c>
      <c r="F222" s="2">
        <v>55.0</v>
      </c>
      <c r="G222" s="2">
        <v>55.0</v>
      </c>
      <c r="H222" s="8">
        <f t="shared" si="1"/>
        <v>0</v>
      </c>
      <c r="I222" s="8" t="b">
        <v>0</v>
      </c>
      <c r="J222" s="2" t="s">
        <v>160</v>
      </c>
      <c r="K222" s="12">
        <f t="shared" si="2"/>
        <v>45984</v>
      </c>
      <c r="L222" s="12">
        <f t="shared" si="3"/>
        <v>45999</v>
      </c>
    </row>
    <row r="223" ht="15.75" hidden="1" customHeight="1">
      <c r="A223" s="4">
        <v>45987.0</v>
      </c>
      <c r="B223" s="2" t="s">
        <v>173</v>
      </c>
      <c r="C223" s="2" t="s">
        <v>283</v>
      </c>
      <c r="D223" s="2" t="s">
        <v>159</v>
      </c>
      <c r="E223" s="2">
        <v>0.0</v>
      </c>
      <c r="F223" s="2">
        <v>16.0</v>
      </c>
      <c r="G223" s="2">
        <v>16.0</v>
      </c>
      <c r="H223" s="8">
        <f t="shared" si="1"/>
        <v>0</v>
      </c>
      <c r="I223" s="2" t="b">
        <v>1</v>
      </c>
      <c r="J223" s="2" t="s">
        <v>160</v>
      </c>
      <c r="K223" s="12">
        <f t="shared" si="2"/>
        <v>46002</v>
      </c>
      <c r="L223" s="12">
        <f t="shared" si="3"/>
        <v>46017</v>
      </c>
    </row>
    <row r="224" ht="15.75" hidden="1" customHeight="1">
      <c r="A224" s="4">
        <v>45975.0</v>
      </c>
      <c r="B224" s="2" t="s">
        <v>426</v>
      </c>
      <c r="C224" s="2" t="s">
        <v>452</v>
      </c>
      <c r="D224" s="2" t="s">
        <v>159</v>
      </c>
      <c r="E224" s="2">
        <v>0.0</v>
      </c>
      <c r="F224" s="2">
        <v>70.0</v>
      </c>
      <c r="G224" s="2">
        <v>70.0</v>
      </c>
      <c r="H224" s="8">
        <f t="shared" si="1"/>
        <v>0</v>
      </c>
      <c r="I224" s="8" t="b">
        <v>0</v>
      </c>
      <c r="J224" s="2" t="s">
        <v>160</v>
      </c>
      <c r="K224" s="12">
        <f t="shared" si="2"/>
        <v>45990</v>
      </c>
      <c r="L224" s="12">
        <f t="shared" si="3"/>
        <v>46005</v>
      </c>
    </row>
    <row r="225" ht="15.75" hidden="1" customHeight="1">
      <c r="A225" s="4">
        <v>45981.0</v>
      </c>
      <c r="B225" s="2" t="s">
        <v>407</v>
      </c>
      <c r="C225" s="2" t="s">
        <v>453</v>
      </c>
      <c r="D225" s="2" t="s">
        <v>159</v>
      </c>
      <c r="E225" s="2">
        <v>0.0</v>
      </c>
      <c r="F225" s="2">
        <v>31.0</v>
      </c>
      <c r="G225" s="2">
        <v>31.0</v>
      </c>
      <c r="H225" s="8">
        <f t="shared" si="1"/>
        <v>0</v>
      </c>
      <c r="I225" s="2" t="b">
        <v>1</v>
      </c>
      <c r="J225" s="2" t="s">
        <v>160</v>
      </c>
      <c r="K225" s="12">
        <f t="shared" si="2"/>
        <v>45996</v>
      </c>
      <c r="L225" s="12">
        <f t="shared" si="3"/>
        <v>46011</v>
      </c>
    </row>
    <row r="226" ht="15.75" hidden="1" customHeight="1">
      <c r="A226" s="4">
        <v>45977.0</v>
      </c>
      <c r="B226" s="2" t="s">
        <v>325</v>
      </c>
      <c r="C226" s="2" t="s">
        <v>454</v>
      </c>
      <c r="D226" s="2" t="s">
        <v>159</v>
      </c>
      <c r="E226" s="2">
        <v>0.0</v>
      </c>
      <c r="F226" s="2">
        <v>1.0</v>
      </c>
      <c r="G226" s="2">
        <v>1.0</v>
      </c>
      <c r="H226" s="8">
        <f t="shared" si="1"/>
        <v>0</v>
      </c>
      <c r="I226" s="2" t="b">
        <v>1</v>
      </c>
      <c r="J226" s="2" t="s">
        <v>160</v>
      </c>
      <c r="K226" s="12">
        <f t="shared" si="2"/>
        <v>45992</v>
      </c>
      <c r="L226" s="12">
        <f t="shared" si="3"/>
        <v>46007</v>
      </c>
    </row>
    <row r="227" ht="15.75" hidden="1" customHeight="1">
      <c r="A227" s="4">
        <v>45985.0</v>
      </c>
      <c r="B227" s="2" t="s">
        <v>228</v>
      </c>
      <c r="C227" s="2" t="s">
        <v>455</v>
      </c>
      <c r="D227" s="2" t="s">
        <v>159</v>
      </c>
      <c r="E227" s="2">
        <v>0.0</v>
      </c>
      <c r="F227" s="2">
        <v>45.0</v>
      </c>
      <c r="G227" s="2">
        <v>45.0</v>
      </c>
      <c r="H227" s="8">
        <f t="shared" si="1"/>
        <v>0</v>
      </c>
      <c r="I227" s="2" t="b">
        <v>1</v>
      </c>
      <c r="J227" s="2" t="s">
        <v>160</v>
      </c>
      <c r="K227" s="12">
        <f t="shared" si="2"/>
        <v>46000</v>
      </c>
      <c r="L227" s="12">
        <f t="shared" si="3"/>
        <v>46015</v>
      </c>
    </row>
    <row r="228" ht="15.75" hidden="1" customHeight="1">
      <c r="A228" s="4">
        <v>45923.0</v>
      </c>
      <c r="B228" s="2" t="s">
        <v>123</v>
      </c>
      <c r="C228" s="2" t="s">
        <v>456</v>
      </c>
      <c r="D228" s="2" t="s">
        <v>159</v>
      </c>
      <c r="E228" s="2"/>
      <c r="F228" s="2">
        <v>35.0</v>
      </c>
      <c r="G228" s="2">
        <v>35.0</v>
      </c>
      <c r="H228" s="8">
        <f t="shared" si="1"/>
        <v>0</v>
      </c>
      <c r="I228" s="2" t="b">
        <v>1</v>
      </c>
      <c r="J228" s="2" t="s">
        <v>160</v>
      </c>
      <c r="K228" s="12">
        <f t="shared" si="2"/>
        <v>45938</v>
      </c>
      <c r="L228" s="12">
        <f t="shared" si="3"/>
        <v>45953</v>
      </c>
    </row>
    <row r="229" ht="15.75" hidden="1" customHeight="1">
      <c r="A229" s="255">
        <v>45931.0</v>
      </c>
      <c r="B229" s="2" t="s">
        <v>408</v>
      </c>
      <c r="C229" s="2" t="s">
        <v>457</v>
      </c>
      <c r="D229" s="2" t="s">
        <v>159</v>
      </c>
      <c r="E229" s="2">
        <v>0.0</v>
      </c>
      <c r="F229" s="2">
        <v>12.0</v>
      </c>
      <c r="G229" s="2">
        <v>12.0</v>
      </c>
      <c r="H229" s="8">
        <f t="shared" si="1"/>
        <v>0</v>
      </c>
      <c r="I229" s="2" t="b">
        <v>1</v>
      </c>
      <c r="J229" s="2" t="s">
        <v>160</v>
      </c>
      <c r="K229" s="5">
        <f t="shared" si="2"/>
        <v>45946</v>
      </c>
      <c r="L229" s="5">
        <f t="shared" si="3"/>
        <v>45961</v>
      </c>
    </row>
    <row r="230" ht="15.75" hidden="1" customHeight="1">
      <c r="A230" s="4">
        <v>45975.0</v>
      </c>
      <c r="B230" s="2" t="s">
        <v>426</v>
      </c>
      <c r="C230" s="2" t="s">
        <v>458</v>
      </c>
      <c r="D230" s="2" t="s">
        <v>159</v>
      </c>
      <c r="E230" s="2">
        <v>0.0</v>
      </c>
      <c r="F230" s="2">
        <v>70.0</v>
      </c>
      <c r="G230" s="2">
        <v>70.0</v>
      </c>
      <c r="H230" s="8">
        <f t="shared" si="1"/>
        <v>0</v>
      </c>
      <c r="I230" s="8" t="b">
        <v>0</v>
      </c>
      <c r="J230" s="2" t="s">
        <v>160</v>
      </c>
      <c r="K230" s="12">
        <f t="shared" si="2"/>
        <v>45990</v>
      </c>
      <c r="L230" s="12">
        <f t="shared" si="3"/>
        <v>46005</v>
      </c>
    </row>
    <row r="231" ht="15.75" hidden="1" customHeight="1">
      <c r="A231" s="4">
        <v>45924.0</v>
      </c>
      <c r="B231" s="2" t="s">
        <v>176</v>
      </c>
      <c r="C231" s="2" t="s">
        <v>459</v>
      </c>
      <c r="D231" s="2" t="s">
        <v>159</v>
      </c>
      <c r="E231" s="2">
        <v>0.0</v>
      </c>
      <c r="F231" s="2">
        <v>50.0</v>
      </c>
      <c r="G231" s="2">
        <v>50.0</v>
      </c>
      <c r="H231" s="8">
        <f t="shared" si="1"/>
        <v>0</v>
      </c>
      <c r="I231" s="2" t="b">
        <v>1</v>
      </c>
      <c r="J231" s="2" t="s">
        <v>160</v>
      </c>
      <c r="K231" s="12">
        <f t="shared" si="2"/>
        <v>45939</v>
      </c>
      <c r="L231" s="12">
        <f t="shared" si="3"/>
        <v>45954</v>
      </c>
    </row>
    <row r="232" ht="15.75" hidden="1" customHeight="1">
      <c r="A232" s="4">
        <v>45973.0</v>
      </c>
      <c r="B232" s="2" t="s">
        <v>416</v>
      </c>
      <c r="C232" s="2" t="s">
        <v>460</v>
      </c>
      <c r="D232" s="2" t="s">
        <v>159</v>
      </c>
      <c r="E232" s="2">
        <v>0.0</v>
      </c>
      <c r="F232" s="2">
        <v>35.0</v>
      </c>
      <c r="G232" s="2">
        <v>35.0</v>
      </c>
      <c r="H232" s="8">
        <f t="shared" si="1"/>
        <v>0</v>
      </c>
      <c r="I232" s="2" t="b">
        <v>1</v>
      </c>
      <c r="J232" s="2" t="s">
        <v>160</v>
      </c>
      <c r="K232" s="12">
        <f t="shared" si="2"/>
        <v>45988</v>
      </c>
      <c r="L232" s="12">
        <f t="shared" si="3"/>
        <v>46003</v>
      </c>
    </row>
    <row r="233" ht="15.75" hidden="1" customHeight="1">
      <c r="A233" s="4">
        <v>45942.0</v>
      </c>
      <c r="B233" s="2" t="s">
        <v>192</v>
      </c>
      <c r="C233" s="2" t="s">
        <v>461</v>
      </c>
      <c r="D233" s="2" t="s">
        <v>159</v>
      </c>
      <c r="E233" s="2">
        <v>0.0</v>
      </c>
      <c r="F233" s="2">
        <v>45.0</v>
      </c>
      <c r="G233" s="2">
        <v>45.0</v>
      </c>
      <c r="H233" s="8">
        <f t="shared" si="1"/>
        <v>0</v>
      </c>
      <c r="I233" s="2" t="b">
        <v>1</v>
      </c>
      <c r="J233" s="2" t="s">
        <v>160</v>
      </c>
      <c r="K233" s="12">
        <f t="shared" si="2"/>
        <v>45957</v>
      </c>
      <c r="L233" s="12">
        <f t="shared" si="3"/>
        <v>45972</v>
      </c>
    </row>
    <row r="234" ht="15.75" hidden="1" customHeight="1">
      <c r="A234" s="4">
        <v>46014.0</v>
      </c>
      <c r="B234" s="2" t="s">
        <v>173</v>
      </c>
      <c r="C234" s="2" t="s">
        <v>462</v>
      </c>
      <c r="D234" s="2" t="s">
        <v>159</v>
      </c>
      <c r="E234" s="2">
        <v>0.0</v>
      </c>
      <c r="F234" s="2">
        <v>20.0</v>
      </c>
      <c r="G234" s="2">
        <v>20.0</v>
      </c>
      <c r="H234" s="8">
        <f t="shared" si="1"/>
        <v>0</v>
      </c>
      <c r="I234" s="2" t="b">
        <v>1</v>
      </c>
      <c r="J234" s="2" t="s">
        <v>160</v>
      </c>
      <c r="K234" s="12">
        <f t="shared" si="2"/>
        <v>46029</v>
      </c>
      <c r="L234" s="12">
        <f t="shared" si="3"/>
        <v>46044</v>
      </c>
    </row>
    <row r="235" ht="15.75" hidden="1" customHeight="1">
      <c r="A235" s="4">
        <v>45931.0</v>
      </c>
      <c r="B235" s="2" t="s">
        <v>344</v>
      </c>
      <c r="C235" s="2" t="s">
        <v>463</v>
      </c>
      <c r="D235" s="2" t="s">
        <v>113</v>
      </c>
      <c r="E235" s="2">
        <v>0.0</v>
      </c>
      <c r="F235" s="2">
        <v>25.0</v>
      </c>
      <c r="G235" s="2">
        <v>25.0</v>
      </c>
      <c r="H235" s="8">
        <f t="shared" si="1"/>
        <v>0</v>
      </c>
      <c r="I235" s="2" t="b">
        <v>1</v>
      </c>
      <c r="J235" s="2" t="s">
        <v>160</v>
      </c>
      <c r="K235" s="12">
        <f t="shared" si="2"/>
        <v>45946</v>
      </c>
      <c r="L235" s="12">
        <f t="shared" si="3"/>
        <v>45961</v>
      </c>
    </row>
    <row r="236" ht="15.75" hidden="1" customHeight="1">
      <c r="A236" s="4">
        <v>45985.0</v>
      </c>
      <c r="B236" s="2" t="s">
        <v>228</v>
      </c>
      <c r="C236" s="2" t="s">
        <v>464</v>
      </c>
      <c r="D236" s="2" t="s">
        <v>159</v>
      </c>
      <c r="E236" s="2">
        <v>0.0</v>
      </c>
      <c r="F236" s="2">
        <v>35.0</v>
      </c>
      <c r="G236" s="2">
        <v>35.0</v>
      </c>
      <c r="H236" s="8">
        <f t="shared" si="1"/>
        <v>0</v>
      </c>
      <c r="I236" s="2" t="b">
        <v>1</v>
      </c>
      <c r="J236" s="2" t="s">
        <v>160</v>
      </c>
      <c r="K236" s="12">
        <f t="shared" si="2"/>
        <v>46000</v>
      </c>
      <c r="L236" s="12">
        <f t="shared" si="3"/>
        <v>46015</v>
      </c>
    </row>
    <row r="237" ht="15.75" hidden="1" customHeight="1">
      <c r="A237" s="4">
        <v>45977.0</v>
      </c>
      <c r="B237" s="2" t="s">
        <v>426</v>
      </c>
      <c r="C237" s="2" t="s">
        <v>465</v>
      </c>
      <c r="D237" s="2" t="s">
        <v>159</v>
      </c>
      <c r="E237" s="2">
        <v>0.0</v>
      </c>
      <c r="F237" s="2">
        <v>20.0</v>
      </c>
      <c r="G237" s="2">
        <v>20.0</v>
      </c>
      <c r="H237" s="8">
        <f t="shared" si="1"/>
        <v>0</v>
      </c>
      <c r="I237" s="8" t="b">
        <v>0</v>
      </c>
      <c r="J237" s="2" t="s">
        <v>160</v>
      </c>
      <c r="K237" s="12">
        <f t="shared" si="2"/>
        <v>45992</v>
      </c>
      <c r="L237" s="12">
        <f t="shared" si="3"/>
        <v>46007</v>
      </c>
    </row>
    <row r="238" ht="15.75" hidden="1" customHeight="1">
      <c r="A238" s="4">
        <v>45977.0</v>
      </c>
      <c r="B238" s="2" t="s">
        <v>416</v>
      </c>
      <c r="C238" s="2" t="s">
        <v>466</v>
      </c>
      <c r="D238" s="2" t="s">
        <v>159</v>
      </c>
      <c r="E238" s="2">
        <v>0.0</v>
      </c>
      <c r="F238" s="2">
        <v>1.0</v>
      </c>
      <c r="G238" s="2">
        <v>1.0</v>
      </c>
      <c r="H238" s="8">
        <f t="shared" si="1"/>
        <v>0</v>
      </c>
      <c r="I238" s="2" t="b">
        <v>1</v>
      </c>
      <c r="J238" s="2" t="s">
        <v>160</v>
      </c>
      <c r="K238" s="12">
        <f t="shared" si="2"/>
        <v>45992</v>
      </c>
      <c r="L238" s="12">
        <f t="shared" si="3"/>
        <v>46007</v>
      </c>
    </row>
    <row r="239" ht="15.75" hidden="1" customHeight="1">
      <c r="A239" s="4">
        <v>46009.0</v>
      </c>
      <c r="B239" s="2" t="s">
        <v>226</v>
      </c>
      <c r="C239" s="2" t="s">
        <v>467</v>
      </c>
      <c r="D239" s="2" t="s">
        <v>159</v>
      </c>
      <c r="E239" s="2">
        <v>0.0</v>
      </c>
      <c r="F239" s="2">
        <v>57.0</v>
      </c>
      <c r="G239" s="2">
        <v>57.0</v>
      </c>
      <c r="H239" s="8">
        <f t="shared" si="1"/>
        <v>0</v>
      </c>
      <c r="I239" s="2" t="b">
        <v>1</v>
      </c>
      <c r="J239" s="2" t="s">
        <v>160</v>
      </c>
      <c r="K239" s="12">
        <f t="shared" si="2"/>
        <v>46024</v>
      </c>
      <c r="L239" s="12">
        <f t="shared" si="3"/>
        <v>46039</v>
      </c>
    </row>
    <row r="240" ht="15.75" hidden="1" customHeight="1">
      <c r="A240" s="4">
        <v>45979.0</v>
      </c>
      <c r="B240" s="2" t="s">
        <v>290</v>
      </c>
      <c r="C240" s="2" t="s">
        <v>468</v>
      </c>
      <c r="D240" s="2" t="s">
        <v>159</v>
      </c>
      <c r="E240" s="2">
        <v>0.0</v>
      </c>
      <c r="F240" s="2">
        <v>33.0</v>
      </c>
      <c r="G240" s="2">
        <v>33.0</v>
      </c>
      <c r="H240" s="8">
        <f t="shared" si="1"/>
        <v>0</v>
      </c>
      <c r="I240" s="2" t="b">
        <v>1</v>
      </c>
      <c r="J240" s="2" t="s">
        <v>160</v>
      </c>
      <c r="K240" s="12">
        <f t="shared" si="2"/>
        <v>45994</v>
      </c>
      <c r="L240" s="12">
        <f t="shared" si="3"/>
        <v>46009</v>
      </c>
    </row>
    <row r="241" ht="15.75" hidden="1" customHeight="1">
      <c r="A241" s="4">
        <v>45924.0</v>
      </c>
      <c r="B241" s="2" t="s">
        <v>210</v>
      </c>
      <c r="C241" s="2" t="s">
        <v>469</v>
      </c>
      <c r="D241" s="2" t="s">
        <v>159</v>
      </c>
      <c r="E241" s="2"/>
      <c r="F241" s="2">
        <v>60.0</v>
      </c>
      <c r="G241" s="2">
        <v>60.0</v>
      </c>
      <c r="H241" s="8">
        <f t="shared" si="1"/>
        <v>0</v>
      </c>
      <c r="I241" s="2" t="b">
        <v>1</v>
      </c>
      <c r="J241" s="2" t="s">
        <v>160</v>
      </c>
      <c r="K241" s="12">
        <f t="shared" si="2"/>
        <v>45939</v>
      </c>
      <c r="L241" s="12">
        <f t="shared" si="3"/>
        <v>45954</v>
      </c>
    </row>
    <row r="242" ht="15.75" hidden="1" customHeight="1">
      <c r="A242" s="4">
        <v>45917.0</v>
      </c>
      <c r="B242" s="2" t="s">
        <v>176</v>
      </c>
      <c r="C242" s="2" t="s">
        <v>470</v>
      </c>
      <c r="D242" s="2" t="s">
        <v>159</v>
      </c>
      <c r="E242" s="2">
        <v>0.0</v>
      </c>
      <c r="F242" s="2">
        <v>46.0</v>
      </c>
      <c r="G242" s="2">
        <v>46.0</v>
      </c>
      <c r="H242" s="8">
        <f t="shared" si="1"/>
        <v>0</v>
      </c>
      <c r="I242" s="2" t="b">
        <v>1</v>
      </c>
      <c r="J242" s="2" t="s">
        <v>160</v>
      </c>
      <c r="K242" s="12">
        <f t="shared" si="2"/>
        <v>45932</v>
      </c>
      <c r="L242" s="12">
        <f t="shared" si="3"/>
        <v>45947</v>
      </c>
    </row>
    <row r="243" ht="15.75" hidden="1" customHeight="1">
      <c r="A243" s="4">
        <v>45917.0</v>
      </c>
      <c r="B243" s="2" t="s">
        <v>471</v>
      </c>
      <c r="C243" s="2" t="s">
        <v>472</v>
      </c>
      <c r="D243" s="2" t="s">
        <v>159</v>
      </c>
      <c r="E243" s="2">
        <v>0.0</v>
      </c>
      <c r="F243" s="2">
        <v>100.0</v>
      </c>
      <c r="G243" s="2">
        <v>100.0</v>
      </c>
      <c r="H243" s="8">
        <f t="shared" si="1"/>
        <v>0</v>
      </c>
      <c r="I243" s="2" t="b">
        <v>1</v>
      </c>
      <c r="J243" s="2" t="s">
        <v>160</v>
      </c>
      <c r="K243" s="12">
        <f t="shared" si="2"/>
        <v>45932</v>
      </c>
      <c r="L243" s="12">
        <f t="shared" si="3"/>
        <v>45947</v>
      </c>
    </row>
    <row r="244" ht="15.75" hidden="1" customHeight="1">
      <c r="A244" s="4">
        <v>45915.0</v>
      </c>
      <c r="B244" s="2" t="s">
        <v>473</v>
      </c>
      <c r="C244" s="2" t="s">
        <v>474</v>
      </c>
      <c r="D244" s="2" t="s">
        <v>159</v>
      </c>
      <c r="E244" s="2"/>
      <c r="F244" s="2">
        <v>60.0</v>
      </c>
      <c r="G244" s="2">
        <v>60.0</v>
      </c>
      <c r="H244" s="8">
        <f t="shared" si="1"/>
        <v>0</v>
      </c>
      <c r="I244" s="2" t="b">
        <v>1</v>
      </c>
      <c r="J244" s="2" t="s">
        <v>160</v>
      </c>
      <c r="K244" s="12">
        <f t="shared" si="2"/>
        <v>45930</v>
      </c>
      <c r="L244" s="12">
        <f t="shared" si="3"/>
        <v>45945</v>
      </c>
    </row>
    <row r="245" ht="15.75" hidden="1" customHeight="1">
      <c r="A245" s="4">
        <v>45929.0</v>
      </c>
      <c r="B245" s="2" t="s">
        <v>298</v>
      </c>
      <c r="C245" s="2" t="s">
        <v>475</v>
      </c>
      <c r="D245" s="2" t="s">
        <v>159</v>
      </c>
      <c r="E245" s="2">
        <v>0.0</v>
      </c>
      <c r="F245" s="2">
        <v>1.0</v>
      </c>
      <c r="G245" s="2">
        <v>1.0</v>
      </c>
      <c r="H245" s="8">
        <f t="shared" si="1"/>
        <v>0</v>
      </c>
      <c r="I245" s="2" t="b">
        <v>1</v>
      </c>
      <c r="J245" s="2" t="s">
        <v>160</v>
      </c>
      <c r="K245" s="12">
        <f t="shared" si="2"/>
        <v>45944</v>
      </c>
      <c r="L245" s="12">
        <f t="shared" si="3"/>
        <v>45959</v>
      </c>
    </row>
    <row r="246" ht="15.75" hidden="1" customHeight="1">
      <c r="A246" s="4">
        <v>45925.0</v>
      </c>
      <c r="B246" s="2" t="s">
        <v>210</v>
      </c>
      <c r="C246" s="2" t="s">
        <v>476</v>
      </c>
      <c r="D246" s="2" t="s">
        <v>159</v>
      </c>
      <c r="E246" s="2"/>
      <c r="F246" s="2">
        <v>45.0</v>
      </c>
      <c r="G246" s="2">
        <v>45.0</v>
      </c>
      <c r="H246" s="8">
        <f t="shared" si="1"/>
        <v>0</v>
      </c>
      <c r="I246" s="2" t="b">
        <v>1</v>
      </c>
      <c r="J246" s="2" t="s">
        <v>160</v>
      </c>
      <c r="K246" s="12">
        <f t="shared" si="2"/>
        <v>45940</v>
      </c>
      <c r="L246" s="12">
        <f t="shared" si="3"/>
        <v>45955</v>
      </c>
    </row>
    <row r="247" ht="15.75" hidden="1" customHeight="1">
      <c r="A247" s="4">
        <v>45976.0</v>
      </c>
      <c r="B247" s="2" t="s">
        <v>214</v>
      </c>
      <c r="C247" s="2" t="s">
        <v>477</v>
      </c>
      <c r="D247" s="2" t="s">
        <v>159</v>
      </c>
      <c r="E247" s="2">
        <v>0.0</v>
      </c>
      <c r="F247" s="2">
        <v>35.0</v>
      </c>
      <c r="G247" s="2">
        <v>35.0</v>
      </c>
      <c r="H247" s="8">
        <f t="shared" si="1"/>
        <v>0</v>
      </c>
      <c r="I247" s="2" t="b">
        <v>1</v>
      </c>
      <c r="J247" s="2" t="s">
        <v>160</v>
      </c>
      <c r="K247" s="12">
        <f t="shared" si="2"/>
        <v>45991</v>
      </c>
      <c r="L247" s="12">
        <f t="shared" si="3"/>
        <v>46006</v>
      </c>
    </row>
    <row r="248" ht="15.75" hidden="1" customHeight="1">
      <c r="A248" s="4">
        <v>45924.0</v>
      </c>
      <c r="B248" s="2" t="s">
        <v>176</v>
      </c>
      <c r="C248" s="2" t="s">
        <v>478</v>
      </c>
      <c r="D248" s="2" t="s">
        <v>159</v>
      </c>
      <c r="E248" s="2">
        <v>0.0</v>
      </c>
      <c r="F248" s="2">
        <v>65.0</v>
      </c>
      <c r="G248" s="2">
        <v>65.0</v>
      </c>
      <c r="H248" s="8">
        <f t="shared" si="1"/>
        <v>0</v>
      </c>
      <c r="I248" s="2" t="b">
        <v>1</v>
      </c>
      <c r="J248" s="2" t="s">
        <v>160</v>
      </c>
      <c r="K248" s="12">
        <f t="shared" si="2"/>
        <v>45939</v>
      </c>
      <c r="L248" s="12">
        <f t="shared" si="3"/>
        <v>45954</v>
      </c>
    </row>
    <row r="249" ht="15.75" hidden="1" customHeight="1">
      <c r="A249" s="4">
        <v>46009.0</v>
      </c>
      <c r="B249" s="2" t="s">
        <v>479</v>
      </c>
      <c r="C249" s="2" t="s">
        <v>480</v>
      </c>
      <c r="D249" s="2" t="s">
        <v>159</v>
      </c>
      <c r="E249" s="2">
        <v>0.0</v>
      </c>
      <c r="F249" s="2">
        <v>51.0</v>
      </c>
      <c r="G249" s="2">
        <v>51.0</v>
      </c>
      <c r="H249" s="8">
        <f t="shared" si="1"/>
        <v>0</v>
      </c>
      <c r="I249" s="2" t="b">
        <v>1</v>
      </c>
      <c r="J249" s="2" t="s">
        <v>160</v>
      </c>
      <c r="K249" s="12">
        <f t="shared" si="2"/>
        <v>46024</v>
      </c>
      <c r="L249" s="12">
        <f t="shared" si="3"/>
        <v>46039</v>
      </c>
    </row>
    <row r="250" ht="15.75" hidden="1" customHeight="1">
      <c r="A250" s="4">
        <v>45987.0</v>
      </c>
      <c r="B250" s="2" t="s">
        <v>173</v>
      </c>
      <c r="C250" s="2" t="s">
        <v>481</v>
      </c>
      <c r="D250" s="2" t="s">
        <v>159</v>
      </c>
      <c r="E250" s="2">
        <v>0.0</v>
      </c>
      <c r="F250" s="2">
        <v>55.0</v>
      </c>
      <c r="G250" s="2">
        <v>55.0</v>
      </c>
      <c r="H250" s="8">
        <f t="shared" si="1"/>
        <v>0</v>
      </c>
      <c r="I250" s="2" t="b">
        <v>1</v>
      </c>
      <c r="J250" s="2" t="s">
        <v>160</v>
      </c>
      <c r="K250" s="12">
        <f t="shared" si="2"/>
        <v>46002</v>
      </c>
      <c r="L250" s="12">
        <f t="shared" si="3"/>
        <v>46017</v>
      </c>
    </row>
    <row r="251" ht="15.75" hidden="1" customHeight="1">
      <c r="A251" s="4">
        <v>45988.0</v>
      </c>
      <c r="B251" s="2" t="s">
        <v>173</v>
      </c>
      <c r="C251" s="2" t="s">
        <v>482</v>
      </c>
      <c r="D251" s="2" t="s">
        <v>159</v>
      </c>
      <c r="E251" s="2">
        <v>0.0</v>
      </c>
      <c r="F251" s="2">
        <v>30.0</v>
      </c>
      <c r="G251" s="2">
        <v>30.0</v>
      </c>
      <c r="H251" s="8">
        <f t="shared" si="1"/>
        <v>0</v>
      </c>
      <c r="I251" s="2" t="b">
        <v>1</v>
      </c>
      <c r="J251" s="2" t="s">
        <v>160</v>
      </c>
      <c r="K251" s="12">
        <f t="shared" si="2"/>
        <v>46003</v>
      </c>
      <c r="L251" s="12">
        <f t="shared" si="3"/>
        <v>46018</v>
      </c>
    </row>
    <row r="252" ht="15.75" hidden="1" customHeight="1">
      <c r="A252" s="4">
        <v>46012.0</v>
      </c>
      <c r="B252" s="2" t="s">
        <v>483</v>
      </c>
      <c r="C252" s="2" t="s">
        <v>484</v>
      </c>
      <c r="D252" s="2" t="s">
        <v>159</v>
      </c>
      <c r="E252" s="2">
        <v>0.0</v>
      </c>
      <c r="F252" s="2">
        <v>54.0</v>
      </c>
      <c r="G252" s="2">
        <v>54.0</v>
      </c>
      <c r="H252" s="8">
        <f t="shared" si="1"/>
        <v>0</v>
      </c>
      <c r="I252" s="2" t="b">
        <v>1</v>
      </c>
      <c r="J252" s="2" t="s">
        <v>160</v>
      </c>
      <c r="K252" s="12">
        <f t="shared" si="2"/>
        <v>46027</v>
      </c>
      <c r="L252" s="12">
        <f t="shared" si="3"/>
        <v>46042</v>
      </c>
    </row>
    <row r="253" ht="15.75" hidden="1" customHeight="1">
      <c r="A253" s="4">
        <v>45939.0</v>
      </c>
      <c r="B253" s="2" t="s">
        <v>485</v>
      </c>
      <c r="C253" s="2" t="s">
        <v>486</v>
      </c>
      <c r="D253" s="2" t="s">
        <v>159</v>
      </c>
      <c r="E253" s="2">
        <v>0.0</v>
      </c>
      <c r="F253" s="2">
        <v>39.0</v>
      </c>
      <c r="G253" s="2">
        <v>39.0</v>
      </c>
      <c r="H253" s="8">
        <f t="shared" si="1"/>
        <v>0</v>
      </c>
      <c r="I253" s="2" t="b">
        <v>1</v>
      </c>
      <c r="J253" s="2" t="s">
        <v>160</v>
      </c>
      <c r="K253" s="12">
        <f t="shared" si="2"/>
        <v>45954</v>
      </c>
      <c r="L253" s="12">
        <f t="shared" si="3"/>
        <v>45969</v>
      </c>
    </row>
    <row r="254" ht="15.75" hidden="1" customHeight="1">
      <c r="A254" s="4">
        <v>45981.0</v>
      </c>
      <c r="B254" s="2" t="s">
        <v>426</v>
      </c>
      <c r="C254" s="2" t="s">
        <v>487</v>
      </c>
      <c r="D254" s="2" t="s">
        <v>159</v>
      </c>
      <c r="E254" s="2">
        <v>0.0</v>
      </c>
      <c r="F254" s="2">
        <v>30.0</v>
      </c>
      <c r="G254" s="2">
        <v>30.0</v>
      </c>
      <c r="H254" s="8">
        <f t="shared" si="1"/>
        <v>0</v>
      </c>
      <c r="I254" s="8" t="b">
        <v>0</v>
      </c>
      <c r="J254" s="2" t="s">
        <v>160</v>
      </c>
      <c r="K254" s="12">
        <f t="shared" si="2"/>
        <v>45996</v>
      </c>
      <c r="L254" s="12">
        <f t="shared" si="3"/>
        <v>46011</v>
      </c>
    </row>
    <row r="255" ht="15.75" hidden="1" customHeight="1">
      <c r="A255" s="4">
        <v>45929.0</v>
      </c>
      <c r="B255" s="2" t="s">
        <v>176</v>
      </c>
      <c r="C255" s="2" t="s">
        <v>488</v>
      </c>
      <c r="D255" s="2" t="s">
        <v>159</v>
      </c>
      <c r="E255" s="2">
        <v>0.0</v>
      </c>
      <c r="F255" s="2">
        <v>45.0</v>
      </c>
      <c r="G255" s="2">
        <v>45.0</v>
      </c>
      <c r="H255" s="8">
        <f t="shared" si="1"/>
        <v>0</v>
      </c>
      <c r="I255" s="2" t="b">
        <v>1</v>
      </c>
      <c r="J255" s="2" t="s">
        <v>160</v>
      </c>
      <c r="K255" s="12">
        <f t="shared" si="2"/>
        <v>45944</v>
      </c>
      <c r="L255" s="12">
        <f t="shared" si="3"/>
        <v>45959</v>
      </c>
    </row>
    <row r="256" ht="15.75" hidden="1" customHeight="1">
      <c r="A256" s="4">
        <v>45966.0</v>
      </c>
      <c r="B256" s="2" t="s">
        <v>210</v>
      </c>
      <c r="C256" s="2" t="s">
        <v>489</v>
      </c>
      <c r="D256" s="2" t="s">
        <v>159</v>
      </c>
      <c r="E256" s="2">
        <v>0.0</v>
      </c>
      <c r="F256" s="2">
        <v>70.0</v>
      </c>
      <c r="G256" s="2">
        <v>70.0</v>
      </c>
      <c r="H256" s="8">
        <f t="shared" si="1"/>
        <v>0</v>
      </c>
      <c r="I256" s="2" t="b">
        <v>1</v>
      </c>
      <c r="J256" s="2" t="s">
        <v>160</v>
      </c>
      <c r="K256" s="12">
        <f t="shared" si="2"/>
        <v>45981</v>
      </c>
      <c r="L256" s="12">
        <f t="shared" si="3"/>
        <v>45996</v>
      </c>
    </row>
    <row r="257" ht="15.75" hidden="1" customHeight="1">
      <c r="A257" s="4">
        <v>45985.0</v>
      </c>
      <c r="B257" s="2" t="s">
        <v>228</v>
      </c>
      <c r="C257" s="2" t="s">
        <v>490</v>
      </c>
      <c r="D257" s="2" t="s">
        <v>159</v>
      </c>
      <c r="E257" s="2">
        <v>0.0</v>
      </c>
      <c r="F257" s="2">
        <v>35.0</v>
      </c>
      <c r="G257" s="2">
        <v>35.0</v>
      </c>
      <c r="H257" s="8">
        <f t="shared" si="1"/>
        <v>0</v>
      </c>
      <c r="I257" s="2" t="b">
        <v>1</v>
      </c>
      <c r="J257" s="2" t="s">
        <v>160</v>
      </c>
      <c r="K257" s="12">
        <f t="shared" si="2"/>
        <v>46000</v>
      </c>
      <c r="L257" s="12">
        <f t="shared" si="3"/>
        <v>46015</v>
      </c>
    </row>
    <row r="258" ht="15.75" hidden="1" customHeight="1">
      <c r="A258" s="4">
        <v>45966.0</v>
      </c>
      <c r="B258" s="2" t="s">
        <v>325</v>
      </c>
      <c r="C258" s="2" t="s">
        <v>490</v>
      </c>
      <c r="D258" s="2" t="s">
        <v>159</v>
      </c>
      <c r="E258" s="2">
        <v>0.0</v>
      </c>
      <c r="F258" s="2">
        <v>42.0</v>
      </c>
      <c r="G258" s="2">
        <v>42.0</v>
      </c>
      <c r="H258" s="8">
        <f t="shared" si="1"/>
        <v>0</v>
      </c>
      <c r="I258" s="2" t="b">
        <v>1</v>
      </c>
      <c r="J258" s="2" t="s">
        <v>160</v>
      </c>
      <c r="K258" s="12">
        <f t="shared" si="2"/>
        <v>45981</v>
      </c>
      <c r="L258" s="12">
        <f t="shared" si="3"/>
        <v>45996</v>
      </c>
    </row>
    <row r="259" ht="15.75" hidden="1" customHeight="1">
      <c r="A259" s="4">
        <v>45974.0</v>
      </c>
      <c r="B259" s="2" t="s">
        <v>416</v>
      </c>
      <c r="C259" s="2" t="s">
        <v>490</v>
      </c>
      <c r="D259" s="2" t="s">
        <v>159</v>
      </c>
      <c r="E259" s="2">
        <v>0.0</v>
      </c>
      <c r="F259" s="2">
        <v>22.0</v>
      </c>
      <c r="G259" s="2">
        <v>22.0</v>
      </c>
      <c r="H259" s="8">
        <f t="shared" si="1"/>
        <v>0</v>
      </c>
      <c r="I259" s="2" t="b">
        <v>1</v>
      </c>
      <c r="J259" s="2" t="s">
        <v>160</v>
      </c>
      <c r="K259" s="12">
        <f t="shared" si="2"/>
        <v>45989</v>
      </c>
      <c r="L259" s="12">
        <f t="shared" si="3"/>
        <v>46004</v>
      </c>
    </row>
    <row r="260" ht="15.75" hidden="1" customHeight="1">
      <c r="A260" s="4">
        <v>45941.0</v>
      </c>
      <c r="B260" s="2" t="s">
        <v>404</v>
      </c>
      <c r="C260" s="2" t="s">
        <v>490</v>
      </c>
      <c r="D260" s="2" t="s">
        <v>159</v>
      </c>
      <c r="E260" s="2">
        <v>0.0</v>
      </c>
      <c r="F260" s="2">
        <v>46.0</v>
      </c>
      <c r="G260" s="2">
        <v>46.0</v>
      </c>
      <c r="H260" s="8">
        <f t="shared" si="1"/>
        <v>0</v>
      </c>
      <c r="I260" s="2" t="b">
        <v>1</v>
      </c>
      <c r="J260" s="2" t="s">
        <v>160</v>
      </c>
      <c r="K260" s="12">
        <f t="shared" si="2"/>
        <v>45956</v>
      </c>
      <c r="L260" s="12">
        <f t="shared" si="3"/>
        <v>45971</v>
      </c>
    </row>
    <row r="261" ht="15.75" hidden="1" customHeight="1">
      <c r="A261" s="254">
        <v>45902.0</v>
      </c>
      <c r="B261" s="8" t="s">
        <v>267</v>
      </c>
      <c r="C261" s="8" t="s">
        <v>491</v>
      </c>
      <c r="D261" s="8" t="s">
        <v>159</v>
      </c>
      <c r="F261" s="8">
        <v>80.0</v>
      </c>
      <c r="G261" s="8">
        <v>80.0</v>
      </c>
      <c r="H261" s="8">
        <f t="shared" si="1"/>
        <v>0</v>
      </c>
      <c r="I261" s="2" t="b">
        <v>1</v>
      </c>
      <c r="J261" s="2" t="s">
        <v>160</v>
      </c>
      <c r="K261" s="12">
        <f t="shared" si="2"/>
        <v>45917</v>
      </c>
      <c r="L261" s="12">
        <f t="shared" si="3"/>
        <v>45932</v>
      </c>
    </row>
    <row r="262" ht="15.75" hidden="1" customHeight="1">
      <c r="A262" s="4">
        <v>45981.0</v>
      </c>
      <c r="B262" s="2" t="s">
        <v>426</v>
      </c>
      <c r="C262" s="2" t="s">
        <v>492</v>
      </c>
      <c r="D262" s="2" t="s">
        <v>159</v>
      </c>
      <c r="E262" s="2">
        <v>0.0</v>
      </c>
      <c r="F262" s="2">
        <v>20.0</v>
      </c>
      <c r="G262" s="2">
        <v>20.0</v>
      </c>
      <c r="H262" s="8">
        <f t="shared" si="1"/>
        <v>0</v>
      </c>
      <c r="I262" s="8" t="b">
        <v>0</v>
      </c>
      <c r="J262" s="2" t="s">
        <v>160</v>
      </c>
      <c r="K262" s="12">
        <f t="shared" si="2"/>
        <v>45996</v>
      </c>
      <c r="L262" s="12">
        <f t="shared" si="3"/>
        <v>46011</v>
      </c>
    </row>
    <row r="263" ht="15.75" hidden="1" customHeight="1">
      <c r="A263" s="4">
        <v>45950.0</v>
      </c>
      <c r="B263" s="2" t="s">
        <v>342</v>
      </c>
      <c r="C263" s="2" t="s">
        <v>493</v>
      </c>
      <c r="D263" s="2" t="s">
        <v>113</v>
      </c>
      <c r="E263" s="2">
        <v>0.0</v>
      </c>
      <c r="F263" s="2">
        <v>85.0</v>
      </c>
      <c r="G263" s="2">
        <v>85.0</v>
      </c>
      <c r="H263" s="8">
        <f t="shared" si="1"/>
        <v>0</v>
      </c>
      <c r="I263" s="2" t="b">
        <v>1</v>
      </c>
      <c r="J263" s="2" t="s">
        <v>160</v>
      </c>
      <c r="K263" s="12">
        <f t="shared" si="2"/>
        <v>45965</v>
      </c>
      <c r="L263" s="12">
        <f t="shared" si="3"/>
        <v>45980</v>
      </c>
    </row>
    <row r="264" ht="15.75" hidden="1" customHeight="1">
      <c r="A264" s="4">
        <v>45950.0</v>
      </c>
      <c r="B264" s="2" t="s">
        <v>157</v>
      </c>
      <c r="C264" s="2" t="s">
        <v>494</v>
      </c>
      <c r="D264" s="2" t="s">
        <v>113</v>
      </c>
      <c r="E264" s="2">
        <v>0.0</v>
      </c>
      <c r="F264" s="2">
        <v>85.0</v>
      </c>
      <c r="G264" s="2">
        <v>85.0</v>
      </c>
      <c r="H264" s="8">
        <f t="shared" si="1"/>
        <v>0</v>
      </c>
      <c r="I264" s="2" t="b">
        <v>1</v>
      </c>
      <c r="J264" s="2" t="s">
        <v>160</v>
      </c>
      <c r="K264" s="12">
        <f t="shared" si="2"/>
        <v>45965</v>
      </c>
      <c r="L264" s="12">
        <f t="shared" si="3"/>
        <v>45980</v>
      </c>
    </row>
    <row r="265" ht="15.75" hidden="1" customHeight="1">
      <c r="A265" s="4">
        <v>45989.0</v>
      </c>
      <c r="B265" s="2" t="s">
        <v>495</v>
      </c>
      <c r="C265" s="2" t="s">
        <v>496</v>
      </c>
      <c r="D265" s="2" t="s">
        <v>159</v>
      </c>
      <c r="E265" s="2">
        <v>0.0</v>
      </c>
      <c r="F265" s="2">
        <v>35.0</v>
      </c>
      <c r="G265" s="2">
        <v>35.0</v>
      </c>
      <c r="H265" s="8">
        <f t="shared" si="1"/>
        <v>0</v>
      </c>
      <c r="I265" s="2" t="b">
        <v>1</v>
      </c>
      <c r="J265" s="2" t="s">
        <v>160</v>
      </c>
      <c r="K265" s="12">
        <f t="shared" si="2"/>
        <v>46004</v>
      </c>
      <c r="L265" s="12">
        <f t="shared" si="3"/>
        <v>46019</v>
      </c>
    </row>
    <row r="266" ht="15.75" hidden="1" customHeight="1">
      <c r="A266" s="4">
        <v>45969.0</v>
      </c>
      <c r="B266" s="2" t="s">
        <v>497</v>
      </c>
      <c r="C266" s="2" t="s">
        <v>110</v>
      </c>
      <c r="D266" s="2" t="s">
        <v>159</v>
      </c>
      <c r="E266" s="2">
        <v>0.0</v>
      </c>
      <c r="F266" s="2">
        <v>6.0</v>
      </c>
      <c r="G266" s="2">
        <v>6.0</v>
      </c>
      <c r="H266" s="8">
        <f t="shared" si="1"/>
        <v>0</v>
      </c>
      <c r="I266" s="2" t="b">
        <v>1</v>
      </c>
      <c r="J266" s="2" t="s">
        <v>160</v>
      </c>
      <c r="K266" s="12">
        <f t="shared" si="2"/>
        <v>45984</v>
      </c>
      <c r="L266" s="12">
        <f t="shared" si="3"/>
        <v>45999</v>
      </c>
    </row>
    <row r="267" ht="15.75" hidden="1" customHeight="1">
      <c r="A267" s="4">
        <v>45987.0</v>
      </c>
      <c r="B267" s="2" t="s">
        <v>426</v>
      </c>
      <c r="C267" s="2" t="s">
        <v>498</v>
      </c>
      <c r="D267" s="2" t="s">
        <v>159</v>
      </c>
      <c r="E267" s="2">
        <v>0.0</v>
      </c>
      <c r="F267" s="2">
        <v>8.0</v>
      </c>
      <c r="G267" s="2">
        <v>8.0</v>
      </c>
      <c r="H267" s="8">
        <f t="shared" si="1"/>
        <v>0</v>
      </c>
      <c r="I267" s="8" t="b">
        <v>0</v>
      </c>
      <c r="J267" s="2" t="s">
        <v>160</v>
      </c>
      <c r="K267" s="12">
        <f t="shared" si="2"/>
        <v>46002</v>
      </c>
      <c r="L267" s="12">
        <f t="shared" si="3"/>
        <v>46017</v>
      </c>
    </row>
    <row r="268" ht="15.75" hidden="1" customHeight="1">
      <c r="A268" s="4">
        <v>45990.0</v>
      </c>
      <c r="B268" s="2" t="s">
        <v>426</v>
      </c>
      <c r="C268" s="2" t="s">
        <v>499</v>
      </c>
      <c r="D268" s="2" t="s">
        <v>159</v>
      </c>
      <c r="E268" s="2">
        <v>0.0</v>
      </c>
      <c r="F268" s="2">
        <v>15.0</v>
      </c>
      <c r="G268" s="2">
        <v>15.0</v>
      </c>
      <c r="H268" s="8">
        <f t="shared" si="1"/>
        <v>0</v>
      </c>
      <c r="I268" s="8" t="b">
        <v>0</v>
      </c>
      <c r="J268" s="2" t="s">
        <v>160</v>
      </c>
      <c r="K268" s="12">
        <f t="shared" si="2"/>
        <v>46005</v>
      </c>
      <c r="L268" s="12">
        <f t="shared" si="3"/>
        <v>46020</v>
      </c>
    </row>
    <row r="269" ht="15.75" hidden="1" customHeight="1">
      <c r="A269" s="4">
        <v>45969.0</v>
      </c>
      <c r="B269" s="2" t="s">
        <v>314</v>
      </c>
      <c r="C269" s="2" t="s">
        <v>110</v>
      </c>
      <c r="D269" s="2" t="s">
        <v>159</v>
      </c>
      <c r="E269" s="2">
        <v>0.0</v>
      </c>
      <c r="F269" s="2">
        <v>25.5</v>
      </c>
      <c r="G269" s="2">
        <v>25.5</v>
      </c>
      <c r="H269" s="8">
        <f t="shared" si="1"/>
        <v>0</v>
      </c>
      <c r="I269" s="2" t="b">
        <v>1</v>
      </c>
      <c r="J269" s="2" t="s">
        <v>160</v>
      </c>
      <c r="K269" s="12">
        <f t="shared" si="2"/>
        <v>45984</v>
      </c>
      <c r="L269" s="12">
        <f t="shared" si="3"/>
        <v>45999</v>
      </c>
    </row>
    <row r="270" ht="15.75" hidden="1" customHeight="1">
      <c r="A270" s="4">
        <v>46001.0</v>
      </c>
      <c r="B270" s="2" t="s">
        <v>426</v>
      </c>
      <c r="C270" s="2" t="s">
        <v>500</v>
      </c>
      <c r="D270" s="2" t="s">
        <v>159</v>
      </c>
      <c r="E270" s="2">
        <v>0.0</v>
      </c>
      <c r="F270" s="2">
        <v>10.0</v>
      </c>
      <c r="G270" s="2">
        <v>10.0</v>
      </c>
      <c r="H270" s="8">
        <f t="shared" si="1"/>
        <v>0</v>
      </c>
      <c r="I270" s="8" t="b">
        <v>0</v>
      </c>
      <c r="J270" s="2" t="s">
        <v>160</v>
      </c>
      <c r="K270" s="12">
        <f t="shared" si="2"/>
        <v>46016</v>
      </c>
      <c r="L270" s="12">
        <f t="shared" si="3"/>
        <v>46031</v>
      </c>
    </row>
    <row r="271" ht="15.75" hidden="1" customHeight="1">
      <c r="A271" s="4">
        <v>45925.0</v>
      </c>
      <c r="B271" s="2" t="s">
        <v>501</v>
      </c>
      <c r="C271" s="2" t="s">
        <v>502</v>
      </c>
      <c r="D271" s="2" t="s">
        <v>159</v>
      </c>
      <c r="E271" s="2"/>
      <c r="F271" s="2">
        <v>10.0</v>
      </c>
      <c r="G271" s="2">
        <v>10.0</v>
      </c>
      <c r="H271" s="8">
        <f t="shared" si="1"/>
        <v>0</v>
      </c>
      <c r="I271" s="2" t="b">
        <v>1</v>
      </c>
      <c r="J271" s="2" t="s">
        <v>160</v>
      </c>
      <c r="K271" s="12">
        <f t="shared" si="2"/>
        <v>45940</v>
      </c>
      <c r="L271" s="12">
        <f t="shared" si="3"/>
        <v>45955</v>
      </c>
    </row>
    <row r="272" ht="15.75" hidden="1" customHeight="1">
      <c r="A272" s="4">
        <v>45988.0</v>
      </c>
      <c r="B272" s="2" t="s">
        <v>269</v>
      </c>
      <c r="C272" s="2" t="s">
        <v>503</v>
      </c>
      <c r="D272" s="2" t="s">
        <v>159</v>
      </c>
      <c r="E272" s="2">
        <v>0.0</v>
      </c>
      <c r="F272" s="2">
        <v>35.0</v>
      </c>
      <c r="G272" s="2">
        <v>35.0</v>
      </c>
      <c r="H272" s="8">
        <f t="shared" si="1"/>
        <v>0</v>
      </c>
      <c r="I272" s="2" t="b">
        <v>1</v>
      </c>
      <c r="J272" s="2" t="s">
        <v>160</v>
      </c>
      <c r="K272" s="12">
        <f t="shared" si="2"/>
        <v>46003</v>
      </c>
      <c r="L272" s="12">
        <f t="shared" si="3"/>
        <v>46018</v>
      </c>
    </row>
    <row r="273" ht="15.75" hidden="1" customHeight="1">
      <c r="A273" s="4">
        <v>45924.0</v>
      </c>
      <c r="B273" s="2" t="s">
        <v>176</v>
      </c>
      <c r="C273" s="2" t="s">
        <v>504</v>
      </c>
      <c r="D273" s="2" t="s">
        <v>159</v>
      </c>
      <c r="E273" s="2">
        <v>0.0</v>
      </c>
      <c r="F273" s="2">
        <v>55.0</v>
      </c>
      <c r="G273" s="2">
        <v>55.0</v>
      </c>
      <c r="H273" s="8">
        <f t="shared" si="1"/>
        <v>0</v>
      </c>
      <c r="I273" s="2" t="b">
        <v>1</v>
      </c>
      <c r="J273" s="2" t="s">
        <v>160</v>
      </c>
      <c r="K273" s="12">
        <f t="shared" si="2"/>
        <v>45939</v>
      </c>
      <c r="L273" s="12">
        <f t="shared" si="3"/>
        <v>45954</v>
      </c>
    </row>
    <row r="274" ht="15.75" hidden="1" customHeight="1">
      <c r="A274" s="4">
        <v>45986.0</v>
      </c>
      <c r="B274" s="2" t="s">
        <v>173</v>
      </c>
      <c r="C274" s="2" t="s">
        <v>505</v>
      </c>
      <c r="D274" s="2" t="s">
        <v>113</v>
      </c>
      <c r="E274" s="2">
        <v>154.0</v>
      </c>
      <c r="F274" s="2">
        <v>60.0</v>
      </c>
      <c r="G274" s="2">
        <v>60.0</v>
      </c>
      <c r="H274" s="8">
        <f t="shared" si="1"/>
        <v>0</v>
      </c>
      <c r="I274" s="2" t="b">
        <v>1</v>
      </c>
      <c r="J274" s="2" t="s">
        <v>164</v>
      </c>
      <c r="K274" s="12">
        <f t="shared" si="2"/>
        <v>46001</v>
      </c>
      <c r="L274" s="12">
        <f t="shared" si="3"/>
        <v>46016</v>
      </c>
    </row>
    <row r="275" ht="15.75" hidden="1" customHeight="1">
      <c r="A275" s="4">
        <v>46012.0</v>
      </c>
      <c r="B275" s="2" t="s">
        <v>173</v>
      </c>
      <c r="C275" s="2" t="s">
        <v>506</v>
      </c>
      <c r="D275" s="2" t="s">
        <v>159</v>
      </c>
      <c r="E275" s="2">
        <v>0.0</v>
      </c>
      <c r="F275" s="2">
        <v>70.0</v>
      </c>
      <c r="G275" s="2">
        <v>70.0</v>
      </c>
      <c r="H275" s="8">
        <f t="shared" si="1"/>
        <v>0</v>
      </c>
      <c r="I275" s="2" t="b">
        <v>1</v>
      </c>
      <c r="J275" s="2" t="s">
        <v>160</v>
      </c>
      <c r="K275" s="12">
        <f t="shared" si="2"/>
        <v>46027</v>
      </c>
      <c r="L275" s="12">
        <f t="shared" si="3"/>
        <v>46042</v>
      </c>
    </row>
    <row r="276" ht="15.75" hidden="1" customHeight="1">
      <c r="A276" s="4">
        <v>45960.0</v>
      </c>
      <c r="B276" s="2" t="s">
        <v>342</v>
      </c>
      <c r="C276" s="2" t="s">
        <v>507</v>
      </c>
      <c r="D276" s="2" t="s">
        <v>91</v>
      </c>
      <c r="E276" s="2">
        <v>0.0</v>
      </c>
      <c r="F276" s="2">
        <v>50.0</v>
      </c>
      <c r="G276" s="2">
        <v>50.0</v>
      </c>
      <c r="H276" s="8">
        <f t="shared" si="1"/>
        <v>0</v>
      </c>
      <c r="I276" s="2" t="b">
        <v>1</v>
      </c>
      <c r="J276" s="2" t="s">
        <v>160</v>
      </c>
      <c r="K276" s="12">
        <f t="shared" si="2"/>
        <v>45975</v>
      </c>
      <c r="L276" s="12">
        <f t="shared" si="3"/>
        <v>45990</v>
      </c>
    </row>
    <row r="277" ht="15.75" hidden="1" customHeight="1">
      <c r="A277" s="4">
        <v>45975.0</v>
      </c>
      <c r="B277" s="2" t="s">
        <v>508</v>
      </c>
      <c r="C277" s="2" t="s">
        <v>509</v>
      </c>
      <c r="D277" s="2" t="s">
        <v>159</v>
      </c>
      <c r="E277" s="2">
        <v>0.0</v>
      </c>
      <c r="F277" s="2">
        <v>55.0</v>
      </c>
      <c r="G277" s="2">
        <v>55.0</v>
      </c>
      <c r="H277" s="8">
        <f t="shared" si="1"/>
        <v>0</v>
      </c>
      <c r="I277" s="2" t="b">
        <v>1</v>
      </c>
      <c r="J277" s="2" t="s">
        <v>160</v>
      </c>
      <c r="K277" s="12">
        <f t="shared" si="2"/>
        <v>45990</v>
      </c>
      <c r="L277" s="12">
        <f t="shared" si="3"/>
        <v>46005</v>
      </c>
    </row>
    <row r="278" ht="15.75" hidden="1" customHeight="1">
      <c r="A278" s="4">
        <v>45986.0</v>
      </c>
      <c r="B278" s="2" t="s">
        <v>173</v>
      </c>
      <c r="C278" s="2" t="s">
        <v>510</v>
      </c>
      <c r="D278" s="2" t="s">
        <v>113</v>
      </c>
      <c r="E278" s="2">
        <v>154.0</v>
      </c>
      <c r="F278" s="2">
        <v>70.0</v>
      </c>
      <c r="G278" s="2">
        <v>70.0</v>
      </c>
      <c r="H278" s="8">
        <f t="shared" si="1"/>
        <v>0</v>
      </c>
      <c r="I278" s="2" t="b">
        <v>1</v>
      </c>
      <c r="J278" s="2" t="s">
        <v>164</v>
      </c>
      <c r="K278" s="12">
        <f t="shared" si="2"/>
        <v>46001</v>
      </c>
      <c r="L278" s="12">
        <f t="shared" si="3"/>
        <v>46016</v>
      </c>
    </row>
    <row r="279" ht="15.75" customHeight="1">
      <c r="A279" s="4">
        <v>45976.0</v>
      </c>
      <c r="B279" s="2" t="s">
        <v>251</v>
      </c>
      <c r="C279" s="2" t="s">
        <v>511</v>
      </c>
      <c r="D279" s="2" t="s">
        <v>159</v>
      </c>
      <c r="E279" s="2">
        <v>0.0</v>
      </c>
      <c r="F279" s="2">
        <v>75.0</v>
      </c>
      <c r="G279" s="2">
        <v>75.0</v>
      </c>
      <c r="H279" s="8">
        <f t="shared" si="1"/>
        <v>0</v>
      </c>
      <c r="I279" s="2" t="b">
        <v>1</v>
      </c>
      <c r="J279" s="2" t="s">
        <v>160</v>
      </c>
      <c r="K279" s="12">
        <f t="shared" si="2"/>
        <v>45991</v>
      </c>
      <c r="L279" s="12">
        <f t="shared" si="3"/>
        <v>46006</v>
      </c>
    </row>
    <row r="280" ht="15.75" hidden="1" customHeight="1">
      <c r="A280" s="4">
        <v>45981.0</v>
      </c>
      <c r="B280" s="2" t="s">
        <v>173</v>
      </c>
      <c r="C280" s="2" t="s">
        <v>512</v>
      </c>
      <c r="D280" s="2" t="s">
        <v>159</v>
      </c>
      <c r="E280" s="2">
        <v>0.0</v>
      </c>
      <c r="F280" s="2">
        <v>40.0</v>
      </c>
      <c r="G280" s="2">
        <v>40.0</v>
      </c>
      <c r="H280" s="8">
        <f t="shared" si="1"/>
        <v>0</v>
      </c>
      <c r="I280" s="2" t="b">
        <v>1</v>
      </c>
      <c r="J280" s="2" t="s">
        <v>160</v>
      </c>
      <c r="K280" s="12">
        <f t="shared" si="2"/>
        <v>45996</v>
      </c>
      <c r="L280" s="12">
        <f t="shared" si="3"/>
        <v>46011</v>
      </c>
    </row>
    <row r="281" ht="15.75" hidden="1" customHeight="1">
      <c r="A281" s="4">
        <v>45957.0</v>
      </c>
      <c r="B281" s="2" t="s">
        <v>513</v>
      </c>
      <c r="C281" s="2" t="s">
        <v>514</v>
      </c>
      <c r="D281" s="2" t="s">
        <v>159</v>
      </c>
      <c r="E281" s="2">
        <v>0.0</v>
      </c>
      <c r="F281" s="2">
        <v>55.0</v>
      </c>
      <c r="G281" s="2">
        <v>55.0</v>
      </c>
      <c r="H281" s="8">
        <f t="shared" si="1"/>
        <v>0</v>
      </c>
      <c r="I281" s="2" t="b">
        <v>1</v>
      </c>
      <c r="J281" s="2" t="s">
        <v>160</v>
      </c>
      <c r="K281" s="12">
        <f t="shared" si="2"/>
        <v>45972</v>
      </c>
      <c r="L281" s="12">
        <f t="shared" si="3"/>
        <v>45987</v>
      </c>
    </row>
    <row r="282" ht="15.75" hidden="1" customHeight="1">
      <c r="A282" s="4">
        <v>45959.0</v>
      </c>
      <c r="B282" s="2" t="s">
        <v>515</v>
      </c>
      <c r="C282" s="2" t="s">
        <v>516</v>
      </c>
      <c r="D282" s="2" t="s">
        <v>91</v>
      </c>
      <c r="E282" s="2">
        <v>89.0</v>
      </c>
      <c r="F282" s="2">
        <v>55.0</v>
      </c>
      <c r="G282" s="2">
        <v>55.0</v>
      </c>
      <c r="H282" s="8">
        <f t="shared" si="1"/>
        <v>0</v>
      </c>
      <c r="I282" s="2" t="b">
        <v>1</v>
      </c>
      <c r="J282" s="2" t="s">
        <v>160</v>
      </c>
      <c r="K282" s="12">
        <f t="shared" si="2"/>
        <v>45974</v>
      </c>
      <c r="L282" s="12">
        <f t="shared" si="3"/>
        <v>45989</v>
      </c>
    </row>
    <row r="283" ht="15.75" hidden="1" customHeight="1">
      <c r="A283" s="4">
        <v>46001.0</v>
      </c>
      <c r="B283" s="2" t="s">
        <v>426</v>
      </c>
      <c r="C283" s="2" t="s">
        <v>517</v>
      </c>
      <c r="D283" s="2" t="s">
        <v>159</v>
      </c>
      <c r="E283" s="2">
        <v>0.0</v>
      </c>
      <c r="F283" s="2">
        <v>10.0</v>
      </c>
      <c r="G283" s="2">
        <v>10.0</v>
      </c>
      <c r="H283" s="8">
        <f t="shared" si="1"/>
        <v>0</v>
      </c>
      <c r="I283" s="8" t="b">
        <v>0</v>
      </c>
      <c r="J283" s="2" t="s">
        <v>160</v>
      </c>
      <c r="K283" s="12">
        <f t="shared" si="2"/>
        <v>46016</v>
      </c>
      <c r="L283" s="12">
        <f t="shared" si="3"/>
        <v>46031</v>
      </c>
    </row>
    <row r="284" ht="15.75" hidden="1" customHeight="1">
      <c r="A284" s="4">
        <v>46006.0</v>
      </c>
      <c r="B284" s="2" t="s">
        <v>426</v>
      </c>
      <c r="C284" s="2" t="s">
        <v>518</v>
      </c>
      <c r="D284" s="2" t="s">
        <v>159</v>
      </c>
      <c r="E284" s="2">
        <v>0.0</v>
      </c>
      <c r="F284" s="2">
        <v>27.0</v>
      </c>
      <c r="G284" s="2">
        <v>27.0</v>
      </c>
      <c r="H284" s="8">
        <f t="shared" si="1"/>
        <v>0</v>
      </c>
      <c r="I284" s="8" t="b">
        <v>0</v>
      </c>
      <c r="J284" s="2" t="s">
        <v>160</v>
      </c>
      <c r="K284" s="12">
        <f t="shared" si="2"/>
        <v>46021</v>
      </c>
      <c r="L284" s="12">
        <f t="shared" si="3"/>
        <v>46036</v>
      </c>
    </row>
    <row r="285" ht="15.75" hidden="1" customHeight="1">
      <c r="A285" s="4">
        <v>46015.0</v>
      </c>
      <c r="B285" s="2" t="s">
        <v>426</v>
      </c>
      <c r="C285" s="2" t="s">
        <v>519</v>
      </c>
      <c r="D285" s="2" t="s">
        <v>159</v>
      </c>
      <c r="E285" s="2">
        <v>0.0</v>
      </c>
      <c r="F285" s="2">
        <v>50.0</v>
      </c>
      <c r="G285" s="2">
        <v>0.0</v>
      </c>
      <c r="H285" s="8">
        <f t="shared" si="1"/>
        <v>50</v>
      </c>
      <c r="I285" s="8" t="b">
        <v>0</v>
      </c>
      <c r="J285" s="2" t="s">
        <v>160</v>
      </c>
      <c r="K285" s="12">
        <f t="shared" si="2"/>
        <v>46030</v>
      </c>
      <c r="L285" s="12">
        <f t="shared" si="3"/>
        <v>46045</v>
      </c>
    </row>
    <row r="286" ht="15.75" hidden="1" customHeight="1">
      <c r="A286" s="4">
        <v>46017.0</v>
      </c>
      <c r="B286" s="2" t="s">
        <v>426</v>
      </c>
      <c r="C286" s="2" t="s">
        <v>520</v>
      </c>
      <c r="D286" s="2" t="s">
        <v>159</v>
      </c>
      <c r="E286" s="2">
        <v>0.0</v>
      </c>
      <c r="F286" s="2">
        <v>65.0</v>
      </c>
      <c r="G286" s="2">
        <v>0.0</v>
      </c>
      <c r="H286" s="8">
        <f t="shared" si="1"/>
        <v>65</v>
      </c>
      <c r="I286" s="8" t="b">
        <v>0</v>
      </c>
      <c r="J286" s="2" t="s">
        <v>160</v>
      </c>
      <c r="K286" s="12">
        <f t="shared" si="2"/>
        <v>46032</v>
      </c>
      <c r="L286" s="12">
        <f t="shared" si="3"/>
        <v>46047</v>
      </c>
    </row>
    <row r="287" ht="15.75" hidden="1" customHeight="1">
      <c r="A287" s="4">
        <v>46003.0</v>
      </c>
      <c r="B287" s="2" t="s">
        <v>269</v>
      </c>
      <c r="C287" s="2" t="s">
        <v>521</v>
      </c>
      <c r="D287" s="2" t="s">
        <v>159</v>
      </c>
      <c r="E287" s="2">
        <v>0.0</v>
      </c>
      <c r="F287" s="2">
        <v>70.0</v>
      </c>
      <c r="G287" s="2">
        <v>70.0</v>
      </c>
      <c r="H287" s="8">
        <f t="shared" si="1"/>
        <v>0</v>
      </c>
      <c r="I287" s="8" t="b">
        <v>0</v>
      </c>
      <c r="J287" s="2" t="s">
        <v>160</v>
      </c>
      <c r="K287" s="12">
        <f t="shared" si="2"/>
        <v>46018</v>
      </c>
      <c r="L287" s="12">
        <f t="shared" si="3"/>
        <v>46033</v>
      </c>
    </row>
    <row r="288" ht="15.75" hidden="1" customHeight="1">
      <c r="A288" s="4">
        <v>46009.0</v>
      </c>
      <c r="B288" s="2" t="s">
        <v>522</v>
      </c>
      <c r="C288" s="2" t="s">
        <v>491</v>
      </c>
      <c r="D288" s="2" t="s">
        <v>159</v>
      </c>
      <c r="E288" s="2">
        <v>0.0</v>
      </c>
      <c r="F288" s="2">
        <v>58.5</v>
      </c>
      <c r="G288" s="2">
        <v>58.5</v>
      </c>
      <c r="H288" s="8">
        <f t="shared" si="1"/>
        <v>0</v>
      </c>
      <c r="I288" s="8" t="b">
        <v>0</v>
      </c>
      <c r="J288" s="2" t="s">
        <v>160</v>
      </c>
      <c r="K288" s="12">
        <f t="shared" si="2"/>
        <v>46024</v>
      </c>
      <c r="L288" s="12">
        <f t="shared" si="3"/>
        <v>46039</v>
      </c>
    </row>
    <row r="289" ht="15.75" hidden="1" customHeight="1">
      <c r="A289" s="4">
        <v>45988.0</v>
      </c>
      <c r="B289" s="2" t="s">
        <v>523</v>
      </c>
      <c r="C289" s="2" t="s">
        <v>524</v>
      </c>
      <c r="D289" s="2" t="s">
        <v>159</v>
      </c>
      <c r="E289" s="2">
        <v>0.0</v>
      </c>
      <c r="F289" s="2">
        <v>4.0</v>
      </c>
      <c r="G289" s="2">
        <v>4.0</v>
      </c>
      <c r="H289" s="8">
        <f t="shared" si="1"/>
        <v>0</v>
      </c>
      <c r="I289" s="8" t="b">
        <v>0</v>
      </c>
      <c r="J289" s="2" t="s">
        <v>160</v>
      </c>
      <c r="K289" s="12">
        <f t="shared" si="2"/>
        <v>46003</v>
      </c>
      <c r="L289" s="12">
        <f t="shared" si="3"/>
        <v>46018</v>
      </c>
    </row>
    <row r="290" ht="15.75" hidden="1" customHeight="1">
      <c r="A290" s="4">
        <v>45945.0</v>
      </c>
      <c r="B290" s="2" t="s">
        <v>525</v>
      </c>
      <c r="C290" s="2" t="s">
        <v>526</v>
      </c>
      <c r="D290" s="2" t="s">
        <v>115</v>
      </c>
      <c r="E290" s="2">
        <v>181.0</v>
      </c>
      <c r="F290" s="2">
        <v>1650.0</v>
      </c>
      <c r="G290" s="2">
        <v>1650.0</v>
      </c>
      <c r="H290" s="8">
        <f t="shared" si="1"/>
        <v>0</v>
      </c>
      <c r="I290" s="8" t="b">
        <v>0</v>
      </c>
      <c r="J290" s="2" t="s">
        <v>160</v>
      </c>
      <c r="K290" s="12">
        <f t="shared" si="2"/>
        <v>45960</v>
      </c>
      <c r="L290" s="12">
        <f t="shared" si="3"/>
        <v>45975</v>
      </c>
    </row>
    <row r="291" ht="15.75" hidden="1" customHeight="1">
      <c r="A291" s="255">
        <v>45931.0</v>
      </c>
      <c r="B291" s="2" t="s">
        <v>527</v>
      </c>
      <c r="C291" s="2" t="s">
        <v>528</v>
      </c>
      <c r="D291" s="2" t="s">
        <v>159</v>
      </c>
      <c r="E291" s="2">
        <v>0.0</v>
      </c>
      <c r="F291" s="2">
        <v>120.0</v>
      </c>
      <c r="G291" s="2">
        <v>120.0</v>
      </c>
      <c r="H291" s="8">
        <f t="shared" si="1"/>
        <v>0</v>
      </c>
      <c r="I291" s="2" t="b">
        <v>1</v>
      </c>
      <c r="J291" s="2" t="s">
        <v>160</v>
      </c>
      <c r="K291" s="5">
        <f t="shared" si="2"/>
        <v>45946</v>
      </c>
      <c r="L291" s="5">
        <f t="shared" si="3"/>
        <v>45961</v>
      </c>
    </row>
    <row r="292" ht="15.75" hidden="1" customHeight="1">
      <c r="A292" s="4">
        <v>45987.0</v>
      </c>
      <c r="B292" s="2" t="s">
        <v>167</v>
      </c>
      <c r="C292" s="2" t="s">
        <v>529</v>
      </c>
      <c r="D292" s="2" t="s">
        <v>159</v>
      </c>
      <c r="E292" s="2">
        <v>0.0</v>
      </c>
      <c r="F292" s="2">
        <v>6.0</v>
      </c>
      <c r="G292" s="2">
        <v>6.0</v>
      </c>
      <c r="H292" s="8">
        <f t="shared" si="1"/>
        <v>0</v>
      </c>
      <c r="I292" s="2" t="b">
        <v>1</v>
      </c>
      <c r="J292" s="2" t="s">
        <v>160</v>
      </c>
      <c r="K292" s="12">
        <f t="shared" si="2"/>
        <v>46002</v>
      </c>
      <c r="L292" s="12">
        <f t="shared" si="3"/>
        <v>46017</v>
      </c>
    </row>
    <row r="293" ht="15.75" hidden="1" customHeight="1">
      <c r="A293" s="4">
        <v>45988.0</v>
      </c>
      <c r="B293" s="2" t="s">
        <v>269</v>
      </c>
      <c r="C293" s="2" t="s">
        <v>530</v>
      </c>
      <c r="D293" s="2" t="s">
        <v>159</v>
      </c>
      <c r="E293" s="2">
        <v>0.0</v>
      </c>
      <c r="F293" s="2">
        <v>25.0</v>
      </c>
      <c r="G293" s="2">
        <v>25.0</v>
      </c>
      <c r="H293" s="8">
        <f t="shared" si="1"/>
        <v>0</v>
      </c>
      <c r="I293" s="2" t="b">
        <v>1</v>
      </c>
      <c r="J293" s="2" t="s">
        <v>160</v>
      </c>
      <c r="K293" s="12">
        <f t="shared" si="2"/>
        <v>46003</v>
      </c>
      <c r="L293" s="12">
        <f t="shared" si="3"/>
        <v>46018</v>
      </c>
    </row>
    <row r="294" ht="15.75" hidden="1" customHeight="1">
      <c r="A294" s="4">
        <v>45981.0</v>
      </c>
      <c r="B294" s="2" t="s">
        <v>180</v>
      </c>
      <c r="C294" s="2" t="s">
        <v>531</v>
      </c>
      <c r="D294" s="2" t="s">
        <v>159</v>
      </c>
      <c r="E294" s="2">
        <v>0.0</v>
      </c>
      <c r="F294" s="2">
        <v>20.0</v>
      </c>
      <c r="G294" s="2">
        <v>20.0</v>
      </c>
      <c r="H294" s="8">
        <f t="shared" si="1"/>
        <v>0</v>
      </c>
      <c r="I294" s="2" t="b">
        <v>1</v>
      </c>
      <c r="J294" s="2" t="s">
        <v>160</v>
      </c>
      <c r="K294" s="12">
        <f t="shared" si="2"/>
        <v>45996</v>
      </c>
      <c r="L294" s="12">
        <f t="shared" si="3"/>
        <v>46011</v>
      </c>
    </row>
    <row r="295" ht="15.75" hidden="1" customHeight="1">
      <c r="A295" s="4">
        <v>45927.0</v>
      </c>
      <c r="B295" s="2" t="s">
        <v>176</v>
      </c>
      <c r="C295" s="2" t="s">
        <v>532</v>
      </c>
      <c r="D295" s="2" t="s">
        <v>159</v>
      </c>
      <c r="E295" s="2">
        <v>0.0</v>
      </c>
      <c r="F295" s="2">
        <v>50.0</v>
      </c>
      <c r="G295" s="2">
        <v>50.0</v>
      </c>
      <c r="H295" s="8">
        <f t="shared" si="1"/>
        <v>0</v>
      </c>
      <c r="I295" s="2" t="b">
        <v>1</v>
      </c>
      <c r="J295" s="2" t="s">
        <v>160</v>
      </c>
      <c r="K295" s="12">
        <f t="shared" si="2"/>
        <v>45942</v>
      </c>
      <c r="L295" s="12">
        <f t="shared" si="3"/>
        <v>45957</v>
      </c>
    </row>
    <row r="296" ht="15.75" hidden="1" customHeight="1">
      <c r="A296" s="4">
        <v>45947.0</v>
      </c>
      <c r="B296" s="2" t="s">
        <v>525</v>
      </c>
      <c r="C296" s="2" t="s">
        <v>533</v>
      </c>
      <c r="D296" s="2" t="s">
        <v>113</v>
      </c>
      <c r="E296" s="2">
        <v>0.0</v>
      </c>
      <c r="F296" s="2">
        <v>55.0</v>
      </c>
      <c r="G296" s="2">
        <v>55.0</v>
      </c>
      <c r="H296" s="8">
        <f t="shared" si="1"/>
        <v>0</v>
      </c>
      <c r="I296" s="8" t="b">
        <v>0</v>
      </c>
      <c r="J296" s="2" t="s">
        <v>160</v>
      </c>
      <c r="K296" s="12">
        <f t="shared" si="2"/>
        <v>45962</v>
      </c>
      <c r="L296" s="12">
        <f t="shared" si="3"/>
        <v>45977</v>
      </c>
    </row>
    <row r="297" ht="15.75" hidden="1" customHeight="1">
      <c r="A297" s="4">
        <v>45949.0</v>
      </c>
      <c r="B297" s="2" t="s">
        <v>208</v>
      </c>
      <c r="C297" s="2" t="s">
        <v>534</v>
      </c>
      <c r="D297" s="2" t="s">
        <v>159</v>
      </c>
      <c r="E297" s="2">
        <v>0.0</v>
      </c>
      <c r="F297" s="2">
        <v>45.0</v>
      </c>
      <c r="G297" s="2">
        <v>45.0</v>
      </c>
      <c r="H297" s="8">
        <f t="shared" si="1"/>
        <v>0</v>
      </c>
      <c r="I297" s="2" t="b">
        <v>1</v>
      </c>
      <c r="J297" s="2" t="s">
        <v>160</v>
      </c>
      <c r="K297" s="12">
        <f t="shared" si="2"/>
        <v>45964</v>
      </c>
      <c r="L297" s="12">
        <f t="shared" si="3"/>
        <v>45979</v>
      </c>
    </row>
    <row r="298" ht="15.75" hidden="1" customHeight="1">
      <c r="A298" s="4">
        <v>46015.0</v>
      </c>
      <c r="B298" s="2" t="s">
        <v>183</v>
      </c>
      <c r="C298" s="2" t="s">
        <v>535</v>
      </c>
      <c r="D298" s="2" t="s">
        <v>159</v>
      </c>
      <c r="E298" s="2">
        <v>0.0</v>
      </c>
      <c r="F298" s="2">
        <v>55.0</v>
      </c>
      <c r="G298" s="2">
        <v>55.0</v>
      </c>
      <c r="H298" s="8">
        <f t="shared" si="1"/>
        <v>0</v>
      </c>
      <c r="I298" s="2" t="b">
        <v>1</v>
      </c>
      <c r="J298" s="2" t="s">
        <v>160</v>
      </c>
      <c r="K298" s="12">
        <f t="shared" si="2"/>
        <v>46030</v>
      </c>
      <c r="L298" s="12">
        <f t="shared" si="3"/>
        <v>46045</v>
      </c>
    </row>
    <row r="299" ht="15.75" hidden="1" customHeight="1">
      <c r="A299" s="4">
        <v>46012.0</v>
      </c>
      <c r="B299" s="2" t="s">
        <v>183</v>
      </c>
      <c r="C299" s="2" t="s">
        <v>536</v>
      </c>
      <c r="D299" s="2" t="s">
        <v>159</v>
      </c>
      <c r="E299" s="2">
        <v>0.0</v>
      </c>
      <c r="F299" s="2">
        <v>58.5</v>
      </c>
      <c r="G299" s="2">
        <v>58.5</v>
      </c>
      <c r="H299" s="8">
        <f t="shared" si="1"/>
        <v>0</v>
      </c>
      <c r="I299" s="2" t="b">
        <v>1</v>
      </c>
      <c r="J299" s="2" t="s">
        <v>160</v>
      </c>
      <c r="K299" s="12">
        <f t="shared" si="2"/>
        <v>46027</v>
      </c>
      <c r="L299" s="12">
        <f t="shared" si="3"/>
        <v>46042</v>
      </c>
    </row>
    <row r="300" ht="15.75" hidden="1" customHeight="1">
      <c r="A300" s="4">
        <v>45977.0</v>
      </c>
      <c r="B300" s="2" t="s">
        <v>525</v>
      </c>
      <c r="C300" s="2" t="s">
        <v>537</v>
      </c>
      <c r="D300" s="2" t="s">
        <v>159</v>
      </c>
      <c r="E300" s="2">
        <v>0.0</v>
      </c>
      <c r="F300" s="2">
        <v>33.0</v>
      </c>
      <c r="G300" s="2">
        <v>33.0</v>
      </c>
      <c r="H300" s="8">
        <f t="shared" si="1"/>
        <v>0</v>
      </c>
      <c r="I300" s="8" t="b">
        <v>0</v>
      </c>
      <c r="J300" s="2" t="s">
        <v>160</v>
      </c>
      <c r="K300" s="12">
        <f t="shared" si="2"/>
        <v>45992</v>
      </c>
      <c r="L300" s="12">
        <f t="shared" si="3"/>
        <v>46007</v>
      </c>
    </row>
    <row r="301" ht="15.75" hidden="1" customHeight="1">
      <c r="A301" s="4">
        <v>45924.0</v>
      </c>
      <c r="B301" s="2" t="s">
        <v>471</v>
      </c>
      <c r="C301" s="2" t="s">
        <v>538</v>
      </c>
      <c r="D301" s="2" t="s">
        <v>113</v>
      </c>
      <c r="E301" s="2">
        <v>0.0</v>
      </c>
      <c r="F301" s="2">
        <v>220.0</v>
      </c>
      <c r="G301" s="2">
        <v>220.0</v>
      </c>
      <c r="H301" s="8">
        <f t="shared" si="1"/>
        <v>0</v>
      </c>
      <c r="I301" s="8" t="b">
        <v>0</v>
      </c>
      <c r="J301" s="2" t="s">
        <v>160</v>
      </c>
      <c r="K301" s="12">
        <f t="shared" si="2"/>
        <v>45939</v>
      </c>
      <c r="L301" s="12">
        <f t="shared" si="3"/>
        <v>45954</v>
      </c>
    </row>
    <row r="302" ht="15.75" hidden="1" customHeight="1">
      <c r="A302" s="4">
        <v>45930.0</v>
      </c>
      <c r="B302" s="2" t="s">
        <v>471</v>
      </c>
      <c r="C302" s="2" t="s">
        <v>539</v>
      </c>
      <c r="D302" s="2" t="s">
        <v>113</v>
      </c>
      <c r="E302" s="2">
        <v>0.0</v>
      </c>
      <c r="F302" s="2">
        <v>85.0</v>
      </c>
      <c r="G302" s="2">
        <v>85.0</v>
      </c>
      <c r="H302" s="8">
        <f t="shared" si="1"/>
        <v>0</v>
      </c>
      <c r="I302" s="8" t="b">
        <v>0</v>
      </c>
      <c r="J302" s="2" t="s">
        <v>160</v>
      </c>
      <c r="K302" s="12">
        <f t="shared" si="2"/>
        <v>45945</v>
      </c>
      <c r="L302" s="12">
        <f t="shared" si="3"/>
        <v>45960</v>
      </c>
    </row>
    <row r="303" ht="15.75" hidden="1" customHeight="1">
      <c r="A303" s="4">
        <v>45930.0</v>
      </c>
      <c r="B303" s="2" t="s">
        <v>471</v>
      </c>
      <c r="C303" s="2" t="s">
        <v>540</v>
      </c>
      <c r="D303" s="2" t="s">
        <v>113</v>
      </c>
      <c r="E303" s="2">
        <v>0.0</v>
      </c>
      <c r="F303" s="2">
        <v>85.0</v>
      </c>
      <c r="G303" s="2">
        <v>85.0</v>
      </c>
      <c r="H303" s="8">
        <f t="shared" si="1"/>
        <v>0</v>
      </c>
      <c r="I303" s="8" t="b">
        <v>0</v>
      </c>
      <c r="J303" s="2" t="s">
        <v>160</v>
      </c>
      <c r="K303" s="12">
        <f t="shared" si="2"/>
        <v>45945</v>
      </c>
      <c r="L303" s="12">
        <f t="shared" si="3"/>
        <v>45960</v>
      </c>
    </row>
    <row r="304" ht="15.75" hidden="1" customHeight="1">
      <c r="A304" s="4">
        <v>45930.0</v>
      </c>
      <c r="B304" s="2" t="s">
        <v>471</v>
      </c>
      <c r="C304" s="2" t="s">
        <v>541</v>
      </c>
      <c r="D304" s="2" t="s">
        <v>113</v>
      </c>
      <c r="E304" s="2">
        <v>0.0</v>
      </c>
      <c r="F304" s="2">
        <v>80.0</v>
      </c>
      <c r="G304" s="2">
        <v>80.0</v>
      </c>
      <c r="H304" s="8">
        <f t="shared" si="1"/>
        <v>0</v>
      </c>
      <c r="I304" s="8" t="b">
        <v>0</v>
      </c>
      <c r="J304" s="2" t="s">
        <v>160</v>
      </c>
      <c r="K304" s="12">
        <f t="shared" si="2"/>
        <v>45945</v>
      </c>
      <c r="L304" s="12">
        <f t="shared" si="3"/>
        <v>45960</v>
      </c>
    </row>
    <row r="305" ht="15.75" hidden="1" customHeight="1">
      <c r="A305" s="4">
        <v>45930.0</v>
      </c>
      <c r="B305" s="2" t="s">
        <v>471</v>
      </c>
      <c r="C305" s="2" t="s">
        <v>542</v>
      </c>
      <c r="D305" s="2" t="s">
        <v>113</v>
      </c>
      <c r="E305" s="2">
        <v>0.0</v>
      </c>
      <c r="F305" s="2">
        <v>85.0</v>
      </c>
      <c r="G305" s="2">
        <v>85.0</v>
      </c>
      <c r="H305" s="8">
        <f t="shared" si="1"/>
        <v>0</v>
      </c>
      <c r="I305" s="8" t="b">
        <v>0</v>
      </c>
      <c r="J305" s="2" t="s">
        <v>160</v>
      </c>
      <c r="K305" s="12">
        <f t="shared" si="2"/>
        <v>45945</v>
      </c>
      <c r="L305" s="12">
        <f t="shared" si="3"/>
        <v>45960</v>
      </c>
    </row>
    <row r="306" ht="15.75" hidden="1" customHeight="1">
      <c r="A306" s="4">
        <v>45977.0</v>
      </c>
      <c r="B306" s="2" t="s">
        <v>471</v>
      </c>
      <c r="C306" s="2" t="s">
        <v>213</v>
      </c>
      <c r="D306" s="2" t="s">
        <v>159</v>
      </c>
      <c r="E306" s="2">
        <v>0.0</v>
      </c>
      <c r="F306" s="2">
        <v>50.0</v>
      </c>
      <c r="G306" s="2">
        <v>50.0</v>
      </c>
      <c r="H306" s="8">
        <f t="shared" si="1"/>
        <v>0</v>
      </c>
      <c r="I306" s="8" t="b">
        <v>0</v>
      </c>
      <c r="J306" s="2" t="s">
        <v>160</v>
      </c>
      <c r="K306" s="12">
        <f t="shared" si="2"/>
        <v>45992</v>
      </c>
      <c r="L306" s="12">
        <f t="shared" si="3"/>
        <v>46007</v>
      </c>
    </row>
    <row r="307" ht="15.75" hidden="1" customHeight="1">
      <c r="A307" s="4">
        <v>45917.0</v>
      </c>
      <c r="B307" s="2" t="s">
        <v>176</v>
      </c>
      <c r="C307" s="2" t="s">
        <v>334</v>
      </c>
      <c r="D307" s="2" t="s">
        <v>159</v>
      </c>
      <c r="E307" s="2">
        <v>0.0</v>
      </c>
      <c r="F307" s="2">
        <v>26.0</v>
      </c>
      <c r="G307" s="2">
        <v>26.0</v>
      </c>
      <c r="H307" s="8">
        <f t="shared" si="1"/>
        <v>0</v>
      </c>
      <c r="I307" s="2" t="b">
        <v>1</v>
      </c>
      <c r="J307" s="2" t="s">
        <v>160</v>
      </c>
      <c r="K307" s="12">
        <f t="shared" si="2"/>
        <v>45932</v>
      </c>
      <c r="L307" s="12">
        <f t="shared" si="3"/>
        <v>45947</v>
      </c>
    </row>
    <row r="308" ht="15.75" hidden="1" customHeight="1">
      <c r="A308" s="4">
        <v>45965.0</v>
      </c>
      <c r="B308" s="2" t="s">
        <v>543</v>
      </c>
      <c r="C308" s="2" t="s">
        <v>544</v>
      </c>
      <c r="D308" s="2" t="s">
        <v>159</v>
      </c>
      <c r="E308" s="2">
        <v>0.0</v>
      </c>
      <c r="F308" s="2">
        <v>55.0</v>
      </c>
      <c r="G308" s="2">
        <v>55.0</v>
      </c>
      <c r="H308" s="8">
        <f t="shared" si="1"/>
        <v>0</v>
      </c>
      <c r="I308" s="2" t="b">
        <v>1</v>
      </c>
      <c r="J308" s="2" t="s">
        <v>160</v>
      </c>
      <c r="K308" s="12">
        <f t="shared" si="2"/>
        <v>45980</v>
      </c>
      <c r="L308" s="12">
        <f t="shared" si="3"/>
        <v>45995</v>
      </c>
    </row>
    <row r="309" ht="15.75" hidden="1" customHeight="1">
      <c r="A309" s="4">
        <v>45959.0</v>
      </c>
      <c r="B309" s="2" t="s">
        <v>545</v>
      </c>
      <c r="C309" s="2" t="s">
        <v>544</v>
      </c>
      <c r="D309" s="2" t="s">
        <v>159</v>
      </c>
      <c r="E309" s="2">
        <v>0.0</v>
      </c>
      <c r="F309" s="2">
        <v>47.0</v>
      </c>
      <c r="G309" s="2">
        <v>47.0</v>
      </c>
      <c r="H309" s="8">
        <f t="shared" si="1"/>
        <v>0</v>
      </c>
      <c r="I309" s="2" t="b">
        <v>1</v>
      </c>
      <c r="J309" s="2" t="s">
        <v>160</v>
      </c>
      <c r="K309" s="12">
        <f t="shared" si="2"/>
        <v>45974</v>
      </c>
      <c r="L309" s="12">
        <f t="shared" si="3"/>
        <v>45989</v>
      </c>
    </row>
    <row r="310" ht="15.75" hidden="1" customHeight="1">
      <c r="A310" s="4">
        <v>45924.0</v>
      </c>
      <c r="B310" s="2" t="s">
        <v>176</v>
      </c>
      <c r="C310" s="2" t="s">
        <v>546</v>
      </c>
      <c r="D310" s="2" t="s">
        <v>159</v>
      </c>
      <c r="E310" s="2">
        <v>0.0</v>
      </c>
      <c r="F310" s="2">
        <v>60.0</v>
      </c>
      <c r="G310" s="2">
        <v>60.0</v>
      </c>
      <c r="H310" s="8">
        <f t="shared" si="1"/>
        <v>0</v>
      </c>
      <c r="I310" s="2" t="b">
        <v>1</v>
      </c>
      <c r="J310" s="2" t="s">
        <v>160</v>
      </c>
      <c r="K310" s="12">
        <f t="shared" si="2"/>
        <v>45939</v>
      </c>
      <c r="L310" s="12">
        <f t="shared" si="3"/>
        <v>45954</v>
      </c>
    </row>
    <row r="311" ht="15.75" hidden="1" customHeight="1">
      <c r="A311" s="4">
        <v>45937.0</v>
      </c>
      <c r="B311" s="2" t="s">
        <v>176</v>
      </c>
      <c r="C311" s="2" t="s">
        <v>547</v>
      </c>
      <c r="D311" s="2" t="s">
        <v>159</v>
      </c>
      <c r="E311" s="2">
        <v>0.0</v>
      </c>
      <c r="F311" s="2">
        <v>40.0</v>
      </c>
      <c r="G311" s="2">
        <v>40.0</v>
      </c>
      <c r="H311" s="8">
        <f t="shared" si="1"/>
        <v>0</v>
      </c>
      <c r="I311" s="2" t="b">
        <v>1</v>
      </c>
      <c r="J311" s="2" t="s">
        <v>160</v>
      </c>
      <c r="K311" s="12">
        <f t="shared" si="2"/>
        <v>45952</v>
      </c>
      <c r="L311" s="12">
        <f t="shared" si="3"/>
        <v>45967</v>
      </c>
    </row>
    <row r="312" ht="15.75" hidden="1" customHeight="1">
      <c r="A312" s="4">
        <v>45922.0</v>
      </c>
      <c r="B312" s="2" t="s">
        <v>157</v>
      </c>
      <c r="C312" s="2" t="s">
        <v>548</v>
      </c>
      <c r="D312" s="2" t="s">
        <v>159</v>
      </c>
      <c r="E312" s="2"/>
      <c r="F312" s="2">
        <v>40.0</v>
      </c>
      <c r="G312" s="2">
        <v>40.0</v>
      </c>
      <c r="H312" s="8">
        <f t="shared" si="1"/>
        <v>0</v>
      </c>
      <c r="I312" s="2" t="b">
        <v>1</v>
      </c>
      <c r="J312" s="2" t="s">
        <v>160</v>
      </c>
      <c r="K312" s="12">
        <f t="shared" si="2"/>
        <v>45937</v>
      </c>
      <c r="L312" s="12">
        <f t="shared" si="3"/>
        <v>45952</v>
      </c>
    </row>
    <row r="313" ht="15.75" hidden="1" customHeight="1">
      <c r="A313" s="4">
        <v>46009.0</v>
      </c>
      <c r="B313" s="2" t="s">
        <v>549</v>
      </c>
      <c r="C313" s="2" t="s">
        <v>550</v>
      </c>
      <c r="D313" s="2" t="s">
        <v>159</v>
      </c>
      <c r="E313" s="2">
        <v>0.0</v>
      </c>
      <c r="F313" s="2">
        <v>25.0</v>
      </c>
      <c r="G313" s="2">
        <v>25.0</v>
      </c>
      <c r="H313" s="8">
        <f t="shared" si="1"/>
        <v>0</v>
      </c>
      <c r="I313" s="2" t="b">
        <v>1</v>
      </c>
      <c r="J313" s="2" t="s">
        <v>160</v>
      </c>
      <c r="K313" s="12">
        <f t="shared" si="2"/>
        <v>46024</v>
      </c>
      <c r="L313" s="12">
        <f t="shared" si="3"/>
        <v>46039</v>
      </c>
    </row>
    <row r="314" ht="15.75" hidden="1" customHeight="1">
      <c r="A314" s="4">
        <v>45942.0</v>
      </c>
      <c r="B314" s="2" t="s">
        <v>192</v>
      </c>
      <c r="C314" s="2" t="s">
        <v>551</v>
      </c>
      <c r="D314" s="2" t="s">
        <v>159</v>
      </c>
      <c r="E314" s="2">
        <v>0.0</v>
      </c>
      <c r="F314" s="2">
        <v>50.0</v>
      </c>
      <c r="G314" s="2">
        <v>50.0</v>
      </c>
      <c r="H314" s="8">
        <f t="shared" si="1"/>
        <v>0</v>
      </c>
      <c r="I314" s="2" t="b">
        <v>1</v>
      </c>
      <c r="J314" s="2" t="s">
        <v>160</v>
      </c>
      <c r="K314" s="12">
        <f t="shared" si="2"/>
        <v>45957</v>
      </c>
      <c r="L314" s="12">
        <f t="shared" si="3"/>
        <v>45972</v>
      </c>
    </row>
    <row r="315" ht="15.75" hidden="1" customHeight="1">
      <c r="A315" s="4">
        <v>45977.0</v>
      </c>
      <c r="B315" s="2" t="s">
        <v>471</v>
      </c>
      <c r="C315" s="2" t="s">
        <v>552</v>
      </c>
      <c r="D315" s="2" t="s">
        <v>159</v>
      </c>
      <c r="E315" s="2">
        <v>0.0</v>
      </c>
      <c r="F315" s="2">
        <v>1.0</v>
      </c>
      <c r="G315" s="2">
        <v>1.0</v>
      </c>
      <c r="H315" s="8">
        <f t="shared" si="1"/>
        <v>0</v>
      </c>
      <c r="I315" s="2" t="b">
        <v>0</v>
      </c>
      <c r="J315" s="2" t="s">
        <v>160</v>
      </c>
      <c r="K315" s="12">
        <f t="shared" si="2"/>
        <v>45992</v>
      </c>
      <c r="L315" s="12">
        <f t="shared" si="3"/>
        <v>46007</v>
      </c>
    </row>
    <row r="316" ht="15.75" hidden="1" customHeight="1">
      <c r="A316" s="4">
        <v>45917.0</v>
      </c>
      <c r="B316" s="2" t="s">
        <v>176</v>
      </c>
      <c r="C316" s="2" t="s">
        <v>519</v>
      </c>
      <c r="D316" s="2" t="s">
        <v>159</v>
      </c>
      <c r="E316" s="2">
        <v>0.0</v>
      </c>
      <c r="F316" s="2">
        <v>56.0</v>
      </c>
      <c r="G316" s="2">
        <v>56.0</v>
      </c>
      <c r="H316" s="8">
        <f t="shared" si="1"/>
        <v>0</v>
      </c>
      <c r="I316" s="2" t="b">
        <v>1</v>
      </c>
      <c r="J316" s="2" t="s">
        <v>160</v>
      </c>
      <c r="K316" s="12">
        <f t="shared" si="2"/>
        <v>45932</v>
      </c>
      <c r="L316" s="12">
        <f t="shared" si="3"/>
        <v>45947</v>
      </c>
    </row>
    <row r="317" ht="15.75" hidden="1" customHeight="1">
      <c r="A317" s="4">
        <v>45971.0</v>
      </c>
      <c r="B317" s="2" t="s">
        <v>208</v>
      </c>
      <c r="C317" s="2" t="s">
        <v>553</v>
      </c>
      <c r="D317" s="2" t="s">
        <v>159</v>
      </c>
      <c r="E317" s="2">
        <v>0.0</v>
      </c>
      <c r="F317" s="2">
        <v>75.0</v>
      </c>
      <c r="G317" s="2">
        <v>75.0</v>
      </c>
      <c r="H317" s="8">
        <f t="shared" si="1"/>
        <v>0</v>
      </c>
      <c r="I317" s="2" t="b">
        <v>1</v>
      </c>
      <c r="J317" s="2" t="s">
        <v>160</v>
      </c>
      <c r="K317" s="12">
        <f t="shared" si="2"/>
        <v>45986</v>
      </c>
      <c r="L317" s="12">
        <f t="shared" si="3"/>
        <v>46001</v>
      </c>
    </row>
    <row r="318" ht="15.75" hidden="1" customHeight="1">
      <c r="A318" s="4">
        <v>45993.0</v>
      </c>
      <c r="B318" s="2" t="s">
        <v>471</v>
      </c>
      <c r="C318" s="2" t="s">
        <v>554</v>
      </c>
      <c r="D318" s="2" t="s">
        <v>113</v>
      </c>
      <c r="E318" s="2">
        <v>0.0</v>
      </c>
      <c r="F318" s="2">
        <v>70.0</v>
      </c>
      <c r="G318" s="2">
        <v>70.0</v>
      </c>
      <c r="H318" s="8">
        <f t="shared" si="1"/>
        <v>0</v>
      </c>
      <c r="I318" s="8" t="b">
        <v>0</v>
      </c>
      <c r="J318" s="2" t="s">
        <v>160</v>
      </c>
      <c r="K318" s="12">
        <f t="shared" si="2"/>
        <v>46008</v>
      </c>
      <c r="L318" s="12">
        <f t="shared" si="3"/>
        <v>46023</v>
      </c>
    </row>
    <row r="319" ht="15.75" hidden="1" customHeight="1">
      <c r="A319" s="4">
        <v>45932.0</v>
      </c>
      <c r="B319" s="2" t="s">
        <v>555</v>
      </c>
      <c r="C319" s="2" t="s">
        <v>556</v>
      </c>
      <c r="D319" s="2" t="s">
        <v>159</v>
      </c>
      <c r="E319" s="2">
        <v>0.0</v>
      </c>
      <c r="F319" s="2">
        <v>30.0</v>
      </c>
      <c r="G319" s="2">
        <v>30.0</v>
      </c>
      <c r="H319" s="8">
        <f t="shared" si="1"/>
        <v>0</v>
      </c>
      <c r="I319" s="2" t="b">
        <v>1</v>
      </c>
      <c r="J319" s="2" t="s">
        <v>160</v>
      </c>
      <c r="K319" s="12">
        <f t="shared" si="2"/>
        <v>45947</v>
      </c>
      <c r="L319" s="12">
        <f t="shared" si="3"/>
        <v>45962</v>
      </c>
    </row>
    <row r="320" ht="15.75" hidden="1" customHeight="1">
      <c r="A320" s="4">
        <v>46010.0</v>
      </c>
      <c r="B320" s="2" t="s">
        <v>471</v>
      </c>
      <c r="C320" s="2" t="s">
        <v>557</v>
      </c>
      <c r="D320" s="2" t="s">
        <v>159</v>
      </c>
      <c r="E320" s="2">
        <v>0.0</v>
      </c>
      <c r="F320" s="2">
        <v>58.5</v>
      </c>
      <c r="G320" s="2">
        <v>58.5</v>
      </c>
      <c r="H320" s="8">
        <f t="shared" si="1"/>
        <v>0</v>
      </c>
      <c r="I320" s="8" t="b">
        <v>0</v>
      </c>
      <c r="J320" s="2" t="s">
        <v>160</v>
      </c>
      <c r="K320" s="12">
        <f t="shared" si="2"/>
        <v>46025</v>
      </c>
      <c r="L320" s="12">
        <f t="shared" si="3"/>
        <v>46040</v>
      </c>
    </row>
    <row r="321" ht="15.75" hidden="1" customHeight="1">
      <c r="A321" s="4">
        <v>45935.0</v>
      </c>
      <c r="B321" s="2" t="s">
        <v>238</v>
      </c>
      <c r="C321" s="2" t="s">
        <v>558</v>
      </c>
      <c r="D321" s="2" t="s">
        <v>115</v>
      </c>
      <c r="E321" s="2">
        <v>168.0</v>
      </c>
      <c r="F321" s="2">
        <v>70.0</v>
      </c>
      <c r="G321" s="2">
        <v>70.0</v>
      </c>
      <c r="H321" s="8">
        <f t="shared" si="1"/>
        <v>0</v>
      </c>
      <c r="I321" s="2" t="b">
        <v>0</v>
      </c>
      <c r="J321" s="2" t="s">
        <v>160</v>
      </c>
      <c r="K321" s="12">
        <f t="shared" si="2"/>
        <v>45950</v>
      </c>
      <c r="L321" s="12">
        <f t="shared" si="3"/>
        <v>45965</v>
      </c>
    </row>
    <row r="322" ht="15.75" hidden="1" customHeight="1">
      <c r="A322" s="4">
        <v>45941.0</v>
      </c>
      <c r="B322" s="2" t="s">
        <v>238</v>
      </c>
      <c r="C322" s="2" t="s">
        <v>213</v>
      </c>
      <c r="D322" s="2" t="s">
        <v>159</v>
      </c>
      <c r="E322" s="2">
        <v>0.0</v>
      </c>
      <c r="F322" s="2">
        <v>42.0</v>
      </c>
      <c r="G322" s="2">
        <v>42.0</v>
      </c>
      <c r="H322" s="8">
        <f t="shared" si="1"/>
        <v>0</v>
      </c>
      <c r="I322" s="2" t="b">
        <v>1</v>
      </c>
      <c r="J322" s="2" t="s">
        <v>160</v>
      </c>
      <c r="K322" s="12">
        <f t="shared" si="2"/>
        <v>45956</v>
      </c>
      <c r="L322" s="12">
        <f t="shared" si="3"/>
        <v>45971</v>
      </c>
    </row>
    <row r="323" ht="15.75" hidden="1" customHeight="1">
      <c r="A323" s="4">
        <v>45933.0</v>
      </c>
      <c r="B323" s="2" t="s">
        <v>131</v>
      </c>
      <c r="C323" s="2" t="s">
        <v>559</v>
      </c>
      <c r="D323" s="2" t="s">
        <v>159</v>
      </c>
      <c r="E323" s="2"/>
      <c r="F323" s="2">
        <v>70.0</v>
      </c>
      <c r="G323" s="2">
        <v>70.0</v>
      </c>
      <c r="H323" s="8">
        <f t="shared" si="1"/>
        <v>0</v>
      </c>
      <c r="I323" s="2" t="b">
        <v>1</v>
      </c>
      <c r="J323" s="2" t="s">
        <v>160</v>
      </c>
      <c r="K323" s="12">
        <f t="shared" si="2"/>
        <v>45948</v>
      </c>
      <c r="L323" s="12">
        <f t="shared" si="3"/>
        <v>45963</v>
      </c>
    </row>
    <row r="324" ht="15.75" hidden="1" customHeight="1">
      <c r="A324" s="4">
        <v>45941.0</v>
      </c>
      <c r="B324" s="2" t="s">
        <v>416</v>
      </c>
      <c r="C324" s="2" t="s">
        <v>560</v>
      </c>
      <c r="D324" s="2" t="s">
        <v>159</v>
      </c>
      <c r="E324" s="2">
        <v>0.0</v>
      </c>
      <c r="F324" s="2">
        <v>39.0</v>
      </c>
      <c r="G324" s="2">
        <v>39.0</v>
      </c>
      <c r="H324" s="8">
        <f t="shared" si="1"/>
        <v>0</v>
      </c>
      <c r="I324" s="2" t="b">
        <v>1</v>
      </c>
      <c r="J324" s="2" t="s">
        <v>160</v>
      </c>
      <c r="K324" s="12">
        <f t="shared" si="2"/>
        <v>45956</v>
      </c>
      <c r="L324" s="12">
        <f t="shared" si="3"/>
        <v>45971</v>
      </c>
    </row>
    <row r="325" ht="15.75" hidden="1" customHeight="1">
      <c r="A325" s="4">
        <v>45930.0</v>
      </c>
      <c r="B325" s="2" t="s">
        <v>123</v>
      </c>
      <c r="C325" s="2" t="s">
        <v>561</v>
      </c>
      <c r="D325" s="2" t="s">
        <v>113</v>
      </c>
      <c r="E325" s="2">
        <v>0.0</v>
      </c>
      <c r="F325" s="2">
        <v>65.0</v>
      </c>
      <c r="G325" s="2">
        <v>65.0</v>
      </c>
      <c r="H325" s="8">
        <f t="shared" si="1"/>
        <v>0</v>
      </c>
      <c r="I325" s="2" t="b">
        <v>1</v>
      </c>
      <c r="J325" s="2" t="s">
        <v>160</v>
      </c>
      <c r="K325" s="12">
        <f t="shared" si="2"/>
        <v>45945</v>
      </c>
      <c r="L325" s="12">
        <f t="shared" si="3"/>
        <v>45960</v>
      </c>
    </row>
    <row r="326" ht="15.75" hidden="1" customHeight="1">
      <c r="A326" s="4">
        <v>46016.0</v>
      </c>
      <c r="B326" s="2" t="s">
        <v>238</v>
      </c>
      <c r="C326" s="2" t="s">
        <v>562</v>
      </c>
      <c r="D326" s="2" t="s">
        <v>166</v>
      </c>
      <c r="E326" s="2">
        <v>289.0</v>
      </c>
      <c r="F326" s="2">
        <v>75.0</v>
      </c>
      <c r="G326" s="2">
        <v>75.0</v>
      </c>
      <c r="H326" s="8">
        <f t="shared" si="1"/>
        <v>0</v>
      </c>
      <c r="I326" s="8" t="b">
        <v>0</v>
      </c>
      <c r="J326" s="2" t="s">
        <v>164</v>
      </c>
      <c r="K326" s="12">
        <f t="shared" si="2"/>
        <v>46031</v>
      </c>
      <c r="L326" s="12">
        <f t="shared" si="3"/>
        <v>46046</v>
      </c>
    </row>
    <row r="327" ht="15.75" hidden="1" customHeight="1">
      <c r="A327" s="4">
        <v>45997.0</v>
      </c>
      <c r="B327" s="2" t="s">
        <v>167</v>
      </c>
      <c r="C327" s="2" t="s">
        <v>563</v>
      </c>
      <c r="D327" s="2" t="s">
        <v>159</v>
      </c>
      <c r="E327" s="2">
        <v>0.0</v>
      </c>
      <c r="F327" s="2">
        <v>40.0</v>
      </c>
      <c r="G327" s="2">
        <v>40.0</v>
      </c>
      <c r="H327" s="8">
        <f t="shared" si="1"/>
        <v>0</v>
      </c>
      <c r="I327" s="2" t="b">
        <v>1</v>
      </c>
      <c r="J327" s="2" t="s">
        <v>160</v>
      </c>
      <c r="K327" s="12">
        <f t="shared" si="2"/>
        <v>46012</v>
      </c>
      <c r="L327" s="12">
        <f t="shared" si="3"/>
        <v>46027</v>
      </c>
    </row>
    <row r="328" ht="15.75" hidden="1" customHeight="1">
      <c r="A328" s="4">
        <v>45923.0</v>
      </c>
      <c r="B328" s="2" t="s">
        <v>375</v>
      </c>
      <c r="C328" s="2" t="s">
        <v>564</v>
      </c>
      <c r="D328" s="2" t="s">
        <v>159</v>
      </c>
      <c r="E328" s="2">
        <v>0.0</v>
      </c>
      <c r="F328" s="2">
        <v>35.0</v>
      </c>
      <c r="G328" s="2">
        <v>35.0</v>
      </c>
      <c r="H328" s="8">
        <f t="shared" si="1"/>
        <v>0</v>
      </c>
      <c r="I328" s="2" t="b">
        <v>1</v>
      </c>
      <c r="J328" s="2" t="s">
        <v>160</v>
      </c>
      <c r="K328" s="12">
        <f t="shared" si="2"/>
        <v>45938</v>
      </c>
      <c r="L328" s="12">
        <f t="shared" si="3"/>
        <v>45953</v>
      </c>
    </row>
    <row r="329" ht="15.75" hidden="1" customHeight="1">
      <c r="A329" s="4">
        <v>45954.0</v>
      </c>
      <c r="B329" s="2" t="s">
        <v>176</v>
      </c>
      <c r="C329" s="2" t="s">
        <v>565</v>
      </c>
      <c r="D329" s="2" t="s">
        <v>113</v>
      </c>
      <c r="E329" s="2">
        <v>0.0</v>
      </c>
      <c r="F329" s="2">
        <v>50.0</v>
      </c>
      <c r="G329" s="2">
        <v>50.0</v>
      </c>
      <c r="H329" s="8">
        <f t="shared" si="1"/>
        <v>0</v>
      </c>
      <c r="I329" s="2" t="b">
        <v>1</v>
      </c>
      <c r="J329" s="2" t="s">
        <v>160</v>
      </c>
      <c r="K329" s="12">
        <f t="shared" si="2"/>
        <v>45969</v>
      </c>
      <c r="L329" s="12">
        <f t="shared" si="3"/>
        <v>45984</v>
      </c>
    </row>
    <row r="330" ht="15.75" hidden="1" customHeight="1">
      <c r="A330" s="4">
        <v>45974.0</v>
      </c>
      <c r="B330" s="2" t="s">
        <v>566</v>
      </c>
      <c r="C330" s="2" t="s">
        <v>567</v>
      </c>
      <c r="D330" s="2" t="s">
        <v>159</v>
      </c>
      <c r="E330" s="2">
        <v>0.0</v>
      </c>
      <c r="F330" s="2">
        <v>70.0</v>
      </c>
      <c r="G330" s="2">
        <v>0.0</v>
      </c>
      <c r="H330" s="8">
        <f t="shared" si="1"/>
        <v>70</v>
      </c>
      <c r="I330" s="2" t="b">
        <v>0</v>
      </c>
      <c r="J330" s="2" t="s">
        <v>160</v>
      </c>
      <c r="K330" s="12">
        <f t="shared" si="2"/>
        <v>45989</v>
      </c>
      <c r="L330" s="12">
        <f t="shared" si="3"/>
        <v>46004</v>
      </c>
    </row>
    <row r="331" ht="15.75" hidden="1" customHeight="1">
      <c r="A331" s="4">
        <v>45934.0</v>
      </c>
      <c r="B331" s="2" t="s">
        <v>176</v>
      </c>
      <c r="C331" s="2" t="s">
        <v>568</v>
      </c>
      <c r="D331" s="2" t="s">
        <v>159</v>
      </c>
      <c r="E331" s="2">
        <v>0.0</v>
      </c>
      <c r="F331" s="2">
        <v>320.0</v>
      </c>
      <c r="G331" s="2">
        <v>320.0</v>
      </c>
      <c r="H331" s="8">
        <f t="shared" si="1"/>
        <v>0</v>
      </c>
      <c r="I331" s="2" t="b">
        <v>1</v>
      </c>
      <c r="J331" s="2" t="s">
        <v>160</v>
      </c>
      <c r="K331" s="12">
        <f t="shared" si="2"/>
        <v>45949</v>
      </c>
      <c r="L331" s="12">
        <f t="shared" si="3"/>
        <v>45964</v>
      </c>
    </row>
    <row r="332" ht="15.75" hidden="1" customHeight="1">
      <c r="A332" s="4">
        <v>45974.0</v>
      </c>
      <c r="B332" s="2" t="s">
        <v>566</v>
      </c>
      <c r="C332" s="2" t="s">
        <v>569</v>
      </c>
      <c r="D332" s="2" t="s">
        <v>159</v>
      </c>
      <c r="E332" s="2">
        <v>0.0</v>
      </c>
      <c r="F332" s="2">
        <v>60.0</v>
      </c>
      <c r="G332" s="2">
        <v>30.0</v>
      </c>
      <c r="H332" s="8">
        <f t="shared" si="1"/>
        <v>30</v>
      </c>
      <c r="I332" s="2" t="b">
        <v>0</v>
      </c>
      <c r="J332" s="2" t="s">
        <v>160</v>
      </c>
      <c r="K332" s="12">
        <f t="shared" si="2"/>
        <v>45989</v>
      </c>
      <c r="L332" s="12">
        <f t="shared" si="3"/>
        <v>46004</v>
      </c>
    </row>
    <row r="333" ht="15.75" hidden="1" customHeight="1">
      <c r="A333" s="4">
        <v>45974.0</v>
      </c>
      <c r="B333" s="2" t="s">
        <v>566</v>
      </c>
      <c r="C333" s="2" t="s">
        <v>570</v>
      </c>
      <c r="D333" s="2" t="s">
        <v>159</v>
      </c>
      <c r="E333" s="2">
        <v>0.0</v>
      </c>
      <c r="F333" s="2">
        <v>55.0</v>
      </c>
      <c r="G333" s="2">
        <v>55.0</v>
      </c>
      <c r="H333" s="8">
        <f t="shared" si="1"/>
        <v>0</v>
      </c>
      <c r="I333" s="2" t="b">
        <v>0</v>
      </c>
      <c r="J333" s="2" t="s">
        <v>160</v>
      </c>
      <c r="K333" s="12">
        <f t="shared" si="2"/>
        <v>45989</v>
      </c>
      <c r="L333" s="12">
        <f t="shared" si="3"/>
        <v>46004</v>
      </c>
    </row>
    <row r="334" ht="15.75" hidden="1" customHeight="1">
      <c r="A334" s="4">
        <v>45988.0</v>
      </c>
      <c r="B334" s="2" t="s">
        <v>269</v>
      </c>
      <c r="C334" s="2" t="s">
        <v>571</v>
      </c>
      <c r="D334" s="2" t="s">
        <v>159</v>
      </c>
      <c r="E334" s="2">
        <v>0.0</v>
      </c>
      <c r="F334" s="2">
        <v>25.0</v>
      </c>
      <c r="G334" s="2">
        <v>25.0</v>
      </c>
      <c r="H334" s="8">
        <f t="shared" si="1"/>
        <v>0</v>
      </c>
      <c r="I334" s="2" t="b">
        <v>1</v>
      </c>
      <c r="J334" s="2" t="s">
        <v>160</v>
      </c>
      <c r="K334" s="12">
        <f t="shared" si="2"/>
        <v>46003</v>
      </c>
      <c r="L334" s="12">
        <f t="shared" si="3"/>
        <v>46018</v>
      </c>
    </row>
    <row r="335" ht="15.75" hidden="1" customHeight="1">
      <c r="A335" s="4">
        <v>45985.0</v>
      </c>
      <c r="B335" s="2" t="s">
        <v>228</v>
      </c>
      <c r="C335" s="2" t="s">
        <v>572</v>
      </c>
      <c r="D335" s="2" t="s">
        <v>159</v>
      </c>
      <c r="E335" s="2">
        <v>0.0</v>
      </c>
      <c r="F335" s="2">
        <v>45.0</v>
      </c>
      <c r="G335" s="2">
        <v>45.0</v>
      </c>
      <c r="H335" s="8">
        <f t="shared" si="1"/>
        <v>0</v>
      </c>
      <c r="I335" s="2" t="b">
        <v>1</v>
      </c>
      <c r="J335" s="2" t="s">
        <v>160</v>
      </c>
      <c r="K335" s="12">
        <f t="shared" si="2"/>
        <v>46000</v>
      </c>
      <c r="L335" s="12">
        <f t="shared" si="3"/>
        <v>46015</v>
      </c>
    </row>
    <row r="336" ht="15.75" hidden="1" customHeight="1">
      <c r="A336" s="4">
        <v>45988.0</v>
      </c>
      <c r="B336" s="2" t="s">
        <v>269</v>
      </c>
      <c r="C336" s="2" t="s">
        <v>573</v>
      </c>
      <c r="D336" s="2" t="s">
        <v>159</v>
      </c>
      <c r="E336" s="2">
        <v>0.0</v>
      </c>
      <c r="F336" s="2">
        <v>25.0</v>
      </c>
      <c r="G336" s="2">
        <v>25.0</v>
      </c>
      <c r="H336" s="8">
        <f t="shared" si="1"/>
        <v>0</v>
      </c>
      <c r="I336" s="2" t="b">
        <v>1</v>
      </c>
      <c r="J336" s="2" t="s">
        <v>160</v>
      </c>
      <c r="K336" s="12">
        <f t="shared" si="2"/>
        <v>46003</v>
      </c>
      <c r="L336" s="12">
        <f t="shared" si="3"/>
        <v>46018</v>
      </c>
    </row>
    <row r="337" ht="15.75" hidden="1" customHeight="1">
      <c r="A337" s="4">
        <v>45974.0</v>
      </c>
      <c r="B337" s="2" t="s">
        <v>566</v>
      </c>
      <c r="C337" s="2" t="s">
        <v>574</v>
      </c>
      <c r="D337" s="2" t="s">
        <v>159</v>
      </c>
      <c r="E337" s="2">
        <v>0.0</v>
      </c>
      <c r="F337" s="2">
        <v>50.0</v>
      </c>
      <c r="G337" s="2">
        <v>50.0</v>
      </c>
      <c r="H337" s="8">
        <f t="shared" si="1"/>
        <v>0</v>
      </c>
      <c r="I337" s="2" t="b">
        <v>0</v>
      </c>
      <c r="J337" s="2" t="s">
        <v>160</v>
      </c>
      <c r="K337" s="12">
        <f t="shared" si="2"/>
        <v>45989</v>
      </c>
      <c r="L337" s="12">
        <f t="shared" si="3"/>
        <v>46004</v>
      </c>
    </row>
    <row r="338" ht="15.75" hidden="1" customHeight="1">
      <c r="A338" s="4">
        <v>45974.0</v>
      </c>
      <c r="B338" s="2" t="s">
        <v>566</v>
      </c>
      <c r="C338" s="2" t="s">
        <v>575</v>
      </c>
      <c r="D338" s="2" t="s">
        <v>159</v>
      </c>
      <c r="E338" s="2">
        <v>0.0</v>
      </c>
      <c r="F338" s="2">
        <v>45.0</v>
      </c>
      <c r="G338" s="2">
        <v>45.0</v>
      </c>
      <c r="H338" s="8">
        <f t="shared" si="1"/>
        <v>0</v>
      </c>
      <c r="I338" s="2" t="b">
        <v>0</v>
      </c>
      <c r="J338" s="2" t="s">
        <v>160</v>
      </c>
      <c r="K338" s="12">
        <f t="shared" si="2"/>
        <v>45989</v>
      </c>
      <c r="L338" s="12">
        <f t="shared" si="3"/>
        <v>46004</v>
      </c>
    </row>
    <row r="339" ht="15.75" hidden="1" customHeight="1">
      <c r="A339" s="4">
        <v>45945.0</v>
      </c>
      <c r="B339" s="2" t="s">
        <v>123</v>
      </c>
      <c r="C339" s="2" t="s">
        <v>576</v>
      </c>
      <c r="D339" s="2" t="s">
        <v>115</v>
      </c>
      <c r="E339" s="2">
        <v>186.0</v>
      </c>
      <c r="F339" s="2">
        <v>35.0</v>
      </c>
      <c r="G339" s="2">
        <v>35.0</v>
      </c>
      <c r="H339" s="8">
        <f t="shared" si="1"/>
        <v>0</v>
      </c>
      <c r="I339" s="2" t="b">
        <v>1</v>
      </c>
      <c r="J339" s="2" t="s">
        <v>160</v>
      </c>
      <c r="K339" s="12">
        <f t="shared" si="2"/>
        <v>45960</v>
      </c>
      <c r="L339" s="12">
        <f t="shared" si="3"/>
        <v>45975</v>
      </c>
    </row>
    <row r="340" ht="15.75" hidden="1" customHeight="1">
      <c r="A340" s="4">
        <v>45974.0</v>
      </c>
      <c r="B340" s="2" t="s">
        <v>566</v>
      </c>
      <c r="C340" s="2" t="s">
        <v>577</v>
      </c>
      <c r="D340" s="2" t="s">
        <v>159</v>
      </c>
      <c r="E340" s="2">
        <v>0.0</v>
      </c>
      <c r="F340" s="2">
        <v>55.0</v>
      </c>
      <c r="G340" s="2">
        <v>55.0</v>
      </c>
      <c r="H340" s="8">
        <f t="shared" si="1"/>
        <v>0</v>
      </c>
      <c r="I340" s="2" t="b">
        <v>0</v>
      </c>
      <c r="J340" s="2" t="s">
        <v>160</v>
      </c>
      <c r="K340" s="12">
        <f t="shared" si="2"/>
        <v>45989</v>
      </c>
      <c r="L340" s="12">
        <f t="shared" si="3"/>
        <v>46004</v>
      </c>
    </row>
    <row r="341" ht="15.75" hidden="1" customHeight="1">
      <c r="A341" s="4">
        <v>45945.0</v>
      </c>
      <c r="B341" s="2" t="s">
        <v>123</v>
      </c>
      <c r="C341" s="2" t="s">
        <v>578</v>
      </c>
      <c r="D341" s="2" t="s">
        <v>115</v>
      </c>
      <c r="E341" s="2">
        <v>186.0</v>
      </c>
      <c r="F341" s="2">
        <v>35.0</v>
      </c>
      <c r="G341" s="2">
        <v>35.0</v>
      </c>
      <c r="H341" s="8">
        <f t="shared" si="1"/>
        <v>0</v>
      </c>
      <c r="I341" s="2" t="b">
        <v>1</v>
      </c>
      <c r="J341" s="2" t="s">
        <v>160</v>
      </c>
      <c r="K341" s="12">
        <f t="shared" si="2"/>
        <v>45960</v>
      </c>
      <c r="L341" s="12">
        <f t="shared" si="3"/>
        <v>45975</v>
      </c>
    </row>
    <row r="342" ht="15.75" hidden="1" customHeight="1">
      <c r="A342" s="4">
        <v>45974.0</v>
      </c>
      <c r="B342" s="2" t="s">
        <v>566</v>
      </c>
      <c r="C342" s="2" t="s">
        <v>579</v>
      </c>
      <c r="D342" s="2" t="s">
        <v>159</v>
      </c>
      <c r="E342" s="2">
        <v>0.0</v>
      </c>
      <c r="F342" s="2">
        <v>55.0</v>
      </c>
      <c r="G342" s="2">
        <v>55.0</v>
      </c>
      <c r="H342" s="8">
        <f t="shared" si="1"/>
        <v>0</v>
      </c>
      <c r="I342" s="2" t="b">
        <v>0</v>
      </c>
      <c r="J342" s="2" t="s">
        <v>160</v>
      </c>
      <c r="K342" s="12">
        <f t="shared" si="2"/>
        <v>45989</v>
      </c>
      <c r="L342" s="12">
        <f t="shared" si="3"/>
        <v>46004</v>
      </c>
    </row>
    <row r="343" ht="15.75" hidden="1" customHeight="1">
      <c r="A343" s="4">
        <v>45974.0</v>
      </c>
      <c r="B343" s="2" t="s">
        <v>566</v>
      </c>
      <c r="C343" s="2" t="s">
        <v>580</v>
      </c>
      <c r="D343" s="2" t="s">
        <v>159</v>
      </c>
      <c r="E343" s="2">
        <v>0.0</v>
      </c>
      <c r="F343" s="2">
        <v>40.0</v>
      </c>
      <c r="G343" s="2">
        <v>40.0</v>
      </c>
      <c r="H343" s="8">
        <f t="shared" si="1"/>
        <v>0</v>
      </c>
      <c r="I343" s="2" t="b">
        <v>0</v>
      </c>
      <c r="J343" s="2" t="s">
        <v>160</v>
      </c>
      <c r="K343" s="12">
        <f t="shared" si="2"/>
        <v>45989</v>
      </c>
      <c r="L343" s="12">
        <f t="shared" si="3"/>
        <v>46004</v>
      </c>
    </row>
    <row r="344" ht="15.75" hidden="1" customHeight="1">
      <c r="A344" s="4">
        <v>45942.0</v>
      </c>
      <c r="B344" s="2" t="s">
        <v>238</v>
      </c>
      <c r="C344" s="2" t="s">
        <v>581</v>
      </c>
      <c r="D344" s="2" t="s">
        <v>240</v>
      </c>
      <c r="E344" s="2">
        <v>48.0</v>
      </c>
      <c r="F344" s="2">
        <v>50.0</v>
      </c>
      <c r="G344" s="2">
        <v>50.0</v>
      </c>
      <c r="H344" s="8">
        <f t="shared" si="1"/>
        <v>0</v>
      </c>
      <c r="I344" s="2" t="b">
        <v>1</v>
      </c>
      <c r="J344" s="2" t="s">
        <v>160</v>
      </c>
      <c r="K344" s="12">
        <f t="shared" si="2"/>
        <v>45957</v>
      </c>
      <c r="L344" s="12">
        <f t="shared" si="3"/>
        <v>45972</v>
      </c>
    </row>
    <row r="345" ht="15.75" hidden="1" customHeight="1">
      <c r="A345" s="4">
        <v>45929.0</v>
      </c>
      <c r="B345" s="2" t="s">
        <v>471</v>
      </c>
      <c r="C345" s="2" t="s">
        <v>582</v>
      </c>
      <c r="D345" s="2" t="s">
        <v>159</v>
      </c>
      <c r="E345" s="2">
        <v>0.0</v>
      </c>
      <c r="F345" s="2">
        <v>25.0</v>
      </c>
      <c r="G345" s="2">
        <v>25.0</v>
      </c>
      <c r="H345" s="8">
        <f t="shared" si="1"/>
        <v>0</v>
      </c>
      <c r="I345" s="2" t="b">
        <v>1</v>
      </c>
      <c r="J345" s="2" t="s">
        <v>164</v>
      </c>
      <c r="K345" s="12">
        <f t="shared" si="2"/>
        <v>45944</v>
      </c>
      <c r="L345" s="12">
        <f t="shared" si="3"/>
        <v>45959</v>
      </c>
    </row>
    <row r="346" ht="15.75" hidden="1" customHeight="1">
      <c r="A346" s="4">
        <v>45932.0</v>
      </c>
      <c r="B346" s="2" t="s">
        <v>180</v>
      </c>
      <c r="C346" s="2" t="s">
        <v>583</v>
      </c>
      <c r="D346" s="2" t="s">
        <v>159</v>
      </c>
      <c r="E346" s="2">
        <v>0.0</v>
      </c>
      <c r="F346" s="2">
        <v>55.0</v>
      </c>
      <c r="G346" s="2">
        <v>55.0</v>
      </c>
      <c r="H346" s="8">
        <f t="shared" si="1"/>
        <v>0</v>
      </c>
      <c r="I346" s="2" t="b">
        <v>1</v>
      </c>
      <c r="J346" s="2" t="s">
        <v>160</v>
      </c>
      <c r="K346" s="12">
        <f t="shared" si="2"/>
        <v>45947</v>
      </c>
      <c r="L346" s="12">
        <f t="shared" si="3"/>
        <v>45962</v>
      </c>
    </row>
    <row r="347" ht="15.75" hidden="1" customHeight="1">
      <c r="A347" s="4">
        <v>45987.0</v>
      </c>
      <c r="B347" s="2" t="s">
        <v>173</v>
      </c>
      <c r="C347" s="2" t="s">
        <v>584</v>
      </c>
      <c r="D347" s="2" t="s">
        <v>159</v>
      </c>
      <c r="E347" s="2">
        <v>0.0</v>
      </c>
      <c r="F347" s="2">
        <v>5.0</v>
      </c>
      <c r="G347" s="2">
        <v>5.0</v>
      </c>
      <c r="H347" s="8">
        <f t="shared" si="1"/>
        <v>0</v>
      </c>
      <c r="I347" s="2" t="b">
        <v>1</v>
      </c>
      <c r="J347" s="2" t="s">
        <v>160</v>
      </c>
      <c r="K347" s="12">
        <f t="shared" si="2"/>
        <v>46002</v>
      </c>
      <c r="L347" s="12">
        <f t="shared" si="3"/>
        <v>46017</v>
      </c>
    </row>
    <row r="348" ht="15.75" hidden="1" customHeight="1">
      <c r="A348" s="4">
        <v>45981.0</v>
      </c>
      <c r="B348" s="2" t="s">
        <v>173</v>
      </c>
      <c r="C348" s="2" t="s">
        <v>585</v>
      </c>
      <c r="D348" s="2" t="s">
        <v>159</v>
      </c>
      <c r="E348" s="2">
        <v>0.0</v>
      </c>
      <c r="F348" s="2">
        <v>60.0</v>
      </c>
      <c r="G348" s="2">
        <v>60.0</v>
      </c>
      <c r="H348" s="8">
        <f t="shared" si="1"/>
        <v>0</v>
      </c>
      <c r="I348" s="2" t="b">
        <v>1</v>
      </c>
      <c r="J348" s="2" t="s">
        <v>160</v>
      </c>
      <c r="K348" s="12">
        <f t="shared" si="2"/>
        <v>45996</v>
      </c>
      <c r="L348" s="12">
        <f t="shared" si="3"/>
        <v>46011</v>
      </c>
    </row>
    <row r="349" ht="15.75" hidden="1" customHeight="1">
      <c r="A349" s="4">
        <v>45929.0</v>
      </c>
      <c r="B349" s="2" t="s">
        <v>344</v>
      </c>
      <c r="C349" s="2" t="s">
        <v>586</v>
      </c>
      <c r="D349" s="2" t="s">
        <v>91</v>
      </c>
      <c r="E349" s="2">
        <v>0.0</v>
      </c>
      <c r="F349" s="2">
        <v>30.0</v>
      </c>
      <c r="G349" s="2">
        <v>30.0</v>
      </c>
      <c r="H349" s="8">
        <f t="shared" si="1"/>
        <v>0</v>
      </c>
      <c r="I349" s="2" t="b">
        <v>1</v>
      </c>
      <c r="J349" s="2" t="s">
        <v>160</v>
      </c>
      <c r="K349" s="12">
        <f t="shared" si="2"/>
        <v>45944</v>
      </c>
      <c r="L349" s="12">
        <f t="shared" si="3"/>
        <v>45959</v>
      </c>
    </row>
    <row r="350" ht="15.75" hidden="1" customHeight="1">
      <c r="A350" s="4">
        <v>45987.0</v>
      </c>
      <c r="B350" s="2" t="s">
        <v>123</v>
      </c>
      <c r="C350" s="2" t="s">
        <v>587</v>
      </c>
      <c r="D350" s="2" t="s">
        <v>159</v>
      </c>
      <c r="E350" s="2">
        <v>0.0</v>
      </c>
      <c r="F350" s="2">
        <v>5.0</v>
      </c>
      <c r="G350" s="2">
        <v>5.0</v>
      </c>
      <c r="H350" s="8">
        <f t="shared" si="1"/>
        <v>0</v>
      </c>
      <c r="I350" s="2" t="b">
        <v>1</v>
      </c>
      <c r="J350" s="2" t="s">
        <v>160</v>
      </c>
      <c r="K350" s="12">
        <f t="shared" si="2"/>
        <v>46002</v>
      </c>
      <c r="L350" s="12">
        <f t="shared" si="3"/>
        <v>46017</v>
      </c>
    </row>
    <row r="351" ht="15.75" hidden="1" customHeight="1">
      <c r="A351" s="4">
        <v>45975.0</v>
      </c>
      <c r="B351" s="2" t="s">
        <v>566</v>
      </c>
      <c r="C351" s="2" t="s">
        <v>588</v>
      </c>
      <c r="D351" s="2" t="s">
        <v>159</v>
      </c>
      <c r="E351" s="2">
        <v>0.0</v>
      </c>
      <c r="F351" s="2">
        <v>20.0</v>
      </c>
      <c r="G351" s="2">
        <v>0.0</v>
      </c>
      <c r="H351" s="8">
        <f t="shared" si="1"/>
        <v>20</v>
      </c>
      <c r="I351" s="2" t="b">
        <v>0</v>
      </c>
      <c r="J351" s="2" t="s">
        <v>160</v>
      </c>
      <c r="K351" s="12">
        <f t="shared" si="2"/>
        <v>45990</v>
      </c>
      <c r="L351" s="12">
        <f t="shared" si="3"/>
        <v>46005</v>
      </c>
    </row>
    <row r="352" ht="15.75" hidden="1" customHeight="1">
      <c r="A352" s="4">
        <v>45985.0</v>
      </c>
      <c r="B352" s="2" t="s">
        <v>228</v>
      </c>
      <c r="C352" s="2" t="s">
        <v>589</v>
      </c>
      <c r="D352" s="2" t="s">
        <v>159</v>
      </c>
      <c r="E352" s="2">
        <v>0.0</v>
      </c>
      <c r="F352" s="2">
        <v>1.0</v>
      </c>
      <c r="G352" s="2">
        <v>1.0</v>
      </c>
      <c r="H352" s="8">
        <f t="shared" si="1"/>
        <v>0</v>
      </c>
      <c r="I352" s="2" t="b">
        <v>1</v>
      </c>
      <c r="J352" s="2" t="s">
        <v>160</v>
      </c>
      <c r="K352" s="12">
        <f t="shared" si="2"/>
        <v>46000</v>
      </c>
      <c r="L352" s="12">
        <f t="shared" si="3"/>
        <v>46015</v>
      </c>
    </row>
    <row r="353" ht="15.75" hidden="1" customHeight="1">
      <c r="A353" s="4">
        <v>46021.0</v>
      </c>
      <c r="B353" s="2" t="s">
        <v>342</v>
      </c>
      <c r="C353" s="2" t="s">
        <v>590</v>
      </c>
      <c r="D353" s="2" t="s">
        <v>159</v>
      </c>
      <c r="E353" s="2">
        <v>0.0</v>
      </c>
      <c r="F353" s="2">
        <v>3.0</v>
      </c>
      <c r="G353" s="2">
        <v>3.0</v>
      </c>
      <c r="H353" s="8">
        <f t="shared" si="1"/>
        <v>0</v>
      </c>
      <c r="I353" s="2" t="b">
        <v>1</v>
      </c>
      <c r="J353" s="2" t="s">
        <v>160</v>
      </c>
      <c r="K353" s="12">
        <f t="shared" si="2"/>
        <v>46036</v>
      </c>
      <c r="L353" s="12">
        <f t="shared" si="3"/>
        <v>46051</v>
      </c>
    </row>
    <row r="354" ht="15.75" hidden="1" customHeight="1">
      <c r="A354" s="4">
        <v>45975.0</v>
      </c>
      <c r="B354" s="2" t="s">
        <v>566</v>
      </c>
      <c r="C354" s="2" t="s">
        <v>591</v>
      </c>
      <c r="D354" s="2" t="s">
        <v>159</v>
      </c>
      <c r="E354" s="2">
        <v>0.0</v>
      </c>
      <c r="F354" s="2">
        <v>40.0</v>
      </c>
      <c r="G354" s="2">
        <v>0.0</v>
      </c>
      <c r="H354" s="8">
        <f t="shared" si="1"/>
        <v>40</v>
      </c>
      <c r="I354" s="2" t="b">
        <v>0</v>
      </c>
      <c r="J354" s="2" t="s">
        <v>160</v>
      </c>
      <c r="K354" s="12">
        <f t="shared" si="2"/>
        <v>45990</v>
      </c>
      <c r="L354" s="12">
        <f t="shared" si="3"/>
        <v>46005</v>
      </c>
    </row>
    <row r="355" ht="15.75" hidden="1" customHeight="1">
      <c r="A355" s="4">
        <v>45980.0</v>
      </c>
      <c r="B355" s="2" t="s">
        <v>216</v>
      </c>
      <c r="C355" s="2" t="s">
        <v>592</v>
      </c>
      <c r="D355" s="2" t="s">
        <v>159</v>
      </c>
      <c r="E355" s="2">
        <v>0.0</v>
      </c>
      <c r="F355" s="2">
        <v>40.0</v>
      </c>
      <c r="G355" s="2">
        <v>40.0</v>
      </c>
      <c r="H355" s="8">
        <f t="shared" si="1"/>
        <v>0</v>
      </c>
      <c r="I355" s="2" t="b">
        <v>1</v>
      </c>
      <c r="J355" s="2" t="s">
        <v>160</v>
      </c>
      <c r="K355" s="12">
        <f t="shared" si="2"/>
        <v>45995</v>
      </c>
      <c r="L355" s="12">
        <f t="shared" si="3"/>
        <v>46010</v>
      </c>
    </row>
    <row r="356" ht="15.75" hidden="1" customHeight="1">
      <c r="A356" s="4">
        <v>45979.0</v>
      </c>
      <c r="B356" s="2" t="s">
        <v>416</v>
      </c>
      <c r="C356" s="2" t="s">
        <v>592</v>
      </c>
      <c r="D356" s="2" t="s">
        <v>159</v>
      </c>
      <c r="E356" s="2">
        <v>0.0</v>
      </c>
      <c r="F356" s="2">
        <v>29.0</v>
      </c>
      <c r="G356" s="2">
        <v>29.0</v>
      </c>
      <c r="H356" s="8">
        <f t="shared" si="1"/>
        <v>0</v>
      </c>
      <c r="I356" s="2" t="b">
        <v>1</v>
      </c>
      <c r="J356" s="2" t="s">
        <v>160</v>
      </c>
      <c r="K356" s="12">
        <f t="shared" si="2"/>
        <v>45994</v>
      </c>
      <c r="L356" s="12">
        <f t="shared" si="3"/>
        <v>46009</v>
      </c>
    </row>
    <row r="357" ht="15.75" hidden="1" customHeight="1">
      <c r="A357" s="4">
        <v>45975.0</v>
      </c>
      <c r="B357" s="2" t="s">
        <v>566</v>
      </c>
      <c r="C357" s="2" t="s">
        <v>593</v>
      </c>
      <c r="D357" s="2" t="s">
        <v>159</v>
      </c>
      <c r="E357" s="2">
        <v>0.0</v>
      </c>
      <c r="F357" s="2">
        <v>40.0</v>
      </c>
      <c r="G357" s="2">
        <v>0.0</v>
      </c>
      <c r="H357" s="8">
        <f t="shared" si="1"/>
        <v>40</v>
      </c>
      <c r="I357" s="2" t="b">
        <v>0</v>
      </c>
      <c r="J357" s="2" t="s">
        <v>160</v>
      </c>
      <c r="K357" s="12">
        <f t="shared" si="2"/>
        <v>45990</v>
      </c>
      <c r="L357" s="12">
        <f t="shared" si="3"/>
        <v>46005</v>
      </c>
    </row>
    <row r="358" ht="15.75" hidden="1" customHeight="1">
      <c r="A358" s="4">
        <v>46017.0</v>
      </c>
      <c r="B358" s="2" t="s">
        <v>594</v>
      </c>
      <c r="C358" s="2" t="s">
        <v>595</v>
      </c>
      <c r="D358" s="2" t="s">
        <v>159</v>
      </c>
      <c r="E358" s="2">
        <v>0.0</v>
      </c>
      <c r="F358" s="2">
        <v>45.0</v>
      </c>
      <c r="G358" s="2">
        <v>45.0</v>
      </c>
      <c r="H358" s="8">
        <f t="shared" si="1"/>
        <v>0</v>
      </c>
      <c r="I358" s="2" t="b">
        <v>1</v>
      </c>
      <c r="J358" s="2" t="s">
        <v>160</v>
      </c>
      <c r="K358" s="12">
        <f t="shared" si="2"/>
        <v>46032</v>
      </c>
      <c r="L358" s="12">
        <f t="shared" si="3"/>
        <v>46047</v>
      </c>
    </row>
    <row r="359" ht="15.75" hidden="1" customHeight="1">
      <c r="A359" s="4">
        <v>45988.0</v>
      </c>
      <c r="B359" s="2" t="s">
        <v>269</v>
      </c>
      <c r="C359" s="2" t="s">
        <v>596</v>
      </c>
      <c r="D359" s="2" t="s">
        <v>159</v>
      </c>
      <c r="E359" s="2">
        <v>0.0</v>
      </c>
      <c r="F359" s="2">
        <v>30.0</v>
      </c>
      <c r="G359" s="2">
        <v>30.0</v>
      </c>
      <c r="H359" s="8">
        <f t="shared" si="1"/>
        <v>0</v>
      </c>
      <c r="I359" s="2" t="b">
        <v>1</v>
      </c>
      <c r="J359" s="2" t="s">
        <v>160</v>
      </c>
      <c r="K359" s="12">
        <f t="shared" si="2"/>
        <v>46003</v>
      </c>
      <c r="L359" s="12">
        <f t="shared" si="3"/>
        <v>46018</v>
      </c>
    </row>
    <row r="360" ht="15.75" hidden="1" customHeight="1">
      <c r="A360" s="254">
        <v>45912.0</v>
      </c>
      <c r="B360" s="8" t="s">
        <v>597</v>
      </c>
      <c r="C360" s="8" t="s">
        <v>598</v>
      </c>
      <c r="D360" s="8" t="s">
        <v>159</v>
      </c>
      <c r="F360" s="8">
        <v>55.0</v>
      </c>
      <c r="G360" s="8">
        <v>55.0</v>
      </c>
      <c r="H360" s="8">
        <f t="shared" si="1"/>
        <v>0</v>
      </c>
      <c r="I360" s="2" t="b">
        <v>1</v>
      </c>
      <c r="J360" s="2" t="s">
        <v>160</v>
      </c>
      <c r="K360" s="12">
        <f t="shared" si="2"/>
        <v>45927</v>
      </c>
      <c r="L360" s="12">
        <f t="shared" si="3"/>
        <v>45942</v>
      </c>
    </row>
    <row r="361" ht="15.75" hidden="1" customHeight="1">
      <c r="A361" s="4">
        <v>45977.0</v>
      </c>
      <c r="B361" s="2" t="s">
        <v>566</v>
      </c>
      <c r="C361" s="2" t="s">
        <v>599</v>
      </c>
      <c r="D361" s="2" t="s">
        <v>159</v>
      </c>
      <c r="E361" s="2">
        <v>0.0</v>
      </c>
      <c r="F361" s="2">
        <v>25.0</v>
      </c>
      <c r="G361" s="2">
        <v>0.0</v>
      </c>
      <c r="H361" s="8">
        <f t="shared" si="1"/>
        <v>25</v>
      </c>
      <c r="I361" s="2" t="b">
        <v>0</v>
      </c>
      <c r="J361" s="2" t="s">
        <v>160</v>
      </c>
      <c r="K361" s="12">
        <f t="shared" si="2"/>
        <v>45992</v>
      </c>
      <c r="L361" s="12">
        <f t="shared" si="3"/>
        <v>46007</v>
      </c>
    </row>
    <row r="362" ht="15.75" hidden="1" customHeight="1">
      <c r="A362" s="4">
        <v>45977.0</v>
      </c>
      <c r="B362" s="2" t="s">
        <v>566</v>
      </c>
      <c r="C362" s="2" t="s">
        <v>600</v>
      </c>
      <c r="D362" s="2" t="s">
        <v>159</v>
      </c>
      <c r="E362" s="2">
        <v>0.0</v>
      </c>
      <c r="F362" s="2">
        <v>25.0</v>
      </c>
      <c r="G362" s="2">
        <v>0.0</v>
      </c>
      <c r="H362" s="8">
        <f t="shared" si="1"/>
        <v>25</v>
      </c>
      <c r="I362" s="2" t="b">
        <v>0</v>
      </c>
      <c r="J362" s="2" t="s">
        <v>160</v>
      </c>
      <c r="K362" s="12">
        <f t="shared" si="2"/>
        <v>45992</v>
      </c>
      <c r="L362" s="12">
        <f t="shared" si="3"/>
        <v>46007</v>
      </c>
    </row>
    <row r="363" ht="15.75" hidden="1" customHeight="1">
      <c r="A363" s="4">
        <v>45969.0</v>
      </c>
      <c r="B363" s="2" t="s">
        <v>601</v>
      </c>
      <c r="C363" s="2" t="s">
        <v>602</v>
      </c>
      <c r="D363" s="2" t="s">
        <v>159</v>
      </c>
      <c r="E363" s="2">
        <v>0.0</v>
      </c>
      <c r="F363" s="2">
        <v>20.0</v>
      </c>
      <c r="G363" s="2">
        <v>20.0</v>
      </c>
      <c r="H363" s="8">
        <f t="shared" si="1"/>
        <v>0</v>
      </c>
      <c r="I363" s="2" t="b">
        <v>1</v>
      </c>
      <c r="J363" s="2" t="s">
        <v>160</v>
      </c>
      <c r="K363" s="12">
        <f t="shared" si="2"/>
        <v>45984</v>
      </c>
      <c r="L363" s="12">
        <f t="shared" si="3"/>
        <v>45999</v>
      </c>
    </row>
    <row r="364" ht="15.75" hidden="1" customHeight="1">
      <c r="A364" s="4">
        <v>45969.0</v>
      </c>
      <c r="B364" s="2" t="s">
        <v>603</v>
      </c>
      <c r="C364" s="2" t="s">
        <v>604</v>
      </c>
      <c r="D364" s="2" t="s">
        <v>159</v>
      </c>
      <c r="E364" s="2">
        <v>0.0</v>
      </c>
      <c r="F364" s="2">
        <v>75.0</v>
      </c>
      <c r="G364" s="2">
        <v>75.0</v>
      </c>
      <c r="H364" s="8">
        <f t="shared" si="1"/>
        <v>0</v>
      </c>
      <c r="I364" s="2" t="b">
        <v>1</v>
      </c>
      <c r="J364" s="2" t="s">
        <v>160</v>
      </c>
      <c r="K364" s="12">
        <f t="shared" si="2"/>
        <v>45984</v>
      </c>
      <c r="L364" s="12">
        <f t="shared" si="3"/>
        <v>45999</v>
      </c>
    </row>
    <row r="365" ht="15.75" hidden="1" customHeight="1">
      <c r="A365" s="4">
        <v>46012.0</v>
      </c>
      <c r="B365" s="2" t="s">
        <v>483</v>
      </c>
      <c r="C365" s="2" t="s">
        <v>605</v>
      </c>
      <c r="D365" s="2" t="s">
        <v>159</v>
      </c>
      <c r="E365" s="2">
        <v>0.0</v>
      </c>
      <c r="F365" s="2">
        <v>46.8</v>
      </c>
      <c r="G365" s="2">
        <v>46.8</v>
      </c>
      <c r="H365" s="8">
        <f t="shared" si="1"/>
        <v>0</v>
      </c>
      <c r="I365" s="2" t="b">
        <v>1</v>
      </c>
      <c r="J365" s="2" t="s">
        <v>160</v>
      </c>
      <c r="K365" s="12">
        <f t="shared" si="2"/>
        <v>46027</v>
      </c>
      <c r="L365" s="12">
        <f t="shared" si="3"/>
        <v>46042</v>
      </c>
    </row>
    <row r="366" ht="15.75" hidden="1" customHeight="1">
      <c r="A366" s="4">
        <v>45923.0</v>
      </c>
      <c r="B366" s="2" t="s">
        <v>208</v>
      </c>
      <c r="C366" s="2" t="s">
        <v>606</v>
      </c>
      <c r="D366" s="2" t="s">
        <v>159</v>
      </c>
      <c r="E366" s="2"/>
      <c r="F366" s="2">
        <v>38.0</v>
      </c>
      <c r="G366" s="2">
        <v>38.0</v>
      </c>
      <c r="H366" s="8">
        <f t="shared" si="1"/>
        <v>0</v>
      </c>
      <c r="I366" s="2" t="b">
        <v>1</v>
      </c>
      <c r="J366" s="2" t="s">
        <v>160</v>
      </c>
      <c r="K366" s="12">
        <f t="shared" si="2"/>
        <v>45938</v>
      </c>
      <c r="L366" s="12">
        <f t="shared" si="3"/>
        <v>45953</v>
      </c>
    </row>
    <row r="367" ht="15.75" hidden="1" customHeight="1">
      <c r="A367" s="4">
        <v>45994.0</v>
      </c>
      <c r="B367" s="2" t="s">
        <v>607</v>
      </c>
      <c r="C367" s="2" t="s">
        <v>608</v>
      </c>
      <c r="D367" s="2" t="s">
        <v>159</v>
      </c>
      <c r="E367" s="2">
        <v>0.0</v>
      </c>
      <c r="F367" s="2">
        <v>40.0</v>
      </c>
      <c r="G367" s="2">
        <v>40.0</v>
      </c>
      <c r="H367" s="8">
        <f t="shared" si="1"/>
        <v>0</v>
      </c>
      <c r="I367" s="2" t="b">
        <v>1</v>
      </c>
      <c r="J367" s="2" t="s">
        <v>160</v>
      </c>
      <c r="K367" s="12">
        <f t="shared" si="2"/>
        <v>46009</v>
      </c>
      <c r="L367" s="12">
        <f t="shared" si="3"/>
        <v>46024</v>
      </c>
    </row>
    <row r="368" ht="15.75" hidden="1" customHeight="1">
      <c r="A368" s="4">
        <v>45977.0</v>
      </c>
      <c r="B368" s="2" t="s">
        <v>566</v>
      </c>
      <c r="C368" s="2" t="s">
        <v>609</v>
      </c>
      <c r="D368" s="2" t="s">
        <v>159</v>
      </c>
      <c r="E368" s="2">
        <v>0.0</v>
      </c>
      <c r="F368" s="2">
        <v>25.0</v>
      </c>
      <c r="G368" s="2">
        <v>0.0</v>
      </c>
      <c r="H368" s="8">
        <f t="shared" si="1"/>
        <v>25</v>
      </c>
      <c r="I368" s="2" t="b">
        <v>0</v>
      </c>
      <c r="J368" s="2" t="s">
        <v>160</v>
      </c>
      <c r="K368" s="12">
        <f t="shared" si="2"/>
        <v>45992</v>
      </c>
      <c r="L368" s="12">
        <f t="shared" si="3"/>
        <v>46007</v>
      </c>
    </row>
    <row r="369" ht="15.75" hidden="1" customHeight="1">
      <c r="A369" s="4">
        <v>45994.0</v>
      </c>
      <c r="B369" s="2" t="s">
        <v>610</v>
      </c>
      <c r="C369" s="2" t="s">
        <v>611</v>
      </c>
      <c r="D369" s="2" t="s">
        <v>159</v>
      </c>
      <c r="E369" s="2">
        <v>0.0</v>
      </c>
      <c r="F369" s="2">
        <v>35.0</v>
      </c>
      <c r="G369" s="2">
        <v>35.0</v>
      </c>
      <c r="H369" s="8">
        <f t="shared" si="1"/>
        <v>0</v>
      </c>
      <c r="I369" s="2" t="b">
        <v>1</v>
      </c>
      <c r="J369" s="2" t="s">
        <v>160</v>
      </c>
      <c r="K369" s="12">
        <f t="shared" si="2"/>
        <v>46009</v>
      </c>
      <c r="L369" s="12">
        <f t="shared" si="3"/>
        <v>46024</v>
      </c>
    </row>
    <row r="370" ht="15.75" hidden="1" customHeight="1">
      <c r="A370" s="4">
        <v>45981.0</v>
      </c>
      <c r="B370" s="2" t="s">
        <v>566</v>
      </c>
      <c r="C370" s="2" t="s">
        <v>612</v>
      </c>
      <c r="D370" s="2" t="s">
        <v>159</v>
      </c>
      <c r="E370" s="2">
        <v>0.0</v>
      </c>
      <c r="F370" s="2">
        <v>85.0</v>
      </c>
      <c r="G370" s="2">
        <v>0.0</v>
      </c>
      <c r="H370" s="8">
        <f t="shared" si="1"/>
        <v>85</v>
      </c>
      <c r="I370" s="2" t="b">
        <v>0</v>
      </c>
      <c r="J370" s="2" t="s">
        <v>160</v>
      </c>
      <c r="K370" s="12">
        <f t="shared" si="2"/>
        <v>45996</v>
      </c>
      <c r="L370" s="12">
        <f t="shared" si="3"/>
        <v>46011</v>
      </c>
    </row>
    <row r="371" ht="15.75" hidden="1" customHeight="1">
      <c r="A371" s="4">
        <v>46003.0</v>
      </c>
      <c r="B371" s="2" t="s">
        <v>389</v>
      </c>
      <c r="C371" s="2" t="s">
        <v>613</v>
      </c>
      <c r="D371" s="2" t="s">
        <v>159</v>
      </c>
      <c r="E371" s="2">
        <v>0.0</v>
      </c>
      <c r="F371" s="2">
        <v>45.0</v>
      </c>
      <c r="G371" s="2">
        <v>45.0</v>
      </c>
      <c r="H371" s="8">
        <f t="shared" si="1"/>
        <v>0</v>
      </c>
      <c r="I371" s="2" t="b">
        <v>1</v>
      </c>
      <c r="J371" s="2" t="s">
        <v>160</v>
      </c>
      <c r="K371" s="12">
        <f t="shared" si="2"/>
        <v>46018</v>
      </c>
      <c r="L371" s="12">
        <f t="shared" si="3"/>
        <v>46033</v>
      </c>
    </row>
    <row r="372" ht="15.75" hidden="1" customHeight="1">
      <c r="A372" s="4">
        <v>45980.0</v>
      </c>
      <c r="B372" s="2" t="s">
        <v>401</v>
      </c>
      <c r="C372" s="2" t="s">
        <v>613</v>
      </c>
      <c r="D372" s="2" t="s">
        <v>159</v>
      </c>
      <c r="E372" s="2">
        <v>0.0</v>
      </c>
      <c r="F372" s="2">
        <v>40.0</v>
      </c>
      <c r="G372" s="2">
        <v>40.0</v>
      </c>
      <c r="H372" s="8">
        <f t="shared" si="1"/>
        <v>0</v>
      </c>
      <c r="I372" s="2" t="b">
        <v>1</v>
      </c>
      <c r="J372" s="2" t="s">
        <v>160</v>
      </c>
      <c r="K372" s="12">
        <f t="shared" si="2"/>
        <v>45995</v>
      </c>
      <c r="L372" s="12">
        <f t="shared" si="3"/>
        <v>46010</v>
      </c>
    </row>
    <row r="373" ht="15.75" hidden="1" customHeight="1">
      <c r="A373" s="4">
        <v>45987.0</v>
      </c>
      <c r="B373" s="2" t="s">
        <v>566</v>
      </c>
      <c r="C373" s="2" t="s">
        <v>614</v>
      </c>
      <c r="D373" s="2" t="s">
        <v>159</v>
      </c>
      <c r="E373" s="2">
        <v>0.0</v>
      </c>
      <c r="F373" s="2">
        <v>24.0</v>
      </c>
      <c r="G373" s="2">
        <v>0.0</v>
      </c>
      <c r="H373" s="8">
        <f t="shared" si="1"/>
        <v>24</v>
      </c>
      <c r="I373" s="8" t="b">
        <v>0</v>
      </c>
      <c r="J373" s="2" t="s">
        <v>160</v>
      </c>
      <c r="K373" s="12">
        <f t="shared" si="2"/>
        <v>46002</v>
      </c>
      <c r="L373" s="12">
        <f t="shared" si="3"/>
        <v>46017</v>
      </c>
    </row>
    <row r="374" ht="15.75" hidden="1" customHeight="1">
      <c r="A374" s="4">
        <v>45987.0</v>
      </c>
      <c r="B374" s="2" t="s">
        <v>566</v>
      </c>
      <c r="C374" s="2" t="s">
        <v>615</v>
      </c>
      <c r="D374" s="2" t="s">
        <v>159</v>
      </c>
      <c r="E374" s="2">
        <v>0.0</v>
      </c>
      <c r="F374" s="2">
        <v>50.0</v>
      </c>
      <c r="G374" s="2">
        <v>0.0</v>
      </c>
      <c r="H374" s="8">
        <f t="shared" si="1"/>
        <v>50</v>
      </c>
      <c r="I374" s="8" t="b">
        <v>0</v>
      </c>
      <c r="J374" s="2" t="s">
        <v>160</v>
      </c>
      <c r="K374" s="12">
        <f t="shared" si="2"/>
        <v>46002</v>
      </c>
      <c r="L374" s="12">
        <f t="shared" si="3"/>
        <v>46017</v>
      </c>
    </row>
    <row r="375" ht="15.75" hidden="1" customHeight="1">
      <c r="A375" s="4">
        <v>45977.0</v>
      </c>
      <c r="B375" s="2" t="s">
        <v>616</v>
      </c>
      <c r="C375" s="2" t="s">
        <v>617</v>
      </c>
      <c r="D375" s="2" t="s">
        <v>159</v>
      </c>
      <c r="E375" s="2">
        <v>0.0</v>
      </c>
      <c r="F375" s="2">
        <v>65.0</v>
      </c>
      <c r="G375" s="2">
        <v>65.0</v>
      </c>
      <c r="H375" s="8">
        <f t="shared" si="1"/>
        <v>0</v>
      </c>
      <c r="I375" s="2" t="b">
        <v>1</v>
      </c>
      <c r="J375" s="2" t="s">
        <v>160</v>
      </c>
      <c r="K375" s="12">
        <f t="shared" si="2"/>
        <v>45992</v>
      </c>
      <c r="L375" s="12">
        <f t="shared" si="3"/>
        <v>46007</v>
      </c>
    </row>
    <row r="376" ht="15.75" hidden="1" customHeight="1">
      <c r="A376" s="4">
        <v>45987.0</v>
      </c>
      <c r="B376" s="2" t="s">
        <v>566</v>
      </c>
      <c r="C376" s="2" t="s">
        <v>618</v>
      </c>
      <c r="D376" s="2" t="s">
        <v>159</v>
      </c>
      <c r="E376" s="2">
        <v>0.0</v>
      </c>
      <c r="F376" s="2">
        <v>55.0</v>
      </c>
      <c r="G376" s="2">
        <v>0.0</v>
      </c>
      <c r="H376" s="8">
        <f t="shared" si="1"/>
        <v>55</v>
      </c>
      <c r="I376" s="8" t="b">
        <v>0</v>
      </c>
      <c r="J376" s="2" t="s">
        <v>160</v>
      </c>
      <c r="K376" s="12">
        <f t="shared" si="2"/>
        <v>46002</v>
      </c>
      <c r="L376" s="12">
        <f t="shared" si="3"/>
        <v>46017</v>
      </c>
    </row>
    <row r="377" ht="15.75" hidden="1" customHeight="1">
      <c r="A377" s="4">
        <v>45987.0</v>
      </c>
      <c r="B377" s="2" t="s">
        <v>566</v>
      </c>
      <c r="C377" s="2" t="s">
        <v>619</v>
      </c>
      <c r="D377" s="2" t="s">
        <v>159</v>
      </c>
      <c r="E377" s="2">
        <v>0.0</v>
      </c>
      <c r="F377" s="2">
        <v>25.0</v>
      </c>
      <c r="G377" s="2">
        <v>0.0</v>
      </c>
      <c r="H377" s="8">
        <f t="shared" si="1"/>
        <v>25</v>
      </c>
      <c r="I377" s="8" t="b">
        <v>0</v>
      </c>
      <c r="J377" s="2" t="s">
        <v>160</v>
      </c>
      <c r="K377" s="12">
        <f t="shared" si="2"/>
        <v>46002</v>
      </c>
      <c r="L377" s="12">
        <f t="shared" si="3"/>
        <v>46017</v>
      </c>
    </row>
    <row r="378" ht="15.75" hidden="1" customHeight="1">
      <c r="A378" s="4">
        <v>46016.0</v>
      </c>
      <c r="B378" s="2" t="s">
        <v>173</v>
      </c>
      <c r="C378" s="2" t="s">
        <v>620</v>
      </c>
      <c r="D378" s="2" t="s">
        <v>159</v>
      </c>
      <c r="E378" s="2">
        <v>0.0</v>
      </c>
      <c r="F378" s="2">
        <v>25.0</v>
      </c>
      <c r="G378" s="2">
        <v>25.0</v>
      </c>
      <c r="H378" s="8">
        <f t="shared" si="1"/>
        <v>0</v>
      </c>
      <c r="I378" s="2" t="b">
        <v>1</v>
      </c>
      <c r="J378" s="2" t="s">
        <v>160</v>
      </c>
      <c r="K378" s="12">
        <f t="shared" si="2"/>
        <v>46031</v>
      </c>
      <c r="L378" s="12">
        <f t="shared" si="3"/>
        <v>46046</v>
      </c>
    </row>
    <row r="379" ht="15.75" hidden="1" customHeight="1">
      <c r="A379" s="4">
        <v>45987.0</v>
      </c>
      <c r="B379" s="2" t="s">
        <v>566</v>
      </c>
      <c r="C379" s="2" t="s">
        <v>592</v>
      </c>
      <c r="D379" s="2" t="s">
        <v>159</v>
      </c>
      <c r="E379" s="2">
        <v>0.0</v>
      </c>
      <c r="F379" s="2">
        <v>45.0</v>
      </c>
      <c r="G379" s="2">
        <v>0.0</v>
      </c>
      <c r="H379" s="8">
        <f t="shared" si="1"/>
        <v>45</v>
      </c>
      <c r="I379" s="8" t="b">
        <v>0</v>
      </c>
      <c r="J379" s="2" t="s">
        <v>160</v>
      </c>
      <c r="K379" s="12">
        <f t="shared" si="2"/>
        <v>46002</v>
      </c>
      <c r="L379" s="12">
        <f t="shared" si="3"/>
        <v>46017</v>
      </c>
    </row>
    <row r="380" ht="15.75" hidden="1" customHeight="1">
      <c r="A380" s="4">
        <v>45988.0</v>
      </c>
      <c r="B380" s="2" t="s">
        <v>342</v>
      </c>
      <c r="C380" s="2" t="s">
        <v>621</v>
      </c>
      <c r="D380" s="2" t="s">
        <v>159</v>
      </c>
      <c r="E380" s="2">
        <v>0.0</v>
      </c>
      <c r="F380" s="2">
        <v>5.0</v>
      </c>
      <c r="G380" s="2">
        <v>5.0</v>
      </c>
      <c r="H380" s="8">
        <f t="shared" si="1"/>
        <v>0</v>
      </c>
      <c r="I380" s="2" t="b">
        <v>1</v>
      </c>
      <c r="J380" s="2" t="s">
        <v>160</v>
      </c>
      <c r="K380" s="12">
        <f t="shared" si="2"/>
        <v>46003</v>
      </c>
      <c r="L380" s="12">
        <f t="shared" si="3"/>
        <v>46018</v>
      </c>
    </row>
    <row r="381" ht="15.75" hidden="1" customHeight="1">
      <c r="A381" s="4">
        <v>45981.0</v>
      </c>
      <c r="B381" s="2" t="s">
        <v>210</v>
      </c>
      <c r="C381" s="2" t="s">
        <v>622</v>
      </c>
      <c r="D381" s="2" t="s">
        <v>159</v>
      </c>
      <c r="E381" s="2">
        <v>0.0</v>
      </c>
      <c r="F381" s="2">
        <v>15.0</v>
      </c>
      <c r="G381" s="2">
        <v>15.0</v>
      </c>
      <c r="H381" s="8">
        <f t="shared" si="1"/>
        <v>0</v>
      </c>
      <c r="I381" s="2" t="b">
        <v>1</v>
      </c>
      <c r="J381" s="2" t="s">
        <v>160</v>
      </c>
      <c r="K381" s="12">
        <f t="shared" si="2"/>
        <v>45996</v>
      </c>
      <c r="L381" s="12">
        <f t="shared" si="3"/>
        <v>46011</v>
      </c>
    </row>
    <row r="382" ht="15.75" hidden="1" customHeight="1">
      <c r="A382" s="4">
        <v>45987.0</v>
      </c>
      <c r="B382" s="2" t="s">
        <v>566</v>
      </c>
      <c r="C382" s="2" t="s">
        <v>623</v>
      </c>
      <c r="D382" s="2" t="s">
        <v>159</v>
      </c>
      <c r="E382" s="2">
        <v>0.0</v>
      </c>
      <c r="F382" s="2">
        <v>100.0</v>
      </c>
      <c r="G382" s="2">
        <v>0.0</v>
      </c>
      <c r="H382" s="8">
        <f t="shared" si="1"/>
        <v>100</v>
      </c>
      <c r="I382" s="8" t="b">
        <v>0</v>
      </c>
      <c r="J382" s="2" t="s">
        <v>160</v>
      </c>
      <c r="K382" s="12">
        <f t="shared" si="2"/>
        <v>46002</v>
      </c>
      <c r="L382" s="12">
        <f t="shared" si="3"/>
        <v>46017</v>
      </c>
    </row>
    <row r="383" ht="15.75" hidden="1" customHeight="1">
      <c r="A383" s="4">
        <v>45927.0</v>
      </c>
      <c r="B383" s="2" t="s">
        <v>176</v>
      </c>
      <c r="C383" s="2" t="s">
        <v>624</v>
      </c>
      <c r="D383" s="2" t="s">
        <v>159</v>
      </c>
      <c r="E383" s="2">
        <v>0.0</v>
      </c>
      <c r="F383" s="2">
        <v>55.0</v>
      </c>
      <c r="G383" s="2">
        <v>55.0</v>
      </c>
      <c r="H383" s="8">
        <f t="shared" si="1"/>
        <v>0</v>
      </c>
      <c r="I383" s="2" t="b">
        <v>1</v>
      </c>
      <c r="J383" s="2" t="s">
        <v>160</v>
      </c>
      <c r="K383" s="12">
        <f t="shared" si="2"/>
        <v>45942</v>
      </c>
      <c r="L383" s="12">
        <f t="shared" si="3"/>
        <v>45957</v>
      </c>
    </row>
    <row r="384" ht="15.75" hidden="1" customHeight="1">
      <c r="A384" s="4">
        <v>45929.0</v>
      </c>
      <c r="B384" s="2" t="s">
        <v>176</v>
      </c>
      <c r="C384" s="2" t="s">
        <v>624</v>
      </c>
      <c r="D384" s="2" t="s">
        <v>159</v>
      </c>
      <c r="E384" s="2">
        <v>0.0</v>
      </c>
      <c r="F384" s="2">
        <v>44.0</v>
      </c>
      <c r="G384" s="2">
        <v>44.0</v>
      </c>
      <c r="H384" s="8">
        <f t="shared" si="1"/>
        <v>0</v>
      </c>
      <c r="I384" s="2" t="b">
        <v>1</v>
      </c>
      <c r="J384" s="2" t="s">
        <v>160</v>
      </c>
      <c r="K384" s="12">
        <f t="shared" si="2"/>
        <v>45944</v>
      </c>
      <c r="L384" s="12">
        <f t="shared" si="3"/>
        <v>45959</v>
      </c>
    </row>
    <row r="385" ht="15.75" hidden="1" customHeight="1">
      <c r="A385" s="4">
        <v>46014.0</v>
      </c>
      <c r="B385" s="2" t="s">
        <v>416</v>
      </c>
      <c r="C385" s="2" t="s">
        <v>625</v>
      </c>
      <c r="D385" s="2" t="s">
        <v>159</v>
      </c>
      <c r="E385" s="2">
        <v>0.0</v>
      </c>
      <c r="F385" s="2">
        <v>37.5</v>
      </c>
      <c r="G385" s="2">
        <v>37.5</v>
      </c>
      <c r="H385" s="8">
        <f t="shared" si="1"/>
        <v>0</v>
      </c>
      <c r="I385" s="2" t="b">
        <v>1</v>
      </c>
      <c r="J385" s="2" t="s">
        <v>160</v>
      </c>
      <c r="K385" s="12">
        <f t="shared" si="2"/>
        <v>46029</v>
      </c>
      <c r="L385" s="12">
        <f t="shared" si="3"/>
        <v>46044</v>
      </c>
    </row>
    <row r="386" ht="15.75" hidden="1" customHeight="1">
      <c r="A386" s="4">
        <v>45915.0</v>
      </c>
      <c r="B386" s="2" t="s">
        <v>123</v>
      </c>
      <c r="C386" s="2" t="s">
        <v>626</v>
      </c>
      <c r="D386" s="2" t="s">
        <v>159</v>
      </c>
      <c r="E386" s="2"/>
      <c r="F386" s="2">
        <v>36.0</v>
      </c>
      <c r="G386" s="2">
        <v>36.0</v>
      </c>
      <c r="H386" s="8">
        <f t="shared" si="1"/>
        <v>0</v>
      </c>
      <c r="I386" s="2" t="b">
        <v>1</v>
      </c>
      <c r="J386" s="2" t="s">
        <v>160</v>
      </c>
      <c r="K386" s="12">
        <f t="shared" si="2"/>
        <v>45930</v>
      </c>
      <c r="L386" s="12">
        <f t="shared" si="3"/>
        <v>45945</v>
      </c>
    </row>
    <row r="387" ht="15.75" hidden="1" customHeight="1">
      <c r="A387" s="4">
        <v>45954.0</v>
      </c>
      <c r="B387" s="2" t="s">
        <v>176</v>
      </c>
      <c r="C387" s="2" t="s">
        <v>627</v>
      </c>
      <c r="D387" s="2" t="s">
        <v>113</v>
      </c>
      <c r="E387" s="2">
        <v>0.0</v>
      </c>
      <c r="F387" s="2">
        <v>45.0</v>
      </c>
      <c r="G387" s="2">
        <v>45.0</v>
      </c>
      <c r="H387" s="8">
        <f t="shared" si="1"/>
        <v>0</v>
      </c>
      <c r="I387" s="2" t="b">
        <v>1</v>
      </c>
      <c r="J387" s="2" t="s">
        <v>160</v>
      </c>
      <c r="K387" s="12">
        <f t="shared" si="2"/>
        <v>45969</v>
      </c>
      <c r="L387" s="12">
        <f t="shared" si="3"/>
        <v>45984</v>
      </c>
    </row>
    <row r="388" ht="15.75" hidden="1" customHeight="1">
      <c r="A388" s="4">
        <v>45917.0</v>
      </c>
      <c r="B388" s="2" t="s">
        <v>176</v>
      </c>
      <c r="C388" s="2" t="s">
        <v>628</v>
      </c>
      <c r="D388" s="2" t="s">
        <v>159</v>
      </c>
      <c r="E388" s="2">
        <v>0.0</v>
      </c>
      <c r="F388" s="2">
        <v>12.0</v>
      </c>
      <c r="G388" s="2">
        <v>12.0</v>
      </c>
      <c r="H388" s="8">
        <f t="shared" si="1"/>
        <v>0</v>
      </c>
      <c r="I388" s="2" t="b">
        <v>1</v>
      </c>
      <c r="J388" s="2" t="s">
        <v>160</v>
      </c>
      <c r="K388" s="12">
        <f t="shared" si="2"/>
        <v>45932</v>
      </c>
      <c r="L388" s="12">
        <f t="shared" si="3"/>
        <v>45947</v>
      </c>
    </row>
    <row r="389" ht="15.75" hidden="1" customHeight="1">
      <c r="A389" s="4">
        <v>46021.0</v>
      </c>
      <c r="B389" s="2" t="s">
        <v>167</v>
      </c>
      <c r="C389" s="2" t="s">
        <v>629</v>
      </c>
      <c r="D389" s="2" t="s">
        <v>159</v>
      </c>
      <c r="E389" s="2">
        <v>0.0</v>
      </c>
      <c r="F389" s="2">
        <v>10.0</v>
      </c>
      <c r="G389" s="2">
        <v>10.0</v>
      </c>
      <c r="H389" s="8">
        <f t="shared" si="1"/>
        <v>0</v>
      </c>
      <c r="I389" s="2" t="b">
        <v>1</v>
      </c>
      <c r="J389" s="2" t="s">
        <v>160</v>
      </c>
      <c r="K389" s="12">
        <f t="shared" si="2"/>
        <v>46036</v>
      </c>
      <c r="L389" s="12">
        <f t="shared" si="3"/>
        <v>46051</v>
      </c>
    </row>
    <row r="390" ht="15.75" hidden="1" customHeight="1">
      <c r="A390" s="4">
        <v>45971.0</v>
      </c>
      <c r="B390" s="2" t="s">
        <v>208</v>
      </c>
      <c r="C390" s="2" t="s">
        <v>630</v>
      </c>
      <c r="D390" s="2" t="s">
        <v>159</v>
      </c>
      <c r="E390" s="2">
        <v>0.0</v>
      </c>
      <c r="F390" s="2">
        <v>45.0</v>
      </c>
      <c r="G390" s="2">
        <v>45.0</v>
      </c>
      <c r="H390" s="8">
        <f t="shared" si="1"/>
        <v>0</v>
      </c>
      <c r="I390" s="2" t="b">
        <v>1</v>
      </c>
      <c r="J390" s="2" t="s">
        <v>160</v>
      </c>
      <c r="K390" s="12">
        <f t="shared" si="2"/>
        <v>45986</v>
      </c>
      <c r="L390" s="12">
        <f t="shared" si="3"/>
        <v>46001</v>
      </c>
    </row>
    <row r="391" ht="15.75" hidden="1" customHeight="1">
      <c r="A391" s="4">
        <v>45990.0</v>
      </c>
      <c r="B391" s="2" t="s">
        <v>566</v>
      </c>
      <c r="C391" s="2" t="s">
        <v>631</v>
      </c>
      <c r="D391" s="2" t="s">
        <v>159</v>
      </c>
      <c r="E391" s="2">
        <v>0.0</v>
      </c>
      <c r="F391" s="2">
        <v>40.0</v>
      </c>
      <c r="G391" s="2">
        <v>0.0</v>
      </c>
      <c r="H391" s="8">
        <f t="shared" si="1"/>
        <v>40</v>
      </c>
      <c r="I391" s="8" t="b">
        <v>0</v>
      </c>
      <c r="J391" s="2" t="s">
        <v>160</v>
      </c>
      <c r="K391" s="12">
        <f t="shared" si="2"/>
        <v>46005</v>
      </c>
      <c r="L391" s="12">
        <f t="shared" si="3"/>
        <v>46020</v>
      </c>
    </row>
    <row r="392" ht="15.75" hidden="1" customHeight="1">
      <c r="A392" s="4">
        <v>45994.0</v>
      </c>
      <c r="B392" s="2" t="s">
        <v>566</v>
      </c>
      <c r="C392" s="2" t="s">
        <v>632</v>
      </c>
      <c r="D392" s="2" t="s">
        <v>159</v>
      </c>
      <c r="E392" s="2">
        <v>0.0</v>
      </c>
      <c r="F392" s="2">
        <v>15.0</v>
      </c>
      <c r="G392" s="2">
        <v>0.0</v>
      </c>
      <c r="H392" s="8">
        <f t="shared" si="1"/>
        <v>15</v>
      </c>
      <c r="I392" s="8" t="b">
        <v>0</v>
      </c>
      <c r="J392" s="2" t="s">
        <v>160</v>
      </c>
      <c r="K392" s="12">
        <f t="shared" si="2"/>
        <v>46009</v>
      </c>
      <c r="L392" s="12">
        <f t="shared" si="3"/>
        <v>46024</v>
      </c>
    </row>
    <row r="393" ht="15.75" hidden="1" customHeight="1">
      <c r="A393" s="4">
        <v>45936.0</v>
      </c>
      <c r="B393" s="2" t="s">
        <v>176</v>
      </c>
      <c r="C393" s="2" t="s">
        <v>633</v>
      </c>
      <c r="D393" s="2" t="s">
        <v>91</v>
      </c>
      <c r="E393" s="2">
        <v>0.0</v>
      </c>
      <c r="F393" s="2">
        <v>45.0</v>
      </c>
      <c r="G393" s="2">
        <v>45.0</v>
      </c>
      <c r="H393" s="8">
        <f t="shared" si="1"/>
        <v>0</v>
      </c>
      <c r="I393" s="2" t="b">
        <v>1</v>
      </c>
      <c r="J393" s="2" t="s">
        <v>160</v>
      </c>
      <c r="K393" s="12">
        <f t="shared" si="2"/>
        <v>45951</v>
      </c>
      <c r="L393" s="12">
        <f t="shared" si="3"/>
        <v>45966</v>
      </c>
    </row>
    <row r="394" ht="15.75" hidden="1" customHeight="1">
      <c r="A394" s="4">
        <v>45940.0</v>
      </c>
      <c r="B394" s="2" t="s">
        <v>176</v>
      </c>
      <c r="C394" s="2" t="s">
        <v>634</v>
      </c>
      <c r="D394" s="2" t="s">
        <v>159</v>
      </c>
      <c r="E394" s="2">
        <v>0.0</v>
      </c>
      <c r="F394" s="2">
        <v>125.0</v>
      </c>
      <c r="G394" s="2">
        <v>125.0</v>
      </c>
      <c r="H394" s="8">
        <f t="shared" si="1"/>
        <v>0</v>
      </c>
      <c r="I394" s="2" t="b">
        <v>1</v>
      </c>
      <c r="J394" s="2" t="s">
        <v>160</v>
      </c>
      <c r="K394" s="12">
        <f t="shared" si="2"/>
        <v>45955</v>
      </c>
      <c r="L394" s="12">
        <f t="shared" si="3"/>
        <v>45970</v>
      </c>
    </row>
    <row r="395" ht="15.75" hidden="1" customHeight="1">
      <c r="A395" s="4">
        <v>45924.0</v>
      </c>
      <c r="B395" s="2" t="s">
        <v>210</v>
      </c>
      <c r="C395" s="2" t="s">
        <v>635</v>
      </c>
      <c r="D395" s="2" t="s">
        <v>159</v>
      </c>
      <c r="E395" s="2"/>
      <c r="F395" s="2">
        <v>10.0</v>
      </c>
      <c r="G395" s="2">
        <v>10.0</v>
      </c>
      <c r="H395" s="8">
        <f t="shared" si="1"/>
        <v>0</v>
      </c>
      <c r="I395" s="2" t="b">
        <v>1</v>
      </c>
      <c r="J395" s="2" t="s">
        <v>160</v>
      </c>
      <c r="K395" s="12">
        <f t="shared" si="2"/>
        <v>45939</v>
      </c>
      <c r="L395" s="12">
        <f t="shared" si="3"/>
        <v>45954</v>
      </c>
    </row>
    <row r="396" ht="15.75" hidden="1" customHeight="1">
      <c r="A396" s="4">
        <v>45971.0</v>
      </c>
      <c r="B396" s="2" t="s">
        <v>636</v>
      </c>
      <c r="C396" s="2" t="s">
        <v>637</v>
      </c>
      <c r="D396" s="2" t="s">
        <v>159</v>
      </c>
      <c r="E396" s="2">
        <v>0.0</v>
      </c>
      <c r="F396" s="2">
        <v>95.0</v>
      </c>
      <c r="G396" s="2">
        <v>95.0</v>
      </c>
      <c r="H396" s="8">
        <f t="shared" si="1"/>
        <v>0</v>
      </c>
      <c r="I396" s="2" t="b">
        <v>1</v>
      </c>
      <c r="J396" s="2" t="s">
        <v>160</v>
      </c>
      <c r="K396" s="12">
        <f t="shared" si="2"/>
        <v>45986</v>
      </c>
      <c r="L396" s="12">
        <f t="shared" si="3"/>
        <v>46001</v>
      </c>
    </row>
    <row r="397" ht="15.75" hidden="1" customHeight="1">
      <c r="A397" s="4">
        <v>45965.0</v>
      </c>
      <c r="B397" s="2" t="s">
        <v>196</v>
      </c>
      <c r="C397" s="2" t="s">
        <v>638</v>
      </c>
      <c r="D397" s="2" t="s">
        <v>159</v>
      </c>
      <c r="E397" s="2">
        <v>0.0</v>
      </c>
      <c r="F397" s="2">
        <v>100.0</v>
      </c>
      <c r="G397" s="2">
        <v>100.0</v>
      </c>
      <c r="H397" s="2">
        <v>0.0</v>
      </c>
      <c r="I397" s="2" t="b">
        <v>1</v>
      </c>
      <c r="J397" s="2" t="s">
        <v>160</v>
      </c>
      <c r="K397" s="12">
        <f t="shared" si="2"/>
        <v>45980</v>
      </c>
      <c r="L397" s="12">
        <f t="shared" si="3"/>
        <v>45995</v>
      </c>
    </row>
    <row r="398" ht="15.75" hidden="1" customHeight="1">
      <c r="A398" s="4">
        <v>45938.0</v>
      </c>
      <c r="B398" s="2" t="s">
        <v>485</v>
      </c>
      <c r="C398" s="2" t="s">
        <v>639</v>
      </c>
      <c r="D398" s="2" t="s">
        <v>159</v>
      </c>
      <c r="E398" s="2">
        <v>0.0</v>
      </c>
      <c r="F398" s="2">
        <v>10.0</v>
      </c>
      <c r="G398" s="2">
        <v>10.0</v>
      </c>
      <c r="H398" s="8">
        <f t="shared" ref="H398:H495" si="5">F398-G398</f>
        <v>0</v>
      </c>
      <c r="I398" s="2" t="b">
        <v>1</v>
      </c>
      <c r="J398" s="2" t="s">
        <v>160</v>
      </c>
      <c r="K398" s="12">
        <f t="shared" si="2"/>
        <v>45953</v>
      </c>
      <c r="L398" s="12">
        <f t="shared" si="3"/>
        <v>45968</v>
      </c>
    </row>
    <row r="399" ht="15.75" hidden="1" customHeight="1">
      <c r="A399" s="4">
        <v>45994.0</v>
      </c>
      <c r="B399" s="2" t="s">
        <v>566</v>
      </c>
      <c r="C399" s="2" t="s">
        <v>640</v>
      </c>
      <c r="D399" s="2" t="s">
        <v>159</v>
      </c>
      <c r="E399" s="2">
        <v>0.0</v>
      </c>
      <c r="F399" s="2">
        <v>20.0</v>
      </c>
      <c r="G399" s="2">
        <v>0.0</v>
      </c>
      <c r="H399" s="8">
        <f t="shared" si="5"/>
        <v>20</v>
      </c>
      <c r="I399" s="8" t="b">
        <v>0</v>
      </c>
      <c r="J399" s="2" t="s">
        <v>160</v>
      </c>
      <c r="K399" s="12">
        <f t="shared" si="2"/>
        <v>46009</v>
      </c>
      <c r="L399" s="12">
        <f t="shared" si="3"/>
        <v>46024</v>
      </c>
    </row>
    <row r="400" ht="15.75" hidden="1" customHeight="1">
      <c r="A400" s="4">
        <v>45994.0</v>
      </c>
      <c r="B400" s="2" t="s">
        <v>566</v>
      </c>
      <c r="C400" s="2" t="s">
        <v>641</v>
      </c>
      <c r="D400" s="2" t="s">
        <v>159</v>
      </c>
      <c r="E400" s="2">
        <v>0.0</v>
      </c>
      <c r="F400" s="2">
        <v>30.0</v>
      </c>
      <c r="G400" s="2">
        <v>0.0</v>
      </c>
      <c r="H400" s="8">
        <f t="shared" si="5"/>
        <v>30</v>
      </c>
      <c r="I400" s="8" t="b">
        <v>0</v>
      </c>
      <c r="J400" s="2" t="s">
        <v>160</v>
      </c>
      <c r="K400" s="12">
        <f t="shared" si="2"/>
        <v>46009</v>
      </c>
      <c r="L400" s="12">
        <f t="shared" si="3"/>
        <v>46024</v>
      </c>
    </row>
    <row r="401" ht="15.75" hidden="1" customHeight="1">
      <c r="A401" s="4">
        <v>45994.0</v>
      </c>
      <c r="B401" s="2" t="s">
        <v>566</v>
      </c>
      <c r="C401" s="2" t="s">
        <v>642</v>
      </c>
      <c r="D401" s="2" t="s">
        <v>159</v>
      </c>
      <c r="E401" s="2">
        <v>0.0</v>
      </c>
      <c r="F401" s="2">
        <v>150.0</v>
      </c>
      <c r="G401" s="2">
        <v>0.0</v>
      </c>
      <c r="H401" s="8">
        <f t="shared" si="5"/>
        <v>150</v>
      </c>
      <c r="I401" s="2" t="b">
        <v>0</v>
      </c>
      <c r="J401" s="2" t="s">
        <v>160</v>
      </c>
      <c r="K401" s="12">
        <f t="shared" si="2"/>
        <v>46009</v>
      </c>
      <c r="L401" s="12">
        <f t="shared" si="3"/>
        <v>46024</v>
      </c>
    </row>
    <row r="402" ht="15.75" hidden="1" customHeight="1">
      <c r="A402" s="4">
        <v>45915.0</v>
      </c>
      <c r="B402" s="2" t="s">
        <v>232</v>
      </c>
      <c r="C402" s="2" t="s">
        <v>643</v>
      </c>
      <c r="D402" s="2" t="s">
        <v>159</v>
      </c>
      <c r="E402" s="2">
        <v>0.0</v>
      </c>
      <c r="F402" s="2">
        <v>40.0</v>
      </c>
      <c r="G402" s="2">
        <v>40.0</v>
      </c>
      <c r="H402" s="8">
        <f t="shared" si="5"/>
        <v>0</v>
      </c>
      <c r="I402" s="2" t="b">
        <v>1</v>
      </c>
      <c r="J402" s="2" t="s">
        <v>160</v>
      </c>
      <c r="K402" s="12">
        <f t="shared" si="2"/>
        <v>45930</v>
      </c>
      <c r="L402" s="12">
        <f t="shared" si="3"/>
        <v>45945</v>
      </c>
    </row>
    <row r="403" ht="15.75" hidden="1" customHeight="1">
      <c r="A403" s="4">
        <v>45980.0</v>
      </c>
      <c r="B403" s="2" t="s">
        <v>157</v>
      </c>
      <c r="C403" s="2" t="s">
        <v>644</v>
      </c>
      <c r="D403" s="2" t="s">
        <v>159</v>
      </c>
      <c r="E403" s="2">
        <v>0.0</v>
      </c>
      <c r="F403" s="2">
        <v>80.0</v>
      </c>
      <c r="G403" s="2">
        <v>80.0</v>
      </c>
      <c r="H403" s="8">
        <f t="shared" si="5"/>
        <v>0</v>
      </c>
      <c r="I403" s="2" t="b">
        <v>1</v>
      </c>
      <c r="J403" s="2" t="s">
        <v>160</v>
      </c>
      <c r="K403" s="12">
        <f t="shared" si="2"/>
        <v>45995</v>
      </c>
      <c r="L403" s="12">
        <f t="shared" si="3"/>
        <v>46010</v>
      </c>
    </row>
    <row r="404" ht="15.75" hidden="1" customHeight="1">
      <c r="A404" s="4">
        <v>45969.0</v>
      </c>
      <c r="B404" s="2" t="s">
        <v>243</v>
      </c>
      <c r="C404" s="2" t="s">
        <v>645</v>
      </c>
      <c r="D404" s="2" t="s">
        <v>159</v>
      </c>
      <c r="E404" s="2">
        <v>0.0</v>
      </c>
      <c r="F404" s="2">
        <v>80.0</v>
      </c>
      <c r="G404" s="2">
        <v>80.0</v>
      </c>
      <c r="H404" s="8">
        <f t="shared" si="5"/>
        <v>0</v>
      </c>
      <c r="I404" s="2" t="b">
        <v>1</v>
      </c>
      <c r="J404" s="2" t="s">
        <v>160</v>
      </c>
      <c r="K404" s="12">
        <f t="shared" si="2"/>
        <v>45984</v>
      </c>
      <c r="L404" s="12">
        <f t="shared" si="3"/>
        <v>45999</v>
      </c>
    </row>
    <row r="405" ht="15.75" hidden="1" customHeight="1">
      <c r="A405" s="254">
        <v>45913.0</v>
      </c>
      <c r="B405" s="8" t="s">
        <v>192</v>
      </c>
      <c r="C405" s="8" t="s">
        <v>646</v>
      </c>
      <c r="D405" s="8" t="s">
        <v>159</v>
      </c>
      <c r="F405" s="8">
        <v>40.0</v>
      </c>
      <c r="G405" s="2">
        <v>40.0</v>
      </c>
      <c r="H405" s="8">
        <f t="shared" si="5"/>
        <v>0</v>
      </c>
      <c r="I405" s="2" t="b">
        <v>1</v>
      </c>
      <c r="J405" s="2" t="s">
        <v>647</v>
      </c>
      <c r="K405" s="12">
        <f t="shared" si="2"/>
        <v>45928</v>
      </c>
      <c r="L405" s="12">
        <f t="shared" si="3"/>
        <v>45943</v>
      </c>
    </row>
    <row r="406" ht="15.75" hidden="1" customHeight="1">
      <c r="A406" s="4">
        <v>45988.0</v>
      </c>
      <c r="B406" s="2" t="s">
        <v>269</v>
      </c>
      <c r="C406" s="2" t="s">
        <v>648</v>
      </c>
      <c r="D406" s="2" t="s">
        <v>159</v>
      </c>
      <c r="E406" s="2">
        <v>0.0</v>
      </c>
      <c r="F406" s="2">
        <v>25.0</v>
      </c>
      <c r="G406" s="2">
        <v>25.0</v>
      </c>
      <c r="H406" s="8">
        <f t="shared" si="5"/>
        <v>0</v>
      </c>
      <c r="I406" s="2" t="b">
        <v>1</v>
      </c>
      <c r="J406" s="2" t="s">
        <v>160</v>
      </c>
      <c r="K406" s="12">
        <f t="shared" si="2"/>
        <v>46003</v>
      </c>
      <c r="L406" s="12">
        <f t="shared" si="3"/>
        <v>46018</v>
      </c>
    </row>
    <row r="407" ht="15.75" hidden="1" customHeight="1">
      <c r="A407" s="4">
        <v>45972.0</v>
      </c>
      <c r="B407" s="2" t="s">
        <v>208</v>
      </c>
      <c r="C407" s="2" t="s">
        <v>649</v>
      </c>
      <c r="D407" s="2" t="s">
        <v>159</v>
      </c>
      <c r="E407" s="2">
        <v>0.0</v>
      </c>
      <c r="F407" s="2">
        <v>35.0</v>
      </c>
      <c r="G407" s="2">
        <v>35.0</v>
      </c>
      <c r="H407" s="8">
        <f t="shared" si="5"/>
        <v>0</v>
      </c>
      <c r="I407" s="2" t="b">
        <v>1</v>
      </c>
      <c r="J407" s="2" t="s">
        <v>160</v>
      </c>
      <c r="K407" s="12">
        <f t="shared" si="2"/>
        <v>45987</v>
      </c>
      <c r="L407" s="12">
        <f t="shared" si="3"/>
        <v>46002</v>
      </c>
    </row>
    <row r="408" ht="15.75" hidden="1" customHeight="1">
      <c r="A408" s="4">
        <v>45977.0</v>
      </c>
      <c r="B408" s="2" t="s">
        <v>314</v>
      </c>
      <c r="C408" s="2" t="s">
        <v>650</v>
      </c>
      <c r="D408" s="2" t="s">
        <v>159</v>
      </c>
      <c r="E408" s="2">
        <v>0.0</v>
      </c>
      <c r="F408" s="2">
        <v>1.0</v>
      </c>
      <c r="G408" s="2">
        <v>1.0</v>
      </c>
      <c r="H408" s="8">
        <f t="shared" si="5"/>
        <v>0</v>
      </c>
      <c r="I408" s="2" t="b">
        <v>1</v>
      </c>
      <c r="J408" s="2" t="s">
        <v>160</v>
      </c>
      <c r="K408" s="12">
        <f t="shared" si="2"/>
        <v>45992</v>
      </c>
      <c r="L408" s="12">
        <f t="shared" si="3"/>
        <v>46007</v>
      </c>
    </row>
    <row r="409" ht="15.75" hidden="1" customHeight="1">
      <c r="A409" s="4">
        <v>45994.0</v>
      </c>
      <c r="B409" s="2" t="s">
        <v>566</v>
      </c>
      <c r="C409" s="2" t="s">
        <v>651</v>
      </c>
      <c r="D409" s="2" t="s">
        <v>159</v>
      </c>
      <c r="E409" s="2">
        <v>0.0</v>
      </c>
      <c r="F409" s="2">
        <v>30.0</v>
      </c>
      <c r="G409" s="2">
        <v>0.0</v>
      </c>
      <c r="H409" s="8">
        <f t="shared" si="5"/>
        <v>30</v>
      </c>
      <c r="I409" s="8" t="b">
        <v>0</v>
      </c>
      <c r="J409" s="2" t="s">
        <v>160</v>
      </c>
      <c r="K409" s="12">
        <f t="shared" si="2"/>
        <v>46009</v>
      </c>
      <c r="L409" s="12">
        <f t="shared" si="3"/>
        <v>46024</v>
      </c>
    </row>
    <row r="410" ht="15.75" hidden="1" customHeight="1">
      <c r="A410" s="4">
        <v>45996.0</v>
      </c>
      <c r="B410" s="2" t="s">
        <v>566</v>
      </c>
      <c r="C410" s="2" t="s">
        <v>457</v>
      </c>
      <c r="D410" s="2" t="s">
        <v>159</v>
      </c>
      <c r="E410" s="2">
        <v>0.0</v>
      </c>
      <c r="F410" s="2">
        <v>50.0</v>
      </c>
      <c r="G410" s="2">
        <v>0.0</v>
      </c>
      <c r="H410" s="8">
        <f t="shared" si="5"/>
        <v>50</v>
      </c>
      <c r="I410" s="8" t="b">
        <v>0</v>
      </c>
      <c r="J410" s="2" t="s">
        <v>160</v>
      </c>
      <c r="K410" s="12">
        <f t="shared" si="2"/>
        <v>46011</v>
      </c>
      <c r="L410" s="12">
        <f t="shared" si="3"/>
        <v>46026</v>
      </c>
    </row>
    <row r="411" ht="15.75" hidden="1" customHeight="1">
      <c r="A411" s="4">
        <v>45998.0</v>
      </c>
      <c r="B411" s="2" t="s">
        <v>566</v>
      </c>
      <c r="C411" s="2" t="s">
        <v>652</v>
      </c>
      <c r="D411" s="2" t="s">
        <v>159</v>
      </c>
      <c r="E411" s="2">
        <v>0.0</v>
      </c>
      <c r="F411" s="2">
        <v>104.99</v>
      </c>
      <c r="G411" s="2">
        <v>0.0</v>
      </c>
      <c r="H411" s="8">
        <f t="shared" si="5"/>
        <v>104.99</v>
      </c>
      <c r="I411" s="8" t="b">
        <v>0</v>
      </c>
      <c r="J411" s="2" t="s">
        <v>160</v>
      </c>
      <c r="K411" s="12">
        <f t="shared" si="2"/>
        <v>46013</v>
      </c>
      <c r="L411" s="12">
        <f t="shared" si="3"/>
        <v>46028</v>
      </c>
    </row>
    <row r="412" ht="15.75" hidden="1" customHeight="1">
      <c r="A412" s="4">
        <v>45998.0</v>
      </c>
      <c r="B412" s="2" t="s">
        <v>566</v>
      </c>
      <c r="C412" s="2" t="s">
        <v>653</v>
      </c>
      <c r="D412" s="2" t="s">
        <v>159</v>
      </c>
      <c r="E412" s="2">
        <v>0.0</v>
      </c>
      <c r="F412" s="2">
        <v>50.0</v>
      </c>
      <c r="G412" s="2">
        <v>0.0</v>
      </c>
      <c r="H412" s="8">
        <f t="shared" si="5"/>
        <v>50</v>
      </c>
      <c r="I412" s="8" t="b">
        <v>0</v>
      </c>
      <c r="J412" s="2" t="s">
        <v>160</v>
      </c>
      <c r="K412" s="12">
        <f t="shared" si="2"/>
        <v>46013</v>
      </c>
      <c r="L412" s="12">
        <f t="shared" si="3"/>
        <v>46028</v>
      </c>
    </row>
    <row r="413" ht="15.75" hidden="1" customHeight="1">
      <c r="A413" s="4">
        <v>45998.0</v>
      </c>
      <c r="B413" s="2" t="s">
        <v>566</v>
      </c>
      <c r="C413" s="2" t="s">
        <v>654</v>
      </c>
      <c r="D413" s="2" t="s">
        <v>159</v>
      </c>
      <c r="E413" s="2">
        <v>0.0</v>
      </c>
      <c r="F413" s="2">
        <v>20.0</v>
      </c>
      <c r="G413" s="2">
        <v>0.0</v>
      </c>
      <c r="H413" s="8">
        <f t="shared" si="5"/>
        <v>20</v>
      </c>
      <c r="I413" s="8" t="b">
        <v>0</v>
      </c>
      <c r="J413" s="2" t="s">
        <v>160</v>
      </c>
      <c r="K413" s="12">
        <f t="shared" si="2"/>
        <v>46013</v>
      </c>
      <c r="L413" s="12">
        <f t="shared" si="3"/>
        <v>46028</v>
      </c>
    </row>
    <row r="414" ht="15.75" hidden="1" customHeight="1">
      <c r="A414" s="4">
        <v>45997.0</v>
      </c>
      <c r="B414" s="2" t="s">
        <v>199</v>
      </c>
      <c r="C414" s="2" t="s">
        <v>655</v>
      </c>
      <c r="D414" s="2" t="s">
        <v>159</v>
      </c>
      <c r="E414" s="2">
        <v>0.0</v>
      </c>
      <c r="F414" s="2">
        <v>31.0</v>
      </c>
      <c r="G414" s="2">
        <v>31.0</v>
      </c>
      <c r="H414" s="8">
        <f t="shared" si="5"/>
        <v>0</v>
      </c>
      <c r="I414" s="2" t="b">
        <v>1</v>
      </c>
      <c r="J414" s="2" t="s">
        <v>160</v>
      </c>
      <c r="K414" s="12">
        <f t="shared" si="2"/>
        <v>46012</v>
      </c>
      <c r="L414" s="12">
        <f t="shared" si="3"/>
        <v>46027</v>
      </c>
    </row>
    <row r="415" ht="15.75" hidden="1" customHeight="1">
      <c r="A415" s="4">
        <v>45985.0</v>
      </c>
      <c r="B415" s="2" t="s">
        <v>228</v>
      </c>
      <c r="C415" s="2" t="s">
        <v>656</v>
      </c>
      <c r="D415" s="2" t="s">
        <v>159</v>
      </c>
      <c r="E415" s="2">
        <v>0.0</v>
      </c>
      <c r="F415" s="2">
        <v>45.0</v>
      </c>
      <c r="G415" s="2">
        <v>45.0</v>
      </c>
      <c r="H415" s="8">
        <f t="shared" si="5"/>
        <v>0</v>
      </c>
      <c r="I415" s="2" t="b">
        <v>1</v>
      </c>
      <c r="J415" s="2" t="s">
        <v>160</v>
      </c>
      <c r="K415" s="12">
        <f t="shared" si="2"/>
        <v>46000</v>
      </c>
      <c r="L415" s="12">
        <f t="shared" si="3"/>
        <v>46015</v>
      </c>
    </row>
    <row r="416" ht="15.75" hidden="1" customHeight="1">
      <c r="A416" s="4">
        <v>45975.0</v>
      </c>
      <c r="B416" s="2" t="s">
        <v>180</v>
      </c>
      <c r="C416" s="2" t="s">
        <v>656</v>
      </c>
      <c r="D416" s="2" t="s">
        <v>159</v>
      </c>
      <c r="E416" s="2">
        <v>0.0</v>
      </c>
      <c r="F416" s="2">
        <v>35.0</v>
      </c>
      <c r="G416" s="2">
        <v>35.0</v>
      </c>
      <c r="H416" s="8">
        <f t="shared" si="5"/>
        <v>0</v>
      </c>
      <c r="I416" s="2" t="b">
        <v>1</v>
      </c>
      <c r="J416" s="2" t="s">
        <v>160</v>
      </c>
      <c r="K416" s="12">
        <f t="shared" si="2"/>
        <v>45990</v>
      </c>
      <c r="L416" s="12">
        <f t="shared" si="3"/>
        <v>46005</v>
      </c>
    </row>
    <row r="417" ht="15.75" hidden="1" customHeight="1">
      <c r="A417" s="4">
        <v>45957.0</v>
      </c>
      <c r="B417" s="2" t="s">
        <v>342</v>
      </c>
      <c r="C417" s="2" t="s">
        <v>656</v>
      </c>
      <c r="D417" s="2" t="s">
        <v>159</v>
      </c>
      <c r="E417" s="2">
        <v>0.0</v>
      </c>
      <c r="F417" s="2">
        <v>40.0</v>
      </c>
      <c r="G417" s="2">
        <v>40.0</v>
      </c>
      <c r="H417" s="8">
        <f t="shared" si="5"/>
        <v>0</v>
      </c>
      <c r="I417" s="2" t="b">
        <v>1</v>
      </c>
      <c r="J417" s="2" t="s">
        <v>160</v>
      </c>
      <c r="K417" s="12">
        <f t="shared" si="2"/>
        <v>45972</v>
      </c>
      <c r="L417" s="12">
        <f t="shared" si="3"/>
        <v>45987</v>
      </c>
    </row>
    <row r="418" ht="15.75" hidden="1" customHeight="1">
      <c r="A418" s="4">
        <v>45998.0</v>
      </c>
      <c r="B418" s="2" t="s">
        <v>566</v>
      </c>
      <c r="C418" s="2" t="s">
        <v>657</v>
      </c>
      <c r="D418" s="2" t="s">
        <v>159</v>
      </c>
      <c r="E418" s="2">
        <v>0.0</v>
      </c>
      <c r="F418" s="2">
        <v>20.0</v>
      </c>
      <c r="G418" s="2">
        <v>0.0</v>
      </c>
      <c r="H418" s="8">
        <f t="shared" si="5"/>
        <v>20</v>
      </c>
      <c r="I418" s="8" t="b">
        <v>0</v>
      </c>
      <c r="J418" s="2" t="s">
        <v>160</v>
      </c>
      <c r="K418" s="12">
        <f t="shared" si="2"/>
        <v>46013</v>
      </c>
      <c r="L418" s="12">
        <f t="shared" si="3"/>
        <v>46028</v>
      </c>
    </row>
    <row r="419" ht="15.75" hidden="1" customHeight="1">
      <c r="A419" s="4">
        <v>45917.0</v>
      </c>
      <c r="B419" s="2" t="s">
        <v>176</v>
      </c>
      <c r="C419" s="2" t="s">
        <v>658</v>
      </c>
      <c r="D419" s="2" t="s">
        <v>159</v>
      </c>
      <c r="E419" s="2">
        <v>0.0</v>
      </c>
      <c r="F419" s="2">
        <v>29.0</v>
      </c>
      <c r="G419" s="2">
        <v>29.0</v>
      </c>
      <c r="H419" s="8">
        <f t="shared" si="5"/>
        <v>0</v>
      </c>
      <c r="I419" s="2" t="b">
        <v>1</v>
      </c>
      <c r="J419" s="2" t="s">
        <v>160</v>
      </c>
      <c r="K419" s="12">
        <f t="shared" si="2"/>
        <v>45932</v>
      </c>
      <c r="L419" s="12">
        <f t="shared" si="3"/>
        <v>45947</v>
      </c>
    </row>
    <row r="420" ht="15.75" hidden="1" customHeight="1">
      <c r="A420" s="4">
        <v>45932.0</v>
      </c>
      <c r="B420" s="2" t="s">
        <v>659</v>
      </c>
      <c r="C420" s="2" t="s">
        <v>660</v>
      </c>
      <c r="D420" s="2" t="s">
        <v>159</v>
      </c>
      <c r="E420" s="2">
        <v>0.0</v>
      </c>
      <c r="F420" s="2">
        <v>60.0</v>
      </c>
      <c r="G420" s="2">
        <v>60.0</v>
      </c>
      <c r="H420" s="8">
        <f t="shared" si="5"/>
        <v>0</v>
      </c>
      <c r="I420" s="2" t="b">
        <v>1</v>
      </c>
      <c r="J420" s="2" t="s">
        <v>160</v>
      </c>
      <c r="K420" s="12">
        <f t="shared" si="2"/>
        <v>45947</v>
      </c>
      <c r="L420" s="12">
        <f t="shared" si="3"/>
        <v>45962</v>
      </c>
    </row>
    <row r="421" ht="15.75" hidden="1" customHeight="1">
      <c r="A421" s="4">
        <v>46003.0</v>
      </c>
      <c r="B421" s="2" t="s">
        <v>566</v>
      </c>
      <c r="C421" s="2" t="s">
        <v>661</v>
      </c>
      <c r="D421" s="2" t="s">
        <v>159</v>
      </c>
      <c r="E421" s="2">
        <v>0.0</v>
      </c>
      <c r="F421" s="2">
        <v>65.0</v>
      </c>
      <c r="G421" s="2">
        <v>0.0</v>
      </c>
      <c r="H421" s="8">
        <f t="shared" si="5"/>
        <v>65</v>
      </c>
      <c r="I421" s="8" t="b">
        <v>0</v>
      </c>
      <c r="J421" s="2" t="s">
        <v>160</v>
      </c>
      <c r="K421" s="12">
        <f t="shared" si="2"/>
        <v>46018</v>
      </c>
      <c r="L421" s="12">
        <f t="shared" si="3"/>
        <v>46033</v>
      </c>
    </row>
    <row r="422" ht="15.75" hidden="1" customHeight="1">
      <c r="A422" s="4">
        <v>45924.0</v>
      </c>
      <c r="B422" s="2" t="s">
        <v>280</v>
      </c>
      <c r="C422" s="2" t="s">
        <v>662</v>
      </c>
      <c r="D422" s="2" t="s">
        <v>159</v>
      </c>
      <c r="E422" s="2">
        <v>0.0</v>
      </c>
      <c r="F422" s="2">
        <v>40.0</v>
      </c>
      <c r="G422" s="2">
        <v>40.0</v>
      </c>
      <c r="H422" s="8">
        <f t="shared" si="5"/>
        <v>0</v>
      </c>
      <c r="I422" s="2" t="b">
        <v>1</v>
      </c>
      <c r="J422" s="2" t="s">
        <v>160</v>
      </c>
      <c r="K422" s="12">
        <f t="shared" si="2"/>
        <v>45939</v>
      </c>
      <c r="L422" s="12">
        <f t="shared" si="3"/>
        <v>45954</v>
      </c>
    </row>
    <row r="423" ht="15.75" hidden="1" customHeight="1">
      <c r="A423" s="4">
        <v>45917.0</v>
      </c>
      <c r="B423" s="2" t="s">
        <v>123</v>
      </c>
      <c r="C423" s="2" t="s">
        <v>663</v>
      </c>
      <c r="D423" s="2" t="s">
        <v>159</v>
      </c>
      <c r="E423" s="2"/>
      <c r="F423" s="2">
        <v>45.0</v>
      </c>
      <c r="G423" s="2">
        <v>45.0</v>
      </c>
      <c r="H423" s="8">
        <f t="shared" si="5"/>
        <v>0</v>
      </c>
      <c r="I423" s="2" t="b">
        <v>1</v>
      </c>
      <c r="J423" s="2" t="s">
        <v>160</v>
      </c>
      <c r="K423" s="12">
        <f t="shared" si="2"/>
        <v>45932</v>
      </c>
      <c r="L423" s="12">
        <f t="shared" si="3"/>
        <v>45947</v>
      </c>
    </row>
    <row r="424" ht="15.75" hidden="1" customHeight="1">
      <c r="A424" s="4">
        <v>46003.0</v>
      </c>
      <c r="B424" s="2" t="s">
        <v>566</v>
      </c>
      <c r="C424" s="2" t="s">
        <v>664</v>
      </c>
      <c r="D424" s="2" t="s">
        <v>159</v>
      </c>
      <c r="E424" s="2">
        <v>0.0</v>
      </c>
      <c r="F424" s="2">
        <v>200.0</v>
      </c>
      <c r="G424" s="2">
        <v>0.0</v>
      </c>
      <c r="H424" s="8">
        <f t="shared" si="5"/>
        <v>200</v>
      </c>
      <c r="I424" s="8" t="b">
        <v>0</v>
      </c>
      <c r="J424" s="2" t="s">
        <v>160</v>
      </c>
      <c r="K424" s="12">
        <f t="shared" si="2"/>
        <v>46018</v>
      </c>
      <c r="L424" s="12">
        <f t="shared" si="3"/>
        <v>46033</v>
      </c>
    </row>
    <row r="425" ht="15.75" hidden="1" customHeight="1">
      <c r="A425" s="4">
        <v>45959.0</v>
      </c>
      <c r="B425" s="2" t="s">
        <v>196</v>
      </c>
      <c r="C425" s="2" t="s">
        <v>665</v>
      </c>
      <c r="D425" s="2" t="s">
        <v>159</v>
      </c>
      <c r="E425" s="2">
        <v>0.0</v>
      </c>
      <c r="F425" s="2">
        <v>47.0</v>
      </c>
      <c r="G425" s="2">
        <v>47.0</v>
      </c>
      <c r="H425" s="8">
        <f t="shared" si="5"/>
        <v>0</v>
      </c>
      <c r="I425" s="2" t="b">
        <v>1</v>
      </c>
      <c r="J425" s="2" t="s">
        <v>160</v>
      </c>
      <c r="K425" s="12">
        <f t="shared" si="2"/>
        <v>45974</v>
      </c>
      <c r="L425" s="12">
        <f t="shared" si="3"/>
        <v>45989</v>
      </c>
    </row>
    <row r="426" ht="15.75" hidden="1" customHeight="1">
      <c r="A426" s="4">
        <v>45920.0</v>
      </c>
      <c r="B426" s="2" t="s">
        <v>157</v>
      </c>
      <c r="C426" s="2" t="s">
        <v>665</v>
      </c>
      <c r="D426" s="2" t="s">
        <v>159</v>
      </c>
      <c r="E426" s="2"/>
      <c r="F426" s="2">
        <v>60.0</v>
      </c>
      <c r="G426" s="2">
        <v>60.0</v>
      </c>
      <c r="H426" s="8">
        <f t="shared" si="5"/>
        <v>0</v>
      </c>
      <c r="I426" s="2" t="b">
        <v>1</v>
      </c>
      <c r="J426" s="2" t="s">
        <v>160</v>
      </c>
      <c r="K426" s="12">
        <f t="shared" si="2"/>
        <v>45935</v>
      </c>
      <c r="L426" s="12">
        <f t="shared" si="3"/>
        <v>45950</v>
      </c>
    </row>
    <row r="427" ht="15.75" hidden="1" customHeight="1">
      <c r="A427" s="4">
        <v>45990.0</v>
      </c>
      <c r="B427" s="2" t="s">
        <v>666</v>
      </c>
      <c r="C427" s="2" t="s">
        <v>665</v>
      </c>
      <c r="D427" s="2" t="s">
        <v>159</v>
      </c>
      <c r="E427" s="2">
        <v>0.0</v>
      </c>
      <c r="F427" s="2">
        <v>55.0</v>
      </c>
      <c r="G427" s="2">
        <v>55.0</v>
      </c>
      <c r="H427" s="8">
        <f t="shared" si="5"/>
        <v>0</v>
      </c>
      <c r="I427" s="2" t="b">
        <v>1</v>
      </c>
      <c r="J427" s="2" t="s">
        <v>160</v>
      </c>
      <c r="K427" s="12">
        <f t="shared" si="2"/>
        <v>46005</v>
      </c>
      <c r="L427" s="12">
        <f t="shared" si="3"/>
        <v>46020</v>
      </c>
    </row>
    <row r="428" ht="15.75" hidden="1" customHeight="1">
      <c r="A428" s="4">
        <v>45924.0</v>
      </c>
      <c r="B428" s="2" t="s">
        <v>123</v>
      </c>
      <c r="C428" s="2" t="s">
        <v>667</v>
      </c>
      <c r="D428" s="2" t="s">
        <v>159</v>
      </c>
      <c r="E428" s="2"/>
      <c r="F428" s="2">
        <v>91.0</v>
      </c>
      <c r="G428" s="2">
        <v>91.0</v>
      </c>
      <c r="H428" s="8">
        <f t="shared" si="5"/>
        <v>0</v>
      </c>
      <c r="I428" s="2" t="b">
        <v>1</v>
      </c>
      <c r="J428" s="2" t="s">
        <v>160</v>
      </c>
      <c r="K428" s="12">
        <f t="shared" si="2"/>
        <v>45939</v>
      </c>
      <c r="L428" s="12">
        <f t="shared" si="3"/>
        <v>45954</v>
      </c>
    </row>
    <row r="429" ht="15.75" hidden="1" customHeight="1">
      <c r="A429" s="4">
        <v>45927.0</v>
      </c>
      <c r="B429" s="2" t="s">
        <v>157</v>
      </c>
      <c r="C429" s="2" t="s">
        <v>668</v>
      </c>
      <c r="D429" s="2" t="s">
        <v>159</v>
      </c>
      <c r="E429" s="2"/>
      <c r="F429" s="2">
        <v>10.0</v>
      </c>
      <c r="G429" s="2">
        <v>10.0</v>
      </c>
      <c r="H429" s="8">
        <f t="shared" si="5"/>
        <v>0</v>
      </c>
      <c r="I429" s="2" t="b">
        <v>1</v>
      </c>
      <c r="J429" s="2" t="s">
        <v>160</v>
      </c>
      <c r="K429" s="12">
        <f t="shared" si="2"/>
        <v>45942</v>
      </c>
      <c r="L429" s="12">
        <f t="shared" si="3"/>
        <v>45957</v>
      </c>
    </row>
    <row r="430" ht="15.75" hidden="1" customHeight="1">
      <c r="A430" s="4">
        <v>45934.0</v>
      </c>
      <c r="B430" s="2" t="s">
        <v>669</v>
      </c>
      <c r="C430" s="2" t="s">
        <v>670</v>
      </c>
      <c r="D430" s="2" t="s">
        <v>159</v>
      </c>
      <c r="E430" s="2">
        <v>0.0</v>
      </c>
      <c r="F430" s="2">
        <v>55.0</v>
      </c>
      <c r="G430" s="2">
        <v>55.0</v>
      </c>
      <c r="H430" s="8">
        <f t="shared" si="5"/>
        <v>0</v>
      </c>
      <c r="I430" s="2" t="b">
        <v>1</v>
      </c>
      <c r="J430" s="2" t="s">
        <v>160</v>
      </c>
      <c r="K430" s="12">
        <f t="shared" si="2"/>
        <v>45949</v>
      </c>
      <c r="L430" s="12">
        <f t="shared" si="3"/>
        <v>45964</v>
      </c>
    </row>
    <row r="431" ht="15.75" hidden="1" customHeight="1">
      <c r="A431" s="4">
        <v>46003.0</v>
      </c>
      <c r="B431" s="2" t="s">
        <v>566</v>
      </c>
      <c r="C431" s="256" t="s">
        <v>671</v>
      </c>
      <c r="D431" s="2" t="s">
        <v>159</v>
      </c>
      <c r="E431" s="2">
        <v>0.0</v>
      </c>
      <c r="F431" s="2">
        <v>45.0</v>
      </c>
      <c r="G431" s="2">
        <v>0.0</v>
      </c>
      <c r="H431" s="8">
        <f t="shared" si="5"/>
        <v>45</v>
      </c>
      <c r="I431" s="8" t="b">
        <v>0</v>
      </c>
      <c r="J431" s="2" t="s">
        <v>160</v>
      </c>
      <c r="K431" s="12">
        <f t="shared" si="2"/>
        <v>46018</v>
      </c>
      <c r="L431" s="12">
        <f t="shared" si="3"/>
        <v>46033</v>
      </c>
    </row>
    <row r="432" ht="15.75" hidden="1" customHeight="1">
      <c r="A432" s="4">
        <v>46003.0</v>
      </c>
      <c r="B432" s="2" t="s">
        <v>566</v>
      </c>
      <c r="C432" s="256" t="s">
        <v>672</v>
      </c>
      <c r="D432" s="2" t="s">
        <v>159</v>
      </c>
      <c r="E432" s="2">
        <v>0.0</v>
      </c>
      <c r="F432" s="2">
        <v>60.0</v>
      </c>
      <c r="G432" s="2">
        <v>0.0</v>
      </c>
      <c r="H432" s="8">
        <f t="shared" si="5"/>
        <v>60</v>
      </c>
      <c r="I432" s="8" t="b">
        <v>0</v>
      </c>
      <c r="J432" s="2" t="s">
        <v>160</v>
      </c>
      <c r="K432" s="12">
        <f t="shared" si="2"/>
        <v>46018</v>
      </c>
      <c r="L432" s="12">
        <f t="shared" si="3"/>
        <v>46033</v>
      </c>
    </row>
    <row r="433" ht="15.75" hidden="1" customHeight="1">
      <c r="A433" s="4">
        <v>45979.0</v>
      </c>
      <c r="B433" s="2" t="s">
        <v>673</v>
      </c>
      <c r="C433" s="2" t="s">
        <v>674</v>
      </c>
      <c r="D433" s="2" t="s">
        <v>159</v>
      </c>
      <c r="E433" s="2">
        <v>0.0</v>
      </c>
      <c r="F433" s="2">
        <v>30.0</v>
      </c>
      <c r="G433" s="2">
        <v>30.0</v>
      </c>
      <c r="H433" s="8">
        <f t="shared" si="5"/>
        <v>0</v>
      </c>
      <c r="I433" s="2" t="b">
        <v>1</v>
      </c>
      <c r="J433" s="2" t="s">
        <v>160</v>
      </c>
      <c r="K433" s="12">
        <f t="shared" si="2"/>
        <v>45994</v>
      </c>
      <c r="L433" s="12">
        <f t="shared" si="3"/>
        <v>46009</v>
      </c>
    </row>
    <row r="434" ht="15.75" hidden="1" customHeight="1">
      <c r="A434" s="4">
        <v>45980.0</v>
      </c>
      <c r="B434" s="2" t="s">
        <v>157</v>
      </c>
      <c r="C434" s="2" t="s">
        <v>675</v>
      </c>
      <c r="D434" s="2" t="s">
        <v>159</v>
      </c>
      <c r="E434" s="2">
        <v>0.0</v>
      </c>
      <c r="F434" s="2">
        <v>30.0</v>
      </c>
      <c r="G434" s="2">
        <v>30.0</v>
      </c>
      <c r="H434" s="8">
        <f t="shared" si="5"/>
        <v>0</v>
      </c>
      <c r="I434" s="2" t="b">
        <v>1</v>
      </c>
      <c r="J434" s="2" t="s">
        <v>160</v>
      </c>
      <c r="K434" s="12">
        <f t="shared" si="2"/>
        <v>45995</v>
      </c>
      <c r="L434" s="12">
        <f t="shared" si="3"/>
        <v>46010</v>
      </c>
    </row>
    <row r="435" ht="15.75" hidden="1" customHeight="1">
      <c r="A435" s="4">
        <v>45929.0</v>
      </c>
      <c r="B435" s="2" t="s">
        <v>344</v>
      </c>
      <c r="C435" s="2" t="s">
        <v>676</v>
      </c>
      <c r="D435" s="2" t="s">
        <v>159</v>
      </c>
      <c r="E435" s="2"/>
      <c r="F435" s="2">
        <v>28.0</v>
      </c>
      <c r="G435" s="2">
        <v>28.0</v>
      </c>
      <c r="H435" s="8">
        <f t="shared" si="5"/>
        <v>0</v>
      </c>
      <c r="I435" s="2" t="b">
        <v>1</v>
      </c>
      <c r="J435" s="2" t="s">
        <v>160</v>
      </c>
      <c r="K435" s="12">
        <f t="shared" si="2"/>
        <v>45944</v>
      </c>
      <c r="L435" s="12">
        <f t="shared" si="3"/>
        <v>45959</v>
      </c>
    </row>
    <row r="436" ht="15.75" hidden="1" customHeight="1">
      <c r="A436" s="4">
        <v>45994.0</v>
      </c>
      <c r="B436" s="2" t="s">
        <v>677</v>
      </c>
      <c r="C436" s="2" t="s">
        <v>678</v>
      </c>
      <c r="D436" s="2" t="s">
        <v>159</v>
      </c>
      <c r="E436" s="2">
        <v>0.0</v>
      </c>
      <c r="F436" s="2">
        <v>80.0</v>
      </c>
      <c r="G436" s="2">
        <v>80.0</v>
      </c>
      <c r="H436" s="8">
        <f t="shared" si="5"/>
        <v>0</v>
      </c>
      <c r="I436" s="2" t="b">
        <v>1</v>
      </c>
      <c r="J436" s="2" t="s">
        <v>160</v>
      </c>
      <c r="K436" s="12">
        <f t="shared" si="2"/>
        <v>46009</v>
      </c>
      <c r="L436" s="12">
        <f t="shared" si="3"/>
        <v>46024</v>
      </c>
    </row>
    <row r="437" ht="15.75" hidden="1" customHeight="1">
      <c r="A437" s="4">
        <v>45929.0</v>
      </c>
      <c r="B437" s="2" t="s">
        <v>298</v>
      </c>
      <c r="C437" s="2" t="s">
        <v>678</v>
      </c>
      <c r="D437" s="2" t="s">
        <v>113</v>
      </c>
      <c r="E437" s="2">
        <v>0.0</v>
      </c>
      <c r="F437" s="2">
        <v>75.0</v>
      </c>
      <c r="G437" s="2">
        <v>75.0</v>
      </c>
      <c r="H437" s="8">
        <f t="shared" si="5"/>
        <v>0</v>
      </c>
      <c r="I437" s="2" t="b">
        <v>1</v>
      </c>
      <c r="J437" s="2" t="s">
        <v>160</v>
      </c>
      <c r="K437" s="12">
        <f t="shared" si="2"/>
        <v>45944</v>
      </c>
      <c r="L437" s="12">
        <f t="shared" si="3"/>
        <v>45959</v>
      </c>
    </row>
    <row r="438" ht="15.75" hidden="1" customHeight="1">
      <c r="A438" s="4">
        <v>46003.0</v>
      </c>
      <c r="B438" s="2" t="s">
        <v>566</v>
      </c>
      <c r="C438" s="256" t="s">
        <v>679</v>
      </c>
      <c r="D438" s="2" t="s">
        <v>159</v>
      </c>
      <c r="E438" s="2">
        <v>0.0</v>
      </c>
      <c r="F438" s="2">
        <v>140.0</v>
      </c>
      <c r="G438" s="2">
        <v>0.0</v>
      </c>
      <c r="H438" s="8">
        <f t="shared" si="5"/>
        <v>140</v>
      </c>
      <c r="I438" s="8" t="b">
        <v>0</v>
      </c>
      <c r="J438" s="2" t="s">
        <v>160</v>
      </c>
      <c r="K438" s="12">
        <f t="shared" si="2"/>
        <v>46018</v>
      </c>
      <c r="L438" s="12">
        <f t="shared" si="3"/>
        <v>46033</v>
      </c>
    </row>
    <row r="439" ht="15.75" hidden="1" customHeight="1">
      <c r="A439" s="4">
        <v>45985.0</v>
      </c>
      <c r="B439" s="2" t="s">
        <v>321</v>
      </c>
      <c r="C439" s="2" t="s">
        <v>680</v>
      </c>
      <c r="D439" s="2" t="s">
        <v>159</v>
      </c>
      <c r="E439" s="2">
        <v>0.0</v>
      </c>
      <c r="F439" s="2">
        <v>50.0</v>
      </c>
      <c r="G439" s="2">
        <v>50.0</v>
      </c>
      <c r="H439" s="8">
        <f t="shared" si="5"/>
        <v>0</v>
      </c>
      <c r="I439" s="2" t="b">
        <v>1</v>
      </c>
      <c r="J439" s="2" t="s">
        <v>160</v>
      </c>
      <c r="K439" s="12">
        <f t="shared" si="2"/>
        <v>46000</v>
      </c>
      <c r="L439" s="12">
        <f t="shared" si="3"/>
        <v>46015</v>
      </c>
    </row>
    <row r="440" ht="15.75" hidden="1" customHeight="1">
      <c r="A440" s="4">
        <v>45927.0</v>
      </c>
      <c r="B440" s="2" t="s">
        <v>176</v>
      </c>
      <c r="C440" s="2" t="s">
        <v>681</v>
      </c>
      <c r="D440" s="2" t="s">
        <v>159</v>
      </c>
      <c r="E440" s="2">
        <v>0.0</v>
      </c>
      <c r="F440" s="2">
        <v>45.0</v>
      </c>
      <c r="G440" s="2">
        <v>45.0</v>
      </c>
      <c r="H440" s="8">
        <f t="shared" si="5"/>
        <v>0</v>
      </c>
      <c r="I440" s="2" t="b">
        <v>1</v>
      </c>
      <c r="J440" s="2" t="s">
        <v>160</v>
      </c>
      <c r="K440" s="12">
        <f t="shared" si="2"/>
        <v>45942</v>
      </c>
      <c r="L440" s="12">
        <f t="shared" si="3"/>
        <v>45957</v>
      </c>
    </row>
    <row r="441" ht="15.75" hidden="1" customHeight="1">
      <c r="A441" s="4">
        <v>46006.0</v>
      </c>
      <c r="B441" s="2" t="s">
        <v>682</v>
      </c>
      <c r="C441" s="2" t="s">
        <v>683</v>
      </c>
      <c r="D441" s="2" t="s">
        <v>159</v>
      </c>
      <c r="E441" s="2">
        <v>0.0</v>
      </c>
      <c r="F441" s="2">
        <v>45.0</v>
      </c>
      <c r="G441" s="2">
        <v>45.0</v>
      </c>
      <c r="H441" s="8">
        <f t="shared" si="5"/>
        <v>0</v>
      </c>
      <c r="I441" s="2" t="b">
        <v>1</v>
      </c>
      <c r="J441" s="2" t="s">
        <v>160</v>
      </c>
      <c r="K441" s="12">
        <f t="shared" si="2"/>
        <v>46021</v>
      </c>
      <c r="L441" s="12">
        <f t="shared" si="3"/>
        <v>46036</v>
      </c>
    </row>
    <row r="442" ht="15.75" hidden="1" customHeight="1">
      <c r="A442" s="4">
        <v>46003.0</v>
      </c>
      <c r="B442" s="2" t="s">
        <v>566</v>
      </c>
      <c r="C442" s="256" t="s">
        <v>684</v>
      </c>
      <c r="D442" s="2" t="s">
        <v>159</v>
      </c>
      <c r="E442" s="2">
        <v>0.0</v>
      </c>
      <c r="F442" s="2">
        <v>45.0</v>
      </c>
      <c r="G442" s="2">
        <v>0.0</v>
      </c>
      <c r="H442" s="8">
        <f t="shared" si="5"/>
        <v>45</v>
      </c>
      <c r="I442" s="8" t="b">
        <v>0</v>
      </c>
      <c r="J442" s="2" t="s">
        <v>160</v>
      </c>
      <c r="K442" s="12">
        <f t="shared" si="2"/>
        <v>46018</v>
      </c>
      <c r="L442" s="12">
        <f t="shared" si="3"/>
        <v>46033</v>
      </c>
    </row>
    <row r="443" ht="15.75" hidden="1" customHeight="1">
      <c r="A443" s="4">
        <v>45933.0</v>
      </c>
      <c r="B443" s="2" t="s">
        <v>216</v>
      </c>
      <c r="C443" s="2" t="s">
        <v>685</v>
      </c>
      <c r="D443" s="2" t="s">
        <v>159</v>
      </c>
      <c r="E443" s="2">
        <v>0.0</v>
      </c>
      <c r="F443" s="2">
        <v>45.0</v>
      </c>
      <c r="G443" s="2">
        <v>45.0</v>
      </c>
      <c r="H443" s="8">
        <f t="shared" si="5"/>
        <v>0</v>
      </c>
      <c r="I443" s="2" t="b">
        <v>1</v>
      </c>
      <c r="J443" s="2" t="s">
        <v>160</v>
      </c>
      <c r="K443" s="12">
        <f t="shared" si="2"/>
        <v>45948</v>
      </c>
      <c r="L443" s="12">
        <f t="shared" si="3"/>
        <v>45963</v>
      </c>
    </row>
    <row r="444" ht="15.75" hidden="1" customHeight="1">
      <c r="A444" s="4">
        <v>45977.0</v>
      </c>
      <c r="B444" s="2" t="s">
        <v>298</v>
      </c>
      <c r="C444" s="2" t="s">
        <v>686</v>
      </c>
      <c r="D444" s="2" t="s">
        <v>113</v>
      </c>
      <c r="E444" s="2">
        <v>0.0</v>
      </c>
      <c r="F444" s="2">
        <v>85.0</v>
      </c>
      <c r="G444" s="2">
        <v>85.0</v>
      </c>
      <c r="H444" s="8">
        <f t="shared" si="5"/>
        <v>0</v>
      </c>
      <c r="I444" s="2" t="b">
        <v>1</v>
      </c>
      <c r="J444" s="2" t="s">
        <v>160</v>
      </c>
      <c r="K444" s="12">
        <f t="shared" si="2"/>
        <v>45992</v>
      </c>
      <c r="L444" s="12">
        <f t="shared" si="3"/>
        <v>46007</v>
      </c>
    </row>
    <row r="445" ht="15.75" hidden="1" customHeight="1">
      <c r="A445" s="4">
        <v>46003.0</v>
      </c>
      <c r="B445" s="2" t="s">
        <v>566</v>
      </c>
      <c r="C445" s="2" t="s">
        <v>687</v>
      </c>
      <c r="D445" s="2" t="s">
        <v>159</v>
      </c>
      <c r="E445" s="2">
        <v>0.0</v>
      </c>
      <c r="F445" s="2">
        <v>120.0</v>
      </c>
      <c r="G445" s="2">
        <v>0.0</v>
      </c>
      <c r="H445" s="8">
        <f t="shared" si="5"/>
        <v>120</v>
      </c>
      <c r="I445" s="8" t="b">
        <v>0</v>
      </c>
      <c r="J445" s="2" t="s">
        <v>160</v>
      </c>
      <c r="K445" s="12">
        <f t="shared" si="2"/>
        <v>46018</v>
      </c>
      <c r="L445" s="12">
        <f t="shared" si="3"/>
        <v>46033</v>
      </c>
    </row>
    <row r="446" ht="15.75" hidden="1" customHeight="1">
      <c r="A446" s="4">
        <v>45949.0</v>
      </c>
      <c r="B446" s="2" t="s">
        <v>471</v>
      </c>
      <c r="C446" s="2" t="s">
        <v>688</v>
      </c>
      <c r="D446" s="2" t="s">
        <v>159</v>
      </c>
      <c r="E446" s="2">
        <v>0.0</v>
      </c>
      <c r="F446" s="2">
        <v>8.0</v>
      </c>
      <c r="G446" s="2">
        <v>8.0</v>
      </c>
      <c r="H446" s="8">
        <f t="shared" si="5"/>
        <v>0</v>
      </c>
      <c r="I446" s="2" t="b">
        <v>1</v>
      </c>
      <c r="J446" s="2" t="s">
        <v>160</v>
      </c>
      <c r="K446" s="12">
        <f t="shared" si="2"/>
        <v>45964</v>
      </c>
      <c r="L446" s="12">
        <f t="shared" si="3"/>
        <v>45979</v>
      </c>
    </row>
    <row r="447" ht="15.75" hidden="1" customHeight="1">
      <c r="A447" s="4">
        <v>46003.0</v>
      </c>
      <c r="B447" s="2" t="s">
        <v>566</v>
      </c>
      <c r="C447" s="256" t="s">
        <v>689</v>
      </c>
      <c r="D447" s="2" t="s">
        <v>159</v>
      </c>
      <c r="E447" s="2">
        <v>0.0</v>
      </c>
      <c r="F447" s="2">
        <v>65.0</v>
      </c>
      <c r="G447" s="2">
        <v>0.0</v>
      </c>
      <c r="H447" s="8">
        <f t="shared" si="5"/>
        <v>65</v>
      </c>
      <c r="I447" s="8" t="b">
        <v>0</v>
      </c>
      <c r="J447" s="2" t="s">
        <v>160</v>
      </c>
      <c r="K447" s="12">
        <f t="shared" si="2"/>
        <v>46018</v>
      </c>
      <c r="L447" s="12">
        <f t="shared" si="3"/>
        <v>46033</v>
      </c>
    </row>
    <row r="448" ht="15.75" hidden="1" customHeight="1">
      <c r="A448" s="4">
        <v>45923.0</v>
      </c>
      <c r="B448" s="2" t="s">
        <v>375</v>
      </c>
      <c r="C448" s="2" t="s">
        <v>580</v>
      </c>
      <c r="D448" s="2" t="s">
        <v>159</v>
      </c>
      <c r="E448" s="2">
        <v>0.0</v>
      </c>
      <c r="F448" s="2">
        <v>35.0</v>
      </c>
      <c r="G448" s="2">
        <v>35.0</v>
      </c>
      <c r="H448" s="8">
        <f t="shared" si="5"/>
        <v>0</v>
      </c>
      <c r="I448" s="2" t="b">
        <v>1</v>
      </c>
      <c r="J448" s="2" t="s">
        <v>160</v>
      </c>
      <c r="K448" s="12">
        <f t="shared" si="2"/>
        <v>45938</v>
      </c>
      <c r="L448" s="12">
        <f t="shared" si="3"/>
        <v>45953</v>
      </c>
    </row>
    <row r="449" ht="15.75" hidden="1" customHeight="1">
      <c r="A449" s="4">
        <v>45977.0</v>
      </c>
      <c r="B449" s="2" t="s">
        <v>238</v>
      </c>
      <c r="C449" s="2" t="s">
        <v>580</v>
      </c>
      <c r="D449" s="2" t="s">
        <v>159</v>
      </c>
      <c r="E449" s="2">
        <v>0.0</v>
      </c>
      <c r="F449" s="2">
        <v>46.0</v>
      </c>
      <c r="G449" s="2">
        <v>46.0</v>
      </c>
      <c r="H449" s="8">
        <f t="shared" si="5"/>
        <v>0</v>
      </c>
      <c r="I449" s="2" t="b">
        <v>1</v>
      </c>
      <c r="J449" s="2" t="s">
        <v>160</v>
      </c>
      <c r="K449" s="12">
        <f t="shared" si="2"/>
        <v>45992</v>
      </c>
      <c r="L449" s="12">
        <f t="shared" si="3"/>
        <v>46007</v>
      </c>
    </row>
    <row r="450" ht="15.75" hidden="1" customHeight="1">
      <c r="A450" s="4">
        <v>46003.0</v>
      </c>
      <c r="B450" s="2" t="s">
        <v>566</v>
      </c>
      <c r="C450" s="2" t="s">
        <v>690</v>
      </c>
      <c r="D450" s="2" t="s">
        <v>159</v>
      </c>
      <c r="E450" s="2">
        <v>0.0</v>
      </c>
      <c r="F450" s="2">
        <v>60.0</v>
      </c>
      <c r="G450" s="2">
        <v>0.0</v>
      </c>
      <c r="H450" s="8">
        <f t="shared" si="5"/>
        <v>60</v>
      </c>
      <c r="I450" s="8" t="b">
        <v>0</v>
      </c>
      <c r="J450" s="2" t="s">
        <v>160</v>
      </c>
      <c r="K450" s="12">
        <f t="shared" si="2"/>
        <v>46018</v>
      </c>
      <c r="L450" s="12">
        <f t="shared" si="3"/>
        <v>46033</v>
      </c>
    </row>
    <row r="451" ht="15.75" hidden="1" customHeight="1">
      <c r="A451" s="4">
        <v>46003.0</v>
      </c>
      <c r="B451" s="2" t="s">
        <v>566</v>
      </c>
      <c r="C451" s="256" t="s">
        <v>691</v>
      </c>
      <c r="D451" s="2" t="s">
        <v>159</v>
      </c>
      <c r="E451" s="2">
        <v>0.0</v>
      </c>
      <c r="F451" s="2">
        <v>55.0</v>
      </c>
      <c r="G451" s="2">
        <v>0.0</v>
      </c>
      <c r="H451" s="8">
        <f t="shared" si="5"/>
        <v>55</v>
      </c>
      <c r="I451" s="8" t="b">
        <v>0</v>
      </c>
      <c r="J451" s="2" t="s">
        <v>160</v>
      </c>
      <c r="K451" s="12">
        <f t="shared" si="2"/>
        <v>46018</v>
      </c>
      <c r="L451" s="12">
        <f t="shared" si="3"/>
        <v>46033</v>
      </c>
    </row>
    <row r="452" ht="15.75" hidden="1" customHeight="1">
      <c r="A452" s="4">
        <v>46003.0</v>
      </c>
      <c r="B452" s="2" t="s">
        <v>566</v>
      </c>
      <c r="C452" s="256" t="s">
        <v>692</v>
      </c>
      <c r="D452" s="2" t="s">
        <v>159</v>
      </c>
      <c r="E452" s="2">
        <v>0.0</v>
      </c>
      <c r="F452" s="2">
        <v>45.0</v>
      </c>
      <c r="G452" s="2">
        <v>0.0</v>
      </c>
      <c r="H452" s="8">
        <f t="shared" si="5"/>
        <v>45</v>
      </c>
      <c r="I452" s="8" t="b">
        <v>0</v>
      </c>
      <c r="J452" s="2" t="s">
        <v>160</v>
      </c>
      <c r="K452" s="12">
        <f t="shared" si="2"/>
        <v>46018</v>
      </c>
      <c r="L452" s="12">
        <f t="shared" si="3"/>
        <v>46033</v>
      </c>
    </row>
    <row r="453" ht="15.75" hidden="1" customHeight="1">
      <c r="A453" s="4">
        <v>46003.0</v>
      </c>
      <c r="B453" s="2" t="s">
        <v>566</v>
      </c>
      <c r="C453" s="2" t="s">
        <v>693</v>
      </c>
      <c r="D453" s="2" t="s">
        <v>159</v>
      </c>
      <c r="E453" s="2">
        <v>0.0</v>
      </c>
      <c r="F453" s="2">
        <v>65.0</v>
      </c>
      <c r="G453" s="2">
        <v>0.0</v>
      </c>
      <c r="H453" s="8">
        <f t="shared" si="5"/>
        <v>65</v>
      </c>
      <c r="I453" s="8" t="b">
        <v>0</v>
      </c>
      <c r="J453" s="2" t="s">
        <v>160</v>
      </c>
      <c r="K453" s="12">
        <f t="shared" si="2"/>
        <v>46018</v>
      </c>
      <c r="L453" s="12">
        <f t="shared" si="3"/>
        <v>46033</v>
      </c>
    </row>
    <row r="454" ht="15.75" hidden="1" customHeight="1">
      <c r="A454" s="4">
        <v>45932.0</v>
      </c>
      <c r="B454" s="2" t="s">
        <v>694</v>
      </c>
      <c r="C454" s="2" t="s">
        <v>271</v>
      </c>
      <c r="D454" s="2" t="s">
        <v>159</v>
      </c>
      <c r="E454" s="2"/>
      <c r="F454" s="2">
        <v>65.0</v>
      </c>
      <c r="G454" s="2">
        <v>65.0</v>
      </c>
      <c r="H454" s="8">
        <f t="shared" si="5"/>
        <v>0</v>
      </c>
      <c r="I454" s="2" t="b">
        <v>1</v>
      </c>
      <c r="J454" s="2" t="s">
        <v>160</v>
      </c>
      <c r="K454" s="12">
        <f t="shared" si="2"/>
        <v>45947</v>
      </c>
      <c r="L454" s="12">
        <f t="shared" si="3"/>
        <v>45962</v>
      </c>
    </row>
    <row r="455" ht="15.75" hidden="1" customHeight="1">
      <c r="A455" s="4">
        <v>46003.0</v>
      </c>
      <c r="B455" s="2" t="s">
        <v>566</v>
      </c>
      <c r="C455" s="2" t="s">
        <v>695</v>
      </c>
      <c r="D455" s="2" t="s">
        <v>159</v>
      </c>
      <c r="E455" s="2">
        <v>0.0</v>
      </c>
      <c r="F455" s="2">
        <v>60.0</v>
      </c>
      <c r="G455" s="2">
        <v>0.0</v>
      </c>
      <c r="H455" s="8">
        <f t="shared" si="5"/>
        <v>60</v>
      </c>
      <c r="I455" s="8" t="b">
        <v>0</v>
      </c>
      <c r="J455" s="2" t="s">
        <v>160</v>
      </c>
      <c r="K455" s="12">
        <f t="shared" si="2"/>
        <v>46018</v>
      </c>
      <c r="L455" s="12">
        <f t="shared" si="3"/>
        <v>46033</v>
      </c>
    </row>
    <row r="456" ht="15.75" hidden="1" customHeight="1">
      <c r="A456" s="4">
        <v>45988.0</v>
      </c>
      <c r="B456" s="2" t="s">
        <v>398</v>
      </c>
      <c r="C456" s="2" t="s">
        <v>696</v>
      </c>
      <c r="D456" s="2" t="s">
        <v>159</v>
      </c>
      <c r="E456" s="2">
        <v>0.0</v>
      </c>
      <c r="F456" s="2">
        <v>150.0</v>
      </c>
      <c r="G456" s="2">
        <v>150.0</v>
      </c>
      <c r="H456" s="8">
        <f t="shared" si="5"/>
        <v>0</v>
      </c>
      <c r="I456" s="2" t="b">
        <v>1</v>
      </c>
      <c r="J456" s="2" t="s">
        <v>160</v>
      </c>
      <c r="K456" s="12">
        <f t="shared" si="2"/>
        <v>46003</v>
      </c>
      <c r="L456" s="12">
        <f t="shared" si="3"/>
        <v>46018</v>
      </c>
    </row>
    <row r="457" ht="15.75" hidden="1" customHeight="1">
      <c r="A457" s="4">
        <v>46003.0</v>
      </c>
      <c r="B457" s="2" t="s">
        <v>566</v>
      </c>
      <c r="C457" s="2" t="s">
        <v>697</v>
      </c>
      <c r="D457" s="2" t="s">
        <v>159</v>
      </c>
      <c r="E457" s="2">
        <v>0.0</v>
      </c>
      <c r="F457" s="2">
        <v>70.0</v>
      </c>
      <c r="G457" s="2">
        <v>0.0</v>
      </c>
      <c r="H457" s="8">
        <f t="shared" si="5"/>
        <v>70</v>
      </c>
      <c r="I457" s="8" t="b">
        <v>0</v>
      </c>
      <c r="J457" s="2" t="s">
        <v>160</v>
      </c>
      <c r="K457" s="12">
        <f t="shared" si="2"/>
        <v>46018</v>
      </c>
      <c r="L457" s="12">
        <f t="shared" si="3"/>
        <v>46033</v>
      </c>
    </row>
    <row r="458" ht="15.75" hidden="1" customHeight="1">
      <c r="A458" s="4">
        <v>45988.0</v>
      </c>
      <c r="B458" s="2" t="s">
        <v>269</v>
      </c>
      <c r="C458" s="2" t="s">
        <v>698</v>
      </c>
      <c r="D458" s="2" t="s">
        <v>159</v>
      </c>
      <c r="E458" s="2">
        <v>0.0</v>
      </c>
      <c r="F458" s="2">
        <v>25.0</v>
      </c>
      <c r="G458" s="2">
        <v>25.0</v>
      </c>
      <c r="H458" s="8">
        <f t="shared" si="5"/>
        <v>0</v>
      </c>
      <c r="I458" s="2" t="b">
        <v>1</v>
      </c>
      <c r="J458" s="2" t="s">
        <v>160</v>
      </c>
      <c r="K458" s="12">
        <f t="shared" si="2"/>
        <v>46003</v>
      </c>
      <c r="L458" s="12">
        <f t="shared" si="3"/>
        <v>46018</v>
      </c>
    </row>
    <row r="459" ht="15.75" hidden="1" customHeight="1">
      <c r="A459" s="4">
        <v>45981.0</v>
      </c>
      <c r="B459" s="2" t="s">
        <v>180</v>
      </c>
      <c r="C459" s="2" t="s">
        <v>699</v>
      </c>
      <c r="D459" s="2" t="s">
        <v>159</v>
      </c>
      <c r="E459" s="2">
        <v>0.0</v>
      </c>
      <c r="F459" s="2">
        <v>15.0</v>
      </c>
      <c r="G459" s="2">
        <v>15.0</v>
      </c>
      <c r="H459" s="8">
        <f t="shared" si="5"/>
        <v>0</v>
      </c>
      <c r="I459" s="2" t="b">
        <v>1</v>
      </c>
      <c r="J459" s="2" t="s">
        <v>160</v>
      </c>
      <c r="K459" s="12">
        <f t="shared" si="2"/>
        <v>45996</v>
      </c>
      <c r="L459" s="12">
        <f t="shared" si="3"/>
        <v>46011</v>
      </c>
    </row>
    <row r="460" ht="15.75" hidden="1" customHeight="1">
      <c r="A460" s="4">
        <v>45936.0</v>
      </c>
      <c r="B460" s="2" t="s">
        <v>176</v>
      </c>
      <c r="C460" s="2" t="s">
        <v>700</v>
      </c>
      <c r="D460" s="2" t="s">
        <v>91</v>
      </c>
      <c r="E460" s="2">
        <v>0.0</v>
      </c>
      <c r="F460" s="2">
        <v>40.0</v>
      </c>
      <c r="G460" s="2">
        <v>40.0</v>
      </c>
      <c r="H460" s="8">
        <f t="shared" si="5"/>
        <v>0</v>
      </c>
      <c r="I460" s="2" t="b">
        <v>1</v>
      </c>
      <c r="J460" s="2" t="s">
        <v>160</v>
      </c>
      <c r="K460" s="12">
        <f t="shared" si="2"/>
        <v>45951</v>
      </c>
      <c r="L460" s="12">
        <f t="shared" si="3"/>
        <v>45966</v>
      </c>
    </row>
    <row r="461" ht="15.75" hidden="1" customHeight="1">
      <c r="A461" s="4">
        <v>46003.0</v>
      </c>
      <c r="B461" s="2" t="s">
        <v>566</v>
      </c>
      <c r="C461" s="256" t="s">
        <v>701</v>
      </c>
      <c r="D461" s="2" t="s">
        <v>159</v>
      </c>
      <c r="E461" s="2">
        <v>0.0</v>
      </c>
      <c r="F461" s="2">
        <v>100.0</v>
      </c>
      <c r="G461" s="2">
        <v>0.0</v>
      </c>
      <c r="H461" s="8">
        <f t="shared" si="5"/>
        <v>100</v>
      </c>
      <c r="I461" s="8" t="b">
        <v>0</v>
      </c>
      <c r="J461" s="2" t="s">
        <v>160</v>
      </c>
      <c r="K461" s="12">
        <f t="shared" si="2"/>
        <v>46018</v>
      </c>
      <c r="L461" s="12">
        <f t="shared" si="3"/>
        <v>46033</v>
      </c>
    </row>
    <row r="462" ht="15.75" hidden="1" customHeight="1">
      <c r="A462" s="4">
        <v>45915.0</v>
      </c>
      <c r="B462" s="2" t="s">
        <v>255</v>
      </c>
      <c r="C462" s="2" t="s">
        <v>702</v>
      </c>
      <c r="D462" s="2" t="s">
        <v>159</v>
      </c>
      <c r="E462" s="2">
        <v>0.0</v>
      </c>
      <c r="F462" s="2">
        <v>30.0</v>
      </c>
      <c r="G462" s="2">
        <v>30.0</v>
      </c>
      <c r="H462" s="8">
        <f t="shared" si="5"/>
        <v>0</v>
      </c>
      <c r="I462" s="2" t="b">
        <v>1</v>
      </c>
      <c r="J462" s="2" t="s">
        <v>160</v>
      </c>
      <c r="K462" s="12">
        <f t="shared" si="2"/>
        <v>45930</v>
      </c>
      <c r="L462" s="12">
        <f t="shared" si="3"/>
        <v>45945</v>
      </c>
    </row>
    <row r="463" ht="15.75" hidden="1" customHeight="1">
      <c r="A463" s="4">
        <v>45981.0</v>
      </c>
      <c r="B463" s="2" t="s">
        <v>407</v>
      </c>
      <c r="C463" s="2" t="s">
        <v>703</v>
      </c>
      <c r="D463" s="2" t="s">
        <v>159</v>
      </c>
      <c r="E463" s="2">
        <v>0.0</v>
      </c>
      <c r="F463" s="2">
        <v>20.0</v>
      </c>
      <c r="G463" s="2">
        <v>20.0</v>
      </c>
      <c r="H463" s="8">
        <f t="shared" si="5"/>
        <v>0</v>
      </c>
      <c r="I463" s="2" t="b">
        <v>1</v>
      </c>
      <c r="J463" s="2" t="s">
        <v>160</v>
      </c>
      <c r="K463" s="12">
        <f t="shared" si="2"/>
        <v>45996</v>
      </c>
      <c r="L463" s="12">
        <f t="shared" si="3"/>
        <v>46011</v>
      </c>
    </row>
    <row r="464" ht="15.75" hidden="1" customHeight="1">
      <c r="A464" s="4">
        <v>45924.0</v>
      </c>
      <c r="B464" s="2" t="s">
        <v>176</v>
      </c>
      <c r="C464" s="2" t="s">
        <v>704</v>
      </c>
      <c r="D464" s="2" t="s">
        <v>159</v>
      </c>
      <c r="E464" s="2">
        <v>0.0</v>
      </c>
      <c r="F464" s="2">
        <v>35.0</v>
      </c>
      <c r="G464" s="2">
        <v>35.0</v>
      </c>
      <c r="H464" s="8">
        <f t="shared" si="5"/>
        <v>0</v>
      </c>
      <c r="I464" s="2" t="b">
        <v>1</v>
      </c>
      <c r="J464" s="2" t="s">
        <v>160</v>
      </c>
      <c r="K464" s="12">
        <f t="shared" si="2"/>
        <v>45939</v>
      </c>
      <c r="L464" s="12">
        <f t="shared" si="3"/>
        <v>45954</v>
      </c>
    </row>
    <row r="465" ht="15.75" hidden="1" customHeight="1">
      <c r="A465" s="4">
        <v>45924.0</v>
      </c>
      <c r="B465" s="2" t="s">
        <v>176</v>
      </c>
      <c r="C465" s="2" t="s">
        <v>705</v>
      </c>
      <c r="D465" s="2" t="s">
        <v>159</v>
      </c>
      <c r="E465" s="2">
        <v>0.0</v>
      </c>
      <c r="F465" s="2">
        <v>20.0</v>
      </c>
      <c r="G465" s="2">
        <v>20.0</v>
      </c>
      <c r="H465" s="8">
        <f t="shared" si="5"/>
        <v>0</v>
      </c>
      <c r="I465" s="2" t="b">
        <v>1</v>
      </c>
      <c r="J465" s="2" t="s">
        <v>160</v>
      </c>
      <c r="K465" s="12">
        <f t="shared" si="2"/>
        <v>45939</v>
      </c>
      <c r="L465" s="12">
        <f t="shared" si="3"/>
        <v>45954</v>
      </c>
    </row>
    <row r="466" ht="15.75" hidden="1" customHeight="1">
      <c r="A466" s="4">
        <v>46003.0</v>
      </c>
      <c r="B466" s="2" t="s">
        <v>566</v>
      </c>
      <c r="C466" s="2" t="s">
        <v>706</v>
      </c>
      <c r="D466" s="2" t="s">
        <v>159</v>
      </c>
      <c r="E466" s="2">
        <v>0.0</v>
      </c>
      <c r="F466" s="2">
        <v>50.0</v>
      </c>
      <c r="G466" s="2">
        <v>0.0</v>
      </c>
      <c r="H466" s="8">
        <f t="shared" si="5"/>
        <v>50</v>
      </c>
      <c r="I466" s="8" t="b">
        <v>0</v>
      </c>
      <c r="J466" s="2" t="s">
        <v>160</v>
      </c>
      <c r="K466" s="12">
        <f t="shared" si="2"/>
        <v>46018</v>
      </c>
      <c r="L466" s="12">
        <f t="shared" si="3"/>
        <v>46033</v>
      </c>
    </row>
    <row r="467" ht="15.75" hidden="1" customHeight="1">
      <c r="A467" s="4">
        <v>45945.0</v>
      </c>
      <c r="B467" s="2" t="s">
        <v>238</v>
      </c>
      <c r="C467" s="2" t="s">
        <v>707</v>
      </c>
      <c r="D467" s="2" t="s">
        <v>159</v>
      </c>
      <c r="E467" s="2">
        <v>0.0</v>
      </c>
      <c r="F467" s="2">
        <v>20.0</v>
      </c>
      <c r="G467" s="2">
        <v>20.0</v>
      </c>
      <c r="H467" s="8">
        <f t="shared" si="5"/>
        <v>0</v>
      </c>
      <c r="I467" s="2" t="b">
        <v>1</v>
      </c>
      <c r="J467" s="2" t="s">
        <v>160</v>
      </c>
      <c r="K467" s="12">
        <f t="shared" si="2"/>
        <v>45960</v>
      </c>
      <c r="L467" s="12">
        <f t="shared" si="3"/>
        <v>45975</v>
      </c>
    </row>
    <row r="468" ht="15.75" hidden="1" customHeight="1">
      <c r="A468" s="4">
        <v>46003.0</v>
      </c>
      <c r="B468" s="2" t="s">
        <v>566</v>
      </c>
      <c r="C468" s="256" t="s">
        <v>708</v>
      </c>
      <c r="D468" s="2" t="s">
        <v>159</v>
      </c>
      <c r="E468" s="2">
        <v>0.0</v>
      </c>
      <c r="F468" s="2">
        <v>60.0</v>
      </c>
      <c r="G468" s="2">
        <v>0.0</v>
      </c>
      <c r="H468" s="8">
        <f t="shared" si="5"/>
        <v>60</v>
      </c>
      <c r="I468" s="8" t="b">
        <v>0</v>
      </c>
      <c r="J468" s="2" t="s">
        <v>160</v>
      </c>
      <c r="K468" s="12">
        <f t="shared" si="2"/>
        <v>46018</v>
      </c>
      <c r="L468" s="12">
        <f t="shared" si="3"/>
        <v>46033</v>
      </c>
    </row>
    <row r="469" ht="15.75" hidden="1" customHeight="1">
      <c r="A469" s="4">
        <v>46012.0</v>
      </c>
      <c r="B469" s="2" t="s">
        <v>566</v>
      </c>
      <c r="C469" s="2" t="s">
        <v>709</v>
      </c>
      <c r="D469" s="2" t="s">
        <v>159</v>
      </c>
      <c r="E469" s="2">
        <v>0.0</v>
      </c>
      <c r="F469" s="2">
        <v>280.0</v>
      </c>
      <c r="G469" s="2">
        <v>0.0</v>
      </c>
      <c r="H469" s="8">
        <f t="shared" si="5"/>
        <v>280</v>
      </c>
      <c r="I469" s="8" t="b">
        <v>0</v>
      </c>
      <c r="J469" s="2" t="s">
        <v>160</v>
      </c>
      <c r="K469" s="12">
        <f t="shared" si="2"/>
        <v>46027</v>
      </c>
      <c r="L469" s="12">
        <f t="shared" si="3"/>
        <v>46042</v>
      </c>
    </row>
    <row r="470" ht="15.75" hidden="1" customHeight="1">
      <c r="A470" s="4">
        <v>45931.0</v>
      </c>
      <c r="B470" s="2" t="s">
        <v>238</v>
      </c>
      <c r="C470" s="2" t="s">
        <v>710</v>
      </c>
      <c r="D470" s="2" t="s">
        <v>159</v>
      </c>
      <c r="E470" s="2">
        <v>0.0</v>
      </c>
      <c r="F470" s="2">
        <v>30.0</v>
      </c>
      <c r="G470" s="2">
        <v>30.0</v>
      </c>
      <c r="H470" s="8">
        <f t="shared" si="5"/>
        <v>0</v>
      </c>
      <c r="I470" s="2" t="b">
        <v>1</v>
      </c>
      <c r="J470" s="2" t="s">
        <v>160</v>
      </c>
      <c r="K470" s="12">
        <f t="shared" si="2"/>
        <v>45946</v>
      </c>
      <c r="L470" s="12">
        <f t="shared" si="3"/>
        <v>45961</v>
      </c>
    </row>
    <row r="471" ht="15.75" hidden="1" customHeight="1">
      <c r="A471" s="4">
        <v>45933.0</v>
      </c>
      <c r="B471" s="2" t="s">
        <v>210</v>
      </c>
      <c r="C471" s="2" t="s">
        <v>711</v>
      </c>
      <c r="D471" s="2" t="s">
        <v>159</v>
      </c>
      <c r="E471" s="2"/>
      <c r="F471" s="2">
        <v>40.0</v>
      </c>
      <c r="G471" s="2">
        <v>40.0</v>
      </c>
      <c r="H471" s="8">
        <f t="shared" si="5"/>
        <v>0</v>
      </c>
      <c r="I471" s="2" t="b">
        <v>1</v>
      </c>
      <c r="J471" s="2" t="s">
        <v>160</v>
      </c>
      <c r="K471" s="12">
        <f t="shared" si="2"/>
        <v>45948</v>
      </c>
      <c r="L471" s="12">
        <f t="shared" si="3"/>
        <v>45963</v>
      </c>
    </row>
    <row r="472" ht="15.75" hidden="1" customHeight="1">
      <c r="A472" s="4">
        <v>45917.0</v>
      </c>
      <c r="B472" s="2" t="s">
        <v>176</v>
      </c>
      <c r="C472" s="2" t="s">
        <v>712</v>
      </c>
      <c r="D472" s="2" t="s">
        <v>159</v>
      </c>
      <c r="E472" s="2">
        <v>0.0</v>
      </c>
      <c r="F472" s="2">
        <v>45.0</v>
      </c>
      <c r="G472" s="2">
        <v>45.0</v>
      </c>
      <c r="H472" s="8">
        <f t="shared" si="5"/>
        <v>0</v>
      </c>
      <c r="I472" s="2" t="b">
        <v>1</v>
      </c>
      <c r="J472" s="2" t="s">
        <v>160</v>
      </c>
      <c r="K472" s="12">
        <f t="shared" si="2"/>
        <v>45932</v>
      </c>
      <c r="L472" s="12">
        <f t="shared" si="3"/>
        <v>45947</v>
      </c>
    </row>
    <row r="473" ht="15.75" hidden="1" customHeight="1">
      <c r="A473" s="4">
        <v>46012.0</v>
      </c>
      <c r="B473" s="2" t="s">
        <v>566</v>
      </c>
      <c r="C473" s="2" t="s">
        <v>713</v>
      </c>
      <c r="D473" s="2" t="s">
        <v>159</v>
      </c>
      <c r="E473" s="2">
        <v>0.0</v>
      </c>
      <c r="F473" s="2">
        <v>110.0</v>
      </c>
      <c r="G473" s="2">
        <v>0.0</v>
      </c>
      <c r="H473" s="8">
        <f t="shared" si="5"/>
        <v>110</v>
      </c>
      <c r="I473" s="8" t="b">
        <v>0</v>
      </c>
      <c r="J473" s="2" t="s">
        <v>160</v>
      </c>
      <c r="K473" s="12">
        <f t="shared" si="2"/>
        <v>46027</v>
      </c>
      <c r="L473" s="12">
        <f t="shared" si="3"/>
        <v>46042</v>
      </c>
    </row>
    <row r="474" ht="15.75" hidden="1" customHeight="1">
      <c r="A474" s="4">
        <v>45947.0</v>
      </c>
      <c r="B474" s="2" t="s">
        <v>714</v>
      </c>
      <c r="C474" s="2" t="s">
        <v>715</v>
      </c>
      <c r="D474" s="2" t="s">
        <v>159</v>
      </c>
      <c r="E474" s="2">
        <v>0.0</v>
      </c>
      <c r="F474" s="2">
        <v>1.0</v>
      </c>
      <c r="G474" s="2">
        <v>1.0</v>
      </c>
      <c r="H474" s="8">
        <f t="shared" si="5"/>
        <v>0</v>
      </c>
      <c r="I474" s="2" t="b">
        <v>1</v>
      </c>
      <c r="J474" s="2" t="s">
        <v>160</v>
      </c>
      <c r="K474" s="12">
        <f t="shared" si="2"/>
        <v>45962</v>
      </c>
      <c r="L474" s="12">
        <f t="shared" si="3"/>
        <v>45977</v>
      </c>
    </row>
    <row r="475" ht="15.75" hidden="1" customHeight="1">
      <c r="A475" s="4">
        <v>46012.0</v>
      </c>
      <c r="B475" s="2" t="s">
        <v>566</v>
      </c>
      <c r="C475" s="2" t="s">
        <v>716</v>
      </c>
      <c r="D475" s="2" t="s">
        <v>159</v>
      </c>
      <c r="E475" s="2">
        <v>0.0</v>
      </c>
      <c r="F475" s="2">
        <v>95.0</v>
      </c>
      <c r="G475" s="2">
        <v>0.0</v>
      </c>
      <c r="H475" s="8">
        <f t="shared" si="5"/>
        <v>95</v>
      </c>
      <c r="I475" s="8" t="b">
        <v>0</v>
      </c>
      <c r="J475" s="2" t="s">
        <v>160</v>
      </c>
      <c r="K475" s="12">
        <f t="shared" si="2"/>
        <v>46027</v>
      </c>
      <c r="L475" s="12">
        <f t="shared" si="3"/>
        <v>46042</v>
      </c>
    </row>
    <row r="476" ht="15.75" hidden="1" customHeight="1">
      <c r="A476" s="4">
        <v>45939.0</v>
      </c>
      <c r="B476" s="2" t="s">
        <v>131</v>
      </c>
      <c r="C476" s="2" t="s">
        <v>717</v>
      </c>
      <c r="D476" s="2" t="s">
        <v>159</v>
      </c>
      <c r="E476" s="2">
        <v>0.0</v>
      </c>
      <c r="F476" s="2">
        <v>45.0</v>
      </c>
      <c r="G476" s="2">
        <v>45.0</v>
      </c>
      <c r="H476" s="8">
        <f t="shared" si="5"/>
        <v>0</v>
      </c>
      <c r="I476" s="2" t="b">
        <v>1</v>
      </c>
      <c r="J476" s="2" t="s">
        <v>160</v>
      </c>
      <c r="K476" s="12">
        <f t="shared" si="2"/>
        <v>45954</v>
      </c>
      <c r="L476" s="12">
        <f t="shared" si="3"/>
        <v>45969</v>
      </c>
    </row>
    <row r="477" ht="15.75" hidden="1" customHeight="1">
      <c r="A477" s="4">
        <v>46012.0</v>
      </c>
      <c r="B477" s="2" t="s">
        <v>566</v>
      </c>
      <c r="C477" s="2" t="s">
        <v>718</v>
      </c>
      <c r="D477" s="2" t="s">
        <v>159</v>
      </c>
      <c r="E477" s="2">
        <v>0.0</v>
      </c>
      <c r="F477" s="2">
        <v>50.0</v>
      </c>
      <c r="G477" s="2">
        <v>0.0</v>
      </c>
      <c r="H477" s="8">
        <f t="shared" si="5"/>
        <v>50</v>
      </c>
      <c r="I477" s="8" t="b">
        <v>0</v>
      </c>
      <c r="J477" s="2" t="s">
        <v>160</v>
      </c>
      <c r="K477" s="12">
        <f t="shared" si="2"/>
        <v>46027</v>
      </c>
      <c r="L477" s="12">
        <f t="shared" si="3"/>
        <v>46042</v>
      </c>
    </row>
    <row r="478" ht="15.75" hidden="1" customHeight="1">
      <c r="A478" s="4">
        <v>45959.0</v>
      </c>
      <c r="B478" s="2" t="s">
        <v>342</v>
      </c>
      <c r="C478" s="2" t="s">
        <v>719</v>
      </c>
      <c r="D478" s="2" t="s">
        <v>159</v>
      </c>
      <c r="E478" s="2">
        <v>0.0</v>
      </c>
      <c r="F478" s="2">
        <v>51.0</v>
      </c>
      <c r="G478" s="2">
        <v>51.0</v>
      </c>
      <c r="H478" s="8">
        <f t="shared" si="5"/>
        <v>0</v>
      </c>
      <c r="I478" s="2" t="b">
        <v>1</v>
      </c>
      <c r="J478" s="2" t="s">
        <v>160</v>
      </c>
      <c r="K478" s="12">
        <f t="shared" si="2"/>
        <v>45974</v>
      </c>
      <c r="L478" s="12">
        <f t="shared" si="3"/>
        <v>45989</v>
      </c>
    </row>
    <row r="479" ht="15.75" hidden="1" customHeight="1">
      <c r="A479" s="4">
        <v>45932.0</v>
      </c>
      <c r="B479" s="2" t="s">
        <v>720</v>
      </c>
      <c r="C479" s="2" t="s">
        <v>721</v>
      </c>
      <c r="D479" s="2" t="s">
        <v>159</v>
      </c>
      <c r="E479" s="2"/>
      <c r="F479" s="2">
        <v>25.0</v>
      </c>
      <c r="G479" s="2">
        <v>25.0</v>
      </c>
      <c r="H479" s="8">
        <f t="shared" si="5"/>
        <v>0</v>
      </c>
      <c r="I479" s="2" t="b">
        <v>1</v>
      </c>
      <c r="J479" s="2" t="s">
        <v>160</v>
      </c>
      <c r="K479" s="12">
        <f t="shared" si="2"/>
        <v>45947</v>
      </c>
      <c r="L479" s="12">
        <f t="shared" si="3"/>
        <v>45962</v>
      </c>
    </row>
    <row r="480" ht="15.75" hidden="1" customHeight="1">
      <c r="A480" s="4">
        <v>46012.0</v>
      </c>
      <c r="B480" s="2" t="s">
        <v>566</v>
      </c>
      <c r="C480" s="2" t="s">
        <v>722</v>
      </c>
      <c r="D480" s="2" t="s">
        <v>159</v>
      </c>
      <c r="E480" s="2">
        <v>0.0</v>
      </c>
      <c r="F480" s="2">
        <v>120.0</v>
      </c>
      <c r="G480" s="2">
        <v>0.0</v>
      </c>
      <c r="H480" s="8">
        <f t="shared" si="5"/>
        <v>120</v>
      </c>
      <c r="I480" s="8" t="b">
        <v>0</v>
      </c>
      <c r="J480" s="2" t="s">
        <v>160</v>
      </c>
      <c r="K480" s="12">
        <f t="shared" si="2"/>
        <v>46027</v>
      </c>
      <c r="L480" s="12">
        <f t="shared" si="3"/>
        <v>46042</v>
      </c>
    </row>
    <row r="481" ht="15.75" hidden="1" customHeight="1">
      <c r="A481" s="4">
        <v>45984.0</v>
      </c>
      <c r="B481" s="2" t="s">
        <v>180</v>
      </c>
      <c r="C481" s="2" t="s">
        <v>723</v>
      </c>
      <c r="D481" s="2" t="s">
        <v>159</v>
      </c>
      <c r="E481" s="2">
        <v>0.0</v>
      </c>
      <c r="F481" s="2">
        <v>10.0</v>
      </c>
      <c r="G481" s="2">
        <v>10.0</v>
      </c>
      <c r="H481" s="8">
        <f t="shared" si="5"/>
        <v>0</v>
      </c>
      <c r="I481" s="2" t="b">
        <v>1</v>
      </c>
      <c r="J481" s="2" t="s">
        <v>160</v>
      </c>
      <c r="K481" s="12">
        <f t="shared" si="2"/>
        <v>45999</v>
      </c>
      <c r="L481" s="12">
        <f t="shared" si="3"/>
        <v>46014</v>
      </c>
    </row>
    <row r="482" ht="15.75" hidden="1" customHeight="1">
      <c r="A482" s="4">
        <v>45981.0</v>
      </c>
      <c r="B482" s="2" t="s">
        <v>210</v>
      </c>
      <c r="C482" s="2" t="s">
        <v>724</v>
      </c>
      <c r="D482" s="2" t="s">
        <v>159</v>
      </c>
      <c r="E482" s="2">
        <v>0.0</v>
      </c>
      <c r="F482" s="2">
        <v>20.0</v>
      </c>
      <c r="G482" s="2">
        <v>20.0</v>
      </c>
      <c r="H482" s="8">
        <f t="shared" si="5"/>
        <v>0</v>
      </c>
      <c r="I482" s="2" t="b">
        <v>1</v>
      </c>
      <c r="J482" s="2" t="s">
        <v>160</v>
      </c>
      <c r="K482" s="12">
        <f t="shared" si="2"/>
        <v>45996</v>
      </c>
      <c r="L482" s="12">
        <f t="shared" si="3"/>
        <v>46011</v>
      </c>
    </row>
    <row r="483" ht="15.75" hidden="1" customHeight="1">
      <c r="A483" s="4">
        <v>45975.0</v>
      </c>
      <c r="B483" s="2" t="s">
        <v>471</v>
      </c>
      <c r="C483" s="2" t="s">
        <v>725</v>
      </c>
      <c r="D483" s="2" t="s">
        <v>159</v>
      </c>
      <c r="E483" s="2">
        <v>0.0</v>
      </c>
      <c r="F483" s="2">
        <v>18.0</v>
      </c>
      <c r="G483" s="2">
        <v>18.0</v>
      </c>
      <c r="H483" s="8">
        <f t="shared" si="5"/>
        <v>0</v>
      </c>
      <c r="I483" s="2" t="b">
        <v>1</v>
      </c>
      <c r="J483" s="2" t="s">
        <v>160</v>
      </c>
      <c r="K483" s="12">
        <f t="shared" si="2"/>
        <v>45990</v>
      </c>
      <c r="L483" s="12">
        <f t="shared" si="3"/>
        <v>46005</v>
      </c>
    </row>
    <row r="484" ht="15.75" hidden="1" customHeight="1">
      <c r="A484" s="4">
        <v>46016.0</v>
      </c>
      <c r="B484" s="2" t="s">
        <v>566</v>
      </c>
      <c r="C484" s="2" t="s">
        <v>726</v>
      </c>
      <c r="D484" s="2" t="s">
        <v>727</v>
      </c>
      <c r="E484" s="2">
        <v>0.0</v>
      </c>
      <c r="F484" s="2">
        <v>25.0</v>
      </c>
      <c r="G484" s="2">
        <v>0.0</v>
      </c>
      <c r="H484" s="8">
        <f t="shared" si="5"/>
        <v>25</v>
      </c>
      <c r="I484" s="8" t="b">
        <v>0</v>
      </c>
      <c r="J484" s="2" t="s">
        <v>160</v>
      </c>
      <c r="K484" s="12">
        <f t="shared" si="2"/>
        <v>46031</v>
      </c>
      <c r="L484" s="12">
        <f t="shared" si="3"/>
        <v>46046</v>
      </c>
    </row>
    <row r="485" ht="15.75" hidden="1" customHeight="1">
      <c r="A485" s="4">
        <v>46017.0</v>
      </c>
      <c r="B485" s="2" t="s">
        <v>566</v>
      </c>
      <c r="C485" s="2" t="s">
        <v>728</v>
      </c>
      <c r="D485" s="2" t="s">
        <v>159</v>
      </c>
      <c r="E485" s="2">
        <v>0.0</v>
      </c>
      <c r="F485" s="2">
        <v>447.0</v>
      </c>
      <c r="G485" s="2">
        <v>0.0</v>
      </c>
      <c r="H485" s="8">
        <f t="shared" si="5"/>
        <v>447</v>
      </c>
      <c r="I485" s="8" t="b">
        <v>0</v>
      </c>
      <c r="J485" s="2" t="s">
        <v>160</v>
      </c>
      <c r="K485" s="12">
        <f t="shared" si="2"/>
        <v>46032</v>
      </c>
      <c r="L485" s="12">
        <f t="shared" si="3"/>
        <v>46047</v>
      </c>
    </row>
    <row r="486" ht="15.75" hidden="1" customHeight="1">
      <c r="A486" s="4">
        <v>45977.0</v>
      </c>
      <c r="B486" s="2" t="s">
        <v>243</v>
      </c>
      <c r="C486" s="2" t="s">
        <v>729</v>
      </c>
      <c r="D486" s="2" t="s">
        <v>163</v>
      </c>
      <c r="E486" s="2">
        <v>248.0</v>
      </c>
      <c r="F486" s="2">
        <v>75.0</v>
      </c>
      <c r="G486" s="2">
        <v>75.0</v>
      </c>
      <c r="H486" s="8">
        <f t="shared" si="5"/>
        <v>0</v>
      </c>
      <c r="I486" s="8" t="b">
        <v>0</v>
      </c>
      <c r="J486" s="2" t="s">
        <v>164</v>
      </c>
      <c r="K486" s="12">
        <f t="shared" si="2"/>
        <v>45992</v>
      </c>
      <c r="L486" s="12">
        <f t="shared" si="3"/>
        <v>46007</v>
      </c>
    </row>
    <row r="487" ht="15.75" hidden="1" customHeight="1">
      <c r="A487" s="4">
        <v>45954.0</v>
      </c>
      <c r="B487" s="2" t="s">
        <v>123</v>
      </c>
      <c r="C487" s="2" t="s">
        <v>730</v>
      </c>
      <c r="D487" s="2" t="s">
        <v>115</v>
      </c>
      <c r="E487" s="2">
        <v>185.0</v>
      </c>
      <c r="F487" s="2">
        <v>60.0</v>
      </c>
      <c r="G487" s="2">
        <v>60.0</v>
      </c>
      <c r="H487" s="8">
        <f t="shared" si="5"/>
        <v>0</v>
      </c>
      <c r="I487" s="2" t="b">
        <v>1</v>
      </c>
      <c r="J487" s="2" t="s">
        <v>160</v>
      </c>
      <c r="K487" s="12">
        <f t="shared" si="2"/>
        <v>45969</v>
      </c>
      <c r="L487" s="12">
        <f t="shared" si="3"/>
        <v>45984</v>
      </c>
    </row>
    <row r="488" ht="15.75" hidden="1" customHeight="1">
      <c r="A488" s="4">
        <v>45924.0</v>
      </c>
      <c r="B488" s="2" t="s">
        <v>176</v>
      </c>
      <c r="C488" s="2" t="s">
        <v>731</v>
      </c>
      <c r="D488" s="2" t="s">
        <v>159</v>
      </c>
      <c r="E488" s="2">
        <v>0.0</v>
      </c>
      <c r="F488" s="2">
        <v>50.0</v>
      </c>
      <c r="G488" s="2">
        <v>50.0</v>
      </c>
      <c r="H488" s="8">
        <f t="shared" si="5"/>
        <v>0</v>
      </c>
      <c r="I488" s="2" t="b">
        <v>1</v>
      </c>
      <c r="J488" s="2" t="s">
        <v>160</v>
      </c>
      <c r="K488" s="12">
        <f t="shared" si="2"/>
        <v>45939</v>
      </c>
      <c r="L488" s="12">
        <f t="shared" si="3"/>
        <v>45954</v>
      </c>
    </row>
    <row r="489" ht="15.75" hidden="1" customHeight="1">
      <c r="A489" s="4">
        <v>46001.0</v>
      </c>
      <c r="B489" s="2" t="s">
        <v>226</v>
      </c>
      <c r="C489" s="2" t="s">
        <v>732</v>
      </c>
      <c r="D489" s="2" t="s">
        <v>159</v>
      </c>
      <c r="E489" s="2">
        <v>0.0</v>
      </c>
      <c r="F489" s="2">
        <v>45.0</v>
      </c>
      <c r="G489" s="2">
        <v>45.0</v>
      </c>
      <c r="H489" s="8">
        <f t="shared" si="5"/>
        <v>0</v>
      </c>
      <c r="I489" s="2" t="b">
        <v>1</v>
      </c>
      <c r="J489" s="2" t="s">
        <v>160</v>
      </c>
      <c r="K489" s="12">
        <f t="shared" si="2"/>
        <v>46016</v>
      </c>
      <c r="L489" s="12">
        <f t="shared" si="3"/>
        <v>46031</v>
      </c>
    </row>
    <row r="490" ht="15.75" hidden="1" customHeight="1">
      <c r="A490" s="4">
        <v>45927.0</v>
      </c>
      <c r="B490" s="2" t="s">
        <v>733</v>
      </c>
      <c r="C490" s="2" t="s">
        <v>734</v>
      </c>
      <c r="D490" s="2" t="s">
        <v>159</v>
      </c>
      <c r="E490" s="2"/>
      <c r="F490" s="2">
        <v>55.0</v>
      </c>
      <c r="G490" s="2">
        <v>55.0</v>
      </c>
      <c r="H490" s="8">
        <f t="shared" si="5"/>
        <v>0</v>
      </c>
      <c r="I490" s="2" t="b">
        <v>1</v>
      </c>
      <c r="J490" s="2" t="s">
        <v>160</v>
      </c>
      <c r="K490" s="12">
        <f t="shared" si="2"/>
        <v>45942</v>
      </c>
      <c r="L490" s="12">
        <f t="shared" si="3"/>
        <v>45957</v>
      </c>
    </row>
    <row r="491" ht="15.75" hidden="1" customHeight="1">
      <c r="A491" s="4">
        <v>45925.0</v>
      </c>
      <c r="B491" s="2" t="s">
        <v>735</v>
      </c>
      <c r="C491" s="2" t="s">
        <v>736</v>
      </c>
      <c r="D491" s="2" t="s">
        <v>159</v>
      </c>
      <c r="E491" s="2"/>
      <c r="F491" s="2">
        <v>55.0</v>
      </c>
      <c r="G491" s="2">
        <v>55.0</v>
      </c>
      <c r="H491" s="8">
        <f t="shared" si="5"/>
        <v>0</v>
      </c>
      <c r="I491" s="2" t="b">
        <v>1</v>
      </c>
      <c r="J491" s="2" t="s">
        <v>160</v>
      </c>
      <c r="K491" s="12">
        <f t="shared" si="2"/>
        <v>45940</v>
      </c>
      <c r="L491" s="12">
        <f t="shared" si="3"/>
        <v>45955</v>
      </c>
    </row>
    <row r="492" ht="15.75" hidden="1" customHeight="1">
      <c r="A492" s="4">
        <v>45925.0</v>
      </c>
      <c r="B492" s="2" t="s">
        <v>735</v>
      </c>
      <c r="C492" s="2" t="s">
        <v>737</v>
      </c>
      <c r="D492" s="2" t="s">
        <v>159</v>
      </c>
      <c r="E492" s="2"/>
      <c r="F492" s="2">
        <v>45.0</v>
      </c>
      <c r="G492" s="2">
        <v>45.0</v>
      </c>
      <c r="H492" s="8">
        <f t="shared" si="5"/>
        <v>0</v>
      </c>
      <c r="I492" s="2" t="b">
        <v>1</v>
      </c>
      <c r="J492" s="2" t="s">
        <v>160</v>
      </c>
      <c r="K492" s="12">
        <f t="shared" si="2"/>
        <v>45940</v>
      </c>
      <c r="L492" s="12">
        <f t="shared" si="3"/>
        <v>45955</v>
      </c>
    </row>
    <row r="493" ht="15.75" hidden="1" customHeight="1">
      <c r="A493" s="4">
        <v>45980.0</v>
      </c>
      <c r="B493" s="2" t="s">
        <v>673</v>
      </c>
      <c r="C493" s="2" t="s">
        <v>738</v>
      </c>
      <c r="D493" s="2" t="s">
        <v>159</v>
      </c>
      <c r="E493" s="2">
        <v>0.0</v>
      </c>
      <c r="F493" s="2">
        <v>45.0</v>
      </c>
      <c r="G493" s="2">
        <v>45.0</v>
      </c>
      <c r="H493" s="8">
        <f t="shared" si="5"/>
        <v>0</v>
      </c>
      <c r="I493" s="2" t="b">
        <v>1</v>
      </c>
      <c r="J493" s="2" t="s">
        <v>160</v>
      </c>
      <c r="K493" s="12">
        <f t="shared" si="2"/>
        <v>45995</v>
      </c>
      <c r="L493" s="12">
        <f t="shared" si="3"/>
        <v>46010</v>
      </c>
    </row>
    <row r="494" ht="15.75" hidden="1" customHeight="1">
      <c r="A494" s="4">
        <v>45929.0</v>
      </c>
      <c r="B494" s="2" t="s">
        <v>298</v>
      </c>
      <c r="C494" s="2" t="s">
        <v>739</v>
      </c>
      <c r="D494" s="2" t="s">
        <v>113</v>
      </c>
      <c r="E494" s="2">
        <v>0.0</v>
      </c>
      <c r="F494" s="2">
        <v>140.0</v>
      </c>
      <c r="G494" s="2">
        <v>140.0</v>
      </c>
      <c r="H494" s="8">
        <f t="shared" si="5"/>
        <v>0</v>
      </c>
      <c r="I494" s="2" t="b">
        <v>1</v>
      </c>
      <c r="J494" s="2" t="s">
        <v>160</v>
      </c>
      <c r="K494" s="12">
        <f t="shared" si="2"/>
        <v>45944</v>
      </c>
      <c r="L494" s="12">
        <f t="shared" si="3"/>
        <v>45959</v>
      </c>
    </row>
    <row r="495" ht="15.75" hidden="1" customHeight="1">
      <c r="A495" s="4">
        <v>45969.0</v>
      </c>
      <c r="B495" s="2" t="s">
        <v>407</v>
      </c>
      <c r="C495" s="2" t="s">
        <v>740</v>
      </c>
      <c r="D495" s="2" t="s">
        <v>159</v>
      </c>
      <c r="E495" s="2">
        <v>0.0</v>
      </c>
      <c r="F495" s="2">
        <v>40.0</v>
      </c>
      <c r="G495" s="2">
        <v>40.0</v>
      </c>
      <c r="H495" s="8">
        <f t="shared" si="5"/>
        <v>0</v>
      </c>
      <c r="I495" s="2" t="b">
        <v>1</v>
      </c>
      <c r="J495" s="2" t="s">
        <v>160</v>
      </c>
      <c r="K495" s="12">
        <f t="shared" si="2"/>
        <v>45984</v>
      </c>
      <c r="L495" s="12">
        <f t="shared" si="3"/>
        <v>45999</v>
      </c>
    </row>
    <row r="496" ht="15.75" hidden="1" customHeight="1">
      <c r="A496" s="12"/>
      <c r="G496" s="8"/>
      <c r="I496" s="8" t="b">
        <v>0</v>
      </c>
      <c r="J496" s="2" t="s">
        <v>160</v>
      </c>
      <c r="K496" s="12">
        <f t="shared" si="2"/>
        <v>15</v>
      </c>
      <c r="L496" s="12">
        <f t="shared" si="3"/>
        <v>30</v>
      </c>
    </row>
    <row r="497" ht="15.75" hidden="1" customHeight="1">
      <c r="A497" s="12"/>
      <c r="G497" s="8"/>
      <c r="I497" s="8" t="b">
        <v>0</v>
      </c>
      <c r="J497" s="2" t="s">
        <v>160</v>
      </c>
      <c r="K497" s="12">
        <f t="shared" si="2"/>
        <v>15</v>
      </c>
      <c r="L497" s="12">
        <f t="shared" si="3"/>
        <v>30</v>
      </c>
    </row>
    <row r="498" ht="15.75" hidden="1" customHeight="1">
      <c r="A498" s="12"/>
      <c r="G498" s="8"/>
      <c r="I498" s="8" t="b">
        <v>0</v>
      </c>
      <c r="J498" s="2" t="s">
        <v>160</v>
      </c>
      <c r="K498" s="12">
        <f t="shared" si="2"/>
        <v>15</v>
      </c>
      <c r="L498" s="12">
        <f t="shared" si="3"/>
        <v>30</v>
      </c>
    </row>
    <row r="499" ht="15.75" hidden="1" customHeight="1">
      <c r="A499" s="12"/>
      <c r="G499" s="8"/>
      <c r="I499" s="8" t="b">
        <v>0</v>
      </c>
      <c r="J499" s="2" t="s">
        <v>160</v>
      </c>
      <c r="K499" s="12">
        <f t="shared" si="2"/>
        <v>15</v>
      </c>
      <c r="L499" s="12">
        <f t="shared" si="3"/>
        <v>30</v>
      </c>
    </row>
    <row r="500" ht="15.75" hidden="1" customHeight="1">
      <c r="A500" s="12"/>
      <c r="G500" s="8"/>
      <c r="I500" s="8" t="b">
        <v>0</v>
      </c>
      <c r="J500" s="2" t="s">
        <v>160</v>
      </c>
      <c r="K500" s="12">
        <f t="shared" si="2"/>
        <v>15</v>
      </c>
      <c r="L500" s="12">
        <f t="shared" si="3"/>
        <v>30</v>
      </c>
    </row>
    <row r="501" ht="15.75" hidden="1" customHeight="1">
      <c r="A501" s="12"/>
      <c r="G501" s="8"/>
      <c r="I501" s="8" t="b">
        <v>0</v>
      </c>
      <c r="J501" s="2" t="s">
        <v>160</v>
      </c>
      <c r="K501" s="12">
        <f t="shared" si="2"/>
        <v>15</v>
      </c>
      <c r="L501" s="12">
        <f t="shared" si="3"/>
        <v>30</v>
      </c>
    </row>
    <row r="502" ht="15.75" hidden="1" customHeight="1">
      <c r="A502" s="12"/>
      <c r="G502" s="8"/>
      <c r="I502" s="8" t="b">
        <v>0</v>
      </c>
      <c r="J502" s="2" t="s">
        <v>160</v>
      </c>
      <c r="K502" s="12">
        <f t="shared" si="2"/>
        <v>15</v>
      </c>
      <c r="L502" s="12">
        <f t="shared" si="3"/>
        <v>30</v>
      </c>
    </row>
    <row r="503" ht="15.75" hidden="1" customHeight="1">
      <c r="A503" s="12"/>
      <c r="G503" s="8"/>
      <c r="I503" s="8" t="b">
        <v>0</v>
      </c>
      <c r="J503" s="2" t="s">
        <v>160</v>
      </c>
      <c r="K503" s="12">
        <f t="shared" si="2"/>
        <v>15</v>
      </c>
      <c r="L503" s="12">
        <f t="shared" si="3"/>
        <v>30</v>
      </c>
    </row>
    <row r="504" ht="15.75" hidden="1" customHeight="1">
      <c r="A504" s="12"/>
      <c r="G504" s="8"/>
      <c r="I504" s="8" t="b">
        <v>0</v>
      </c>
      <c r="J504" s="2" t="s">
        <v>160</v>
      </c>
      <c r="K504" s="12">
        <f t="shared" si="2"/>
        <v>15</v>
      </c>
      <c r="L504" s="12">
        <f t="shared" si="3"/>
        <v>30</v>
      </c>
    </row>
    <row r="505" ht="15.75" hidden="1" customHeight="1">
      <c r="A505" s="12"/>
      <c r="G505" s="8"/>
      <c r="I505" s="8" t="b">
        <v>0</v>
      </c>
      <c r="J505" s="2" t="s">
        <v>160</v>
      </c>
      <c r="K505" s="12">
        <f t="shared" si="2"/>
        <v>15</v>
      </c>
      <c r="L505" s="12">
        <f t="shared" si="3"/>
        <v>30</v>
      </c>
    </row>
    <row r="506" ht="15.75" hidden="1" customHeight="1">
      <c r="A506" s="12"/>
      <c r="G506" s="8"/>
      <c r="I506" s="8" t="b">
        <v>0</v>
      </c>
      <c r="J506" s="2" t="s">
        <v>160</v>
      </c>
      <c r="K506" s="12">
        <f t="shared" si="2"/>
        <v>15</v>
      </c>
      <c r="L506" s="12">
        <f t="shared" si="3"/>
        <v>30</v>
      </c>
    </row>
    <row r="507" ht="15.75" hidden="1" customHeight="1">
      <c r="A507" s="12"/>
      <c r="G507" s="8"/>
      <c r="I507" s="8" t="b">
        <v>0</v>
      </c>
      <c r="J507" s="2" t="s">
        <v>160</v>
      </c>
      <c r="K507" s="12">
        <f t="shared" si="2"/>
        <v>15</v>
      </c>
      <c r="L507" s="12">
        <f t="shared" si="3"/>
        <v>30</v>
      </c>
    </row>
    <row r="508" ht="15.75" hidden="1" customHeight="1">
      <c r="A508" s="12"/>
      <c r="G508" s="8"/>
      <c r="I508" s="8" t="b">
        <v>0</v>
      </c>
      <c r="J508" s="2" t="s">
        <v>160</v>
      </c>
      <c r="K508" s="12">
        <f t="shared" si="2"/>
        <v>15</v>
      </c>
      <c r="L508" s="12">
        <f t="shared" si="3"/>
        <v>30</v>
      </c>
    </row>
    <row r="509" ht="15.75" hidden="1" customHeight="1">
      <c r="A509" s="12"/>
      <c r="G509" s="8"/>
      <c r="I509" s="8" t="b">
        <v>0</v>
      </c>
      <c r="J509" s="2" t="s">
        <v>160</v>
      </c>
      <c r="K509" s="12">
        <f t="shared" si="2"/>
        <v>15</v>
      </c>
      <c r="L509" s="12">
        <f t="shared" si="3"/>
        <v>30</v>
      </c>
    </row>
    <row r="510" ht="15.75" hidden="1" customHeight="1">
      <c r="A510" s="12"/>
      <c r="G510" s="8"/>
      <c r="I510" s="8" t="b">
        <v>0</v>
      </c>
      <c r="J510" s="2" t="s">
        <v>160</v>
      </c>
      <c r="K510" s="12">
        <f t="shared" si="2"/>
        <v>15</v>
      </c>
      <c r="L510" s="12">
        <f t="shared" si="3"/>
        <v>30</v>
      </c>
    </row>
    <row r="511" ht="15.75" hidden="1" customHeight="1">
      <c r="A511" s="12"/>
      <c r="G511" s="8"/>
      <c r="I511" s="8" t="b">
        <v>0</v>
      </c>
      <c r="J511" s="2" t="s">
        <v>160</v>
      </c>
      <c r="K511" s="12">
        <f t="shared" si="2"/>
        <v>15</v>
      </c>
      <c r="L511" s="12">
        <f t="shared" si="3"/>
        <v>30</v>
      </c>
    </row>
    <row r="512" ht="15.75" hidden="1" customHeight="1">
      <c r="A512" s="12"/>
      <c r="G512" s="8"/>
      <c r="I512" s="8" t="b">
        <v>0</v>
      </c>
      <c r="J512" s="2" t="s">
        <v>160</v>
      </c>
      <c r="K512" s="12">
        <f t="shared" si="2"/>
        <v>15</v>
      </c>
      <c r="L512" s="12">
        <f t="shared" si="3"/>
        <v>30</v>
      </c>
    </row>
    <row r="513" ht="15.75" hidden="1" customHeight="1">
      <c r="A513" s="12"/>
      <c r="G513" s="8"/>
      <c r="I513" s="8" t="b">
        <v>0</v>
      </c>
      <c r="J513" s="2" t="s">
        <v>160</v>
      </c>
      <c r="K513" s="12">
        <f t="shared" si="2"/>
        <v>15</v>
      </c>
      <c r="L513" s="12">
        <f t="shared" si="3"/>
        <v>30</v>
      </c>
    </row>
    <row r="514" ht="15.75" hidden="1" customHeight="1">
      <c r="A514" s="12"/>
      <c r="G514" s="8"/>
      <c r="I514" s="8" t="b">
        <v>0</v>
      </c>
      <c r="J514" s="2" t="s">
        <v>160</v>
      </c>
      <c r="K514" s="12">
        <f t="shared" si="2"/>
        <v>15</v>
      </c>
      <c r="L514" s="12">
        <f t="shared" si="3"/>
        <v>30</v>
      </c>
    </row>
    <row r="515" ht="15.75" hidden="1" customHeight="1">
      <c r="A515" s="12"/>
      <c r="G515" s="8"/>
      <c r="I515" s="8" t="b">
        <v>0</v>
      </c>
      <c r="J515" s="2" t="s">
        <v>160</v>
      </c>
      <c r="K515" s="12">
        <f t="shared" si="2"/>
        <v>15</v>
      </c>
      <c r="L515" s="12">
        <f t="shared" si="3"/>
        <v>30</v>
      </c>
    </row>
    <row r="516" ht="15.75" hidden="1" customHeight="1">
      <c r="A516" s="12"/>
      <c r="G516" s="8"/>
      <c r="I516" s="8" t="b">
        <v>0</v>
      </c>
      <c r="J516" s="2" t="s">
        <v>160</v>
      </c>
      <c r="K516" s="12">
        <f t="shared" si="2"/>
        <v>15</v>
      </c>
      <c r="L516" s="12">
        <f t="shared" si="3"/>
        <v>30</v>
      </c>
    </row>
    <row r="517" ht="15.75" hidden="1" customHeight="1">
      <c r="A517" s="12"/>
      <c r="G517" s="8"/>
      <c r="I517" s="8" t="b">
        <v>0</v>
      </c>
      <c r="J517" s="2" t="s">
        <v>160</v>
      </c>
      <c r="K517" s="12">
        <f t="shared" si="2"/>
        <v>15</v>
      </c>
      <c r="L517" s="12">
        <f t="shared" si="3"/>
        <v>30</v>
      </c>
    </row>
    <row r="518" ht="15.75" hidden="1" customHeight="1">
      <c r="A518" s="12"/>
      <c r="G518" s="8"/>
      <c r="I518" s="8" t="b">
        <v>0</v>
      </c>
      <c r="J518" s="2" t="s">
        <v>160</v>
      </c>
      <c r="K518" s="12">
        <f t="shared" si="2"/>
        <v>15</v>
      </c>
      <c r="L518" s="12">
        <f t="shared" si="3"/>
        <v>30</v>
      </c>
    </row>
    <row r="519" ht="15.75" hidden="1" customHeight="1">
      <c r="A519" s="12"/>
      <c r="G519" s="8"/>
      <c r="I519" s="8" t="b">
        <v>0</v>
      </c>
      <c r="J519" s="2" t="s">
        <v>160</v>
      </c>
      <c r="K519" s="12">
        <f t="shared" si="2"/>
        <v>15</v>
      </c>
      <c r="L519" s="12">
        <f t="shared" si="3"/>
        <v>30</v>
      </c>
    </row>
    <row r="520" ht="15.75" hidden="1" customHeight="1">
      <c r="A520" s="12"/>
      <c r="G520" s="8"/>
      <c r="I520" s="8" t="b">
        <v>0</v>
      </c>
      <c r="J520" s="2" t="s">
        <v>160</v>
      </c>
      <c r="K520" s="12">
        <f t="shared" si="2"/>
        <v>15</v>
      </c>
      <c r="L520" s="12">
        <f t="shared" si="3"/>
        <v>30</v>
      </c>
    </row>
    <row r="521" ht="15.75" hidden="1" customHeight="1">
      <c r="A521" s="12"/>
      <c r="G521" s="8"/>
      <c r="I521" s="8" t="b">
        <v>0</v>
      </c>
      <c r="J521" s="2" t="s">
        <v>160</v>
      </c>
      <c r="K521" s="12">
        <f t="shared" si="2"/>
        <v>15</v>
      </c>
      <c r="L521" s="12">
        <f t="shared" si="3"/>
        <v>30</v>
      </c>
    </row>
    <row r="522" ht="15.75" hidden="1" customHeight="1">
      <c r="A522" s="12"/>
      <c r="G522" s="8"/>
      <c r="I522" s="8" t="b">
        <v>0</v>
      </c>
      <c r="J522" s="2" t="s">
        <v>160</v>
      </c>
      <c r="K522" s="12">
        <f t="shared" si="2"/>
        <v>15</v>
      </c>
      <c r="L522" s="12">
        <f t="shared" si="3"/>
        <v>30</v>
      </c>
    </row>
    <row r="523" ht="15.75" hidden="1" customHeight="1">
      <c r="A523" s="12"/>
      <c r="G523" s="8"/>
      <c r="I523" s="8" t="b">
        <v>0</v>
      </c>
      <c r="J523" s="2" t="s">
        <v>160</v>
      </c>
      <c r="K523" s="12">
        <f t="shared" si="2"/>
        <v>15</v>
      </c>
      <c r="L523" s="12">
        <f t="shared" si="3"/>
        <v>30</v>
      </c>
    </row>
    <row r="524" ht="15.75" customHeight="1">
      <c r="A524" s="12"/>
      <c r="G524" s="8"/>
    </row>
    <row r="525" ht="15.75" customHeight="1">
      <c r="A525" s="12"/>
      <c r="G525" s="8"/>
    </row>
    <row r="526" ht="15.75" customHeight="1">
      <c r="A526" s="12"/>
      <c r="G526" s="8"/>
    </row>
    <row r="527" ht="15.75" customHeight="1">
      <c r="A527" s="12"/>
      <c r="G527" s="8"/>
    </row>
    <row r="528" ht="15.75" customHeight="1">
      <c r="A528" s="12"/>
      <c r="G528" s="8"/>
    </row>
    <row r="529" ht="15.75" customHeight="1">
      <c r="A529" s="12"/>
      <c r="G529" s="8"/>
    </row>
    <row r="530" ht="15.75" customHeight="1">
      <c r="A530" s="12"/>
      <c r="G530" s="8"/>
    </row>
    <row r="531" ht="15.75" customHeight="1">
      <c r="A531" s="12"/>
      <c r="G531" s="8"/>
    </row>
    <row r="532" ht="15.75" customHeight="1">
      <c r="A532" s="12"/>
      <c r="G532" s="8"/>
    </row>
    <row r="533" ht="15.75" customHeight="1">
      <c r="A533" s="12"/>
      <c r="G533" s="8"/>
    </row>
    <row r="534" ht="15.75" customHeight="1">
      <c r="A534" s="12"/>
      <c r="G534" s="8"/>
    </row>
    <row r="535" ht="15.75" customHeight="1">
      <c r="A535" s="12"/>
      <c r="G535" s="8"/>
    </row>
    <row r="536" ht="15.75" customHeight="1">
      <c r="A536" s="12"/>
      <c r="G536" s="8"/>
    </row>
    <row r="537" ht="15.75" customHeight="1">
      <c r="A537" s="12"/>
      <c r="G537" s="8"/>
    </row>
    <row r="538" ht="15.75" customHeight="1">
      <c r="A538" s="12"/>
      <c r="G538" s="8"/>
    </row>
    <row r="539" ht="15.75" customHeight="1">
      <c r="A539" s="12"/>
      <c r="G539" s="8"/>
    </row>
    <row r="540" ht="15.75" customHeight="1">
      <c r="A540" s="12"/>
      <c r="G540" s="8"/>
    </row>
    <row r="541" ht="15.75" customHeight="1">
      <c r="A541" s="12"/>
      <c r="G541" s="8"/>
    </row>
    <row r="542" ht="15.75" customHeight="1">
      <c r="A542" s="12"/>
      <c r="G542" s="8"/>
    </row>
    <row r="543" ht="15.75" customHeight="1">
      <c r="A543" s="12"/>
      <c r="G543" s="8"/>
    </row>
    <row r="544" ht="15.75" customHeight="1">
      <c r="A544" s="12"/>
      <c r="G544" s="8"/>
    </row>
    <row r="545" ht="15.75" customHeight="1">
      <c r="A545" s="12"/>
      <c r="G545" s="8"/>
    </row>
    <row r="546" ht="15.75" customHeight="1">
      <c r="A546" s="12"/>
      <c r="G546" s="8"/>
    </row>
    <row r="547" ht="15.75" customHeight="1">
      <c r="A547" s="12"/>
      <c r="G547" s="8"/>
    </row>
    <row r="548" ht="15.75" customHeight="1">
      <c r="A548" s="12"/>
      <c r="G548" s="8"/>
    </row>
    <row r="549" ht="15.75" customHeight="1">
      <c r="A549" s="12"/>
      <c r="G549" s="8"/>
    </row>
    <row r="550" ht="15.75" customHeight="1">
      <c r="A550" s="12"/>
      <c r="G550" s="8"/>
    </row>
    <row r="551" ht="15.75" customHeight="1">
      <c r="A551" s="12"/>
      <c r="G551" s="8"/>
    </row>
    <row r="552" ht="15.75" customHeight="1">
      <c r="A552" s="12"/>
      <c r="G552" s="8"/>
    </row>
    <row r="553" ht="15.75" customHeight="1">
      <c r="A553" s="12"/>
      <c r="G553" s="8"/>
    </row>
    <row r="554" ht="15.75" customHeight="1">
      <c r="A554" s="12"/>
      <c r="G554" s="8"/>
    </row>
    <row r="555" ht="15.75" customHeight="1">
      <c r="A555" s="12"/>
      <c r="G555" s="8"/>
    </row>
    <row r="556" ht="15.75" customHeight="1">
      <c r="A556" s="12"/>
      <c r="G556" s="8"/>
    </row>
    <row r="557" ht="15.75" customHeight="1">
      <c r="A557" s="12"/>
      <c r="G557" s="8"/>
    </row>
    <row r="558" ht="15.75" customHeight="1">
      <c r="A558" s="12"/>
      <c r="G558" s="8"/>
    </row>
    <row r="559" ht="15.75" customHeight="1">
      <c r="A559" s="12"/>
      <c r="G559" s="8"/>
    </row>
    <row r="560" ht="15.75" customHeight="1">
      <c r="A560" s="12"/>
      <c r="G560" s="8"/>
    </row>
    <row r="561" ht="15.75" customHeight="1">
      <c r="A561" s="12"/>
      <c r="G561" s="8"/>
    </row>
    <row r="562" ht="15.75" customHeight="1">
      <c r="A562" s="12"/>
      <c r="G562" s="8"/>
    </row>
    <row r="563" ht="15.75" customHeight="1">
      <c r="A563" s="12"/>
      <c r="G563" s="8"/>
    </row>
    <row r="564" ht="15.75" customHeight="1">
      <c r="A564" s="12"/>
      <c r="G564" s="8"/>
    </row>
    <row r="565" ht="15.75" customHeight="1">
      <c r="A565" s="12"/>
      <c r="G565" s="8"/>
    </row>
    <row r="566" ht="15.75" customHeight="1">
      <c r="A566" s="12"/>
      <c r="G566" s="8"/>
    </row>
    <row r="567" ht="15.75" customHeight="1">
      <c r="A567" s="12"/>
      <c r="G567" s="8"/>
    </row>
    <row r="568" ht="15.75" customHeight="1">
      <c r="A568" s="12"/>
      <c r="G568" s="8"/>
    </row>
    <row r="569" ht="15.75" customHeight="1">
      <c r="A569" s="12"/>
      <c r="G569" s="8"/>
    </row>
    <row r="570" ht="15.75" customHeight="1">
      <c r="A570" s="12"/>
      <c r="G570" s="8"/>
    </row>
    <row r="571" ht="15.75" customHeight="1">
      <c r="A571" s="12"/>
      <c r="G571" s="8"/>
    </row>
    <row r="572" ht="15.75" customHeight="1">
      <c r="A572" s="12"/>
      <c r="G572" s="8"/>
    </row>
    <row r="573" ht="15.75" customHeight="1">
      <c r="A573" s="12"/>
      <c r="G573" s="8"/>
    </row>
    <row r="574" ht="15.75" customHeight="1">
      <c r="A574" s="12"/>
      <c r="G574" s="8"/>
    </row>
    <row r="575" ht="15.75" customHeight="1">
      <c r="A575" s="12"/>
      <c r="G575" s="8"/>
    </row>
    <row r="576" ht="15.75" customHeight="1">
      <c r="A576" s="12"/>
      <c r="G576" s="8"/>
    </row>
    <row r="577" ht="15.75" customHeight="1">
      <c r="A577" s="12"/>
      <c r="G577" s="8"/>
    </row>
    <row r="578" ht="15.75" customHeight="1">
      <c r="A578" s="12"/>
      <c r="G578" s="8"/>
    </row>
    <row r="579" ht="15.75" customHeight="1">
      <c r="A579" s="12"/>
      <c r="G579" s="8"/>
    </row>
    <row r="580" ht="15.75" customHeight="1">
      <c r="A580" s="12"/>
      <c r="G580" s="8"/>
    </row>
    <row r="581" ht="15.75" customHeight="1">
      <c r="A581" s="12"/>
      <c r="G581" s="8"/>
    </row>
    <row r="582" ht="15.75" customHeight="1">
      <c r="A582" s="12"/>
      <c r="G582" s="8"/>
    </row>
    <row r="583" ht="15.75" customHeight="1">
      <c r="A583" s="12"/>
      <c r="G583" s="8"/>
    </row>
    <row r="584" ht="15.75" customHeight="1">
      <c r="A584" s="12"/>
      <c r="G584" s="8"/>
    </row>
    <row r="585" ht="15.75" customHeight="1">
      <c r="A585" s="12"/>
      <c r="G585" s="8"/>
    </row>
    <row r="586" ht="15.75" customHeight="1">
      <c r="A586" s="12"/>
      <c r="G586" s="8"/>
    </row>
    <row r="587" ht="15.75" customHeight="1">
      <c r="A587" s="12"/>
      <c r="G587" s="8"/>
    </row>
    <row r="588" ht="15.75" customHeight="1">
      <c r="A588" s="12"/>
      <c r="G588" s="8"/>
    </row>
    <row r="589" ht="15.75" customHeight="1">
      <c r="A589" s="12"/>
      <c r="G589" s="8"/>
    </row>
    <row r="590" ht="15.75" customHeight="1">
      <c r="A590" s="12"/>
      <c r="G590" s="8"/>
    </row>
    <row r="591" ht="15.75" customHeight="1">
      <c r="A591" s="12"/>
      <c r="G591" s="8"/>
    </row>
    <row r="592" ht="15.75" customHeight="1">
      <c r="A592" s="12"/>
      <c r="G592" s="8"/>
    </row>
    <row r="593" ht="15.75" customHeight="1">
      <c r="A593" s="12"/>
      <c r="G593" s="8"/>
    </row>
    <row r="594" ht="15.75" customHeight="1">
      <c r="A594" s="12"/>
      <c r="G594" s="8"/>
    </row>
    <row r="595" ht="15.75" customHeight="1">
      <c r="A595" s="12"/>
      <c r="G595" s="8"/>
    </row>
    <row r="596" ht="15.75" customHeight="1">
      <c r="A596" s="12"/>
      <c r="G596" s="8"/>
    </row>
    <row r="597" ht="15.75" customHeight="1">
      <c r="A597" s="12"/>
      <c r="G597" s="8"/>
    </row>
    <row r="598" ht="15.75" customHeight="1">
      <c r="A598" s="12"/>
      <c r="G598" s="8"/>
    </row>
    <row r="599" ht="15.75" customHeight="1">
      <c r="A599" s="12"/>
      <c r="G599" s="8"/>
    </row>
    <row r="600" ht="15.75" customHeight="1">
      <c r="A600" s="12"/>
      <c r="G600" s="8"/>
    </row>
    <row r="601" ht="15.75" customHeight="1">
      <c r="A601" s="12"/>
      <c r="G601" s="8"/>
    </row>
    <row r="602" ht="15.75" customHeight="1">
      <c r="A602" s="12"/>
      <c r="G602" s="8"/>
    </row>
    <row r="603" ht="15.75" customHeight="1">
      <c r="A603" s="12"/>
      <c r="G603" s="8"/>
    </row>
    <row r="604" ht="15.75" customHeight="1">
      <c r="A604" s="12"/>
      <c r="G604" s="8"/>
    </row>
    <row r="605" ht="15.75" customHeight="1">
      <c r="A605" s="12"/>
      <c r="G605" s="8"/>
    </row>
    <row r="606" ht="15.75" customHeight="1">
      <c r="A606" s="12"/>
      <c r="G606" s="8"/>
    </row>
    <row r="607" ht="15.75" customHeight="1">
      <c r="A607" s="12"/>
      <c r="G607" s="8"/>
    </row>
    <row r="608" ht="15.75" customHeight="1">
      <c r="A608" s="12"/>
      <c r="G608" s="8"/>
    </row>
    <row r="609" ht="15.75" customHeight="1">
      <c r="A609" s="12"/>
      <c r="G609" s="8"/>
    </row>
    <row r="610" ht="15.75" customHeight="1">
      <c r="A610" s="12"/>
      <c r="G610" s="8"/>
    </row>
    <row r="611" ht="15.75" customHeight="1">
      <c r="A611" s="12"/>
      <c r="G611" s="8"/>
    </row>
    <row r="612" ht="15.75" customHeight="1">
      <c r="A612" s="12"/>
      <c r="G612" s="8"/>
    </row>
    <row r="613" ht="15.75" customHeight="1">
      <c r="A613" s="12"/>
      <c r="G613" s="8"/>
    </row>
    <row r="614" ht="15.75" customHeight="1">
      <c r="A614" s="12"/>
      <c r="G614" s="8"/>
    </row>
    <row r="615" ht="15.75" customHeight="1">
      <c r="A615" s="12"/>
      <c r="G615" s="8"/>
    </row>
    <row r="616" ht="15.75" customHeight="1">
      <c r="A616" s="12"/>
      <c r="G616" s="8"/>
    </row>
    <row r="617" ht="15.75" customHeight="1">
      <c r="A617" s="12"/>
      <c r="G617" s="8"/>
    </row>
    <row r="618" ht="15.75" customHeight="1">
      <c r="A618" s="12"/>
      <c r="G618" s="8"/>
    </row>
    <row r="619" ht="15.75" customHeight="1">
      <c r="A619" s="12"/>
      <c r="G619" s="8"/>
    </row>
    <row r="620" ht="15.75" customHeight="1">
      <c r="A620" s="12"/>
      <c r="G620" s="8"/>
    </row>
    <row r="621" ht="15.75" customHeight="1">
      <c r="A621" s="12"/>
      <c r="G621" s="8"/>
    </row>
    <row r="622" ht="15.75" customHeight="1">
      <c r="A622" s="12"/>
      <c r="G622" s="8"/>
    </row>
    <row r="623" ht="15.75" customHeight="1">
      <c r="A623" s="12"/>
      <c r="G623" s="8"/>
    </row>
    <row r="624" ht="15.75" customHeight="1">
      <c r="A624" s="12"/>
      <c r="G624" s="8"/>
    </row>
    <row r="625" ht="15.75" customHeight="1">
      <c r="A625" s="12"/>
      <c r="G625" s="8"/>
    </row>
    <row r="626" ht="15.75" customHeight="1">
      <c r="A626" s="12"/>
      <c r="G626" s="8"/>
    </row>
    <row r="627" ht="15.75" customHeight="1">
      <c r="A627" s="12"/>
      <c r="G627" s="8"/>
    </row>
    <row r="628" ht="15.75" customHeight="1">
      <c r="A628" s="12"/>
      <c r="G628" s="8"/>
    </row>
    <row r="629" ht="15.75" customHeight="1">
      <c r="A629" s="12"/>
      <c r="G629" s="8"/>
    </row>
    <row r="630" ht="15.75" customHeight="1">
      <c r="A630" s="12"/>
      <c r="G630" s="8"/>
    </row>
    <row r="631" ht="15.75" customHeight="1">
      <c r="A631" s="12"/>
      <c r="G631" s="8"/>
    </row>
    <row r="632" ht="15.75" customHeight="1">
      <c r="A632" s="12"/>
      <c r="G632" s="8"/>
    </row>
    <row r="633" ht="15.75" customHeight="1">
      <c r="A633" s="12"/>
      <c r="G633" s="8"/>
    </row>
    <row r="634" ht="15.75" customHeight="1">
      <c r="A634" s="12"/>
      <c r="G634" s="8"/>
    </row>
    <row r="635" ht="15.75" customHeight="1">
      <c r="A635" s="12"/>
      <c r="G635" s="8"/>
    </row>
    <row r="636" ht="15.75" customHeight="1">
      <c r="A636" s="12"/>
      <c r="G636" s="8"/>
    </row>
    <row r="637" ht="15.75" customHeight="1">
      <c r="A637" s="12"/>
      <c r="G637" s="8"/>
    </row>
    <row r="638" ht="15.75" customHeight="1">
      <c r="A638" s="12"/>
      <c r="G638" s="8"/>
    </row>
    <row r="639" ht="15.75" customHeight="1">
      <c r="A639" s="12"/>
      <c r="G639" s="8"/>
    </row>
    <row r="640" ht="15.75" customHeight="1">
      <c r="A640" s="12"/>
      <c r="G640" s="8"/>
    </row>
    <row r="641" ht="15.75" customHeight="1">
      <c r="A641" s="12"/>
      <c r="G641" s="8"/>
    </row>
    <row r="642" ht="15.75" customHeight="1">
      <c r="A642" s="12"/>
      <c r="G642" s="8"/>
    </row>
    <row r="643" ht="15.75" customHeight="1">
      <c r="A643" s="12"/>
      <c r="G643" s="8"/>
    </row>
    <row r="644" ht="15.75" customHeight="1">
      <c r="A644" s="12"/>
      <c r="G644" s="8"/>
    </row>
    <row r="645" ht="15.75" customHeight="1">
      <c r="A645" s="12"/>
      <c r="G645" s="8"/>
    </row>
    <row r="646" ht="15.75" customHeight="1">
      <c r="A646" s="12"/>
      <c r="G646" s="8"/>
    </row>
    <row r="647" ht="15.75" customHeight="1">
      <c r="A647" s="12"/>
      <c r="G647" s="8"/>
    </row>
    <row r="648" ht="15.75" customHeight="1">
      <c r="A648" s="12"/>
      <c r="G648" s="8"/>
    </row>
    <row r="649" ht="15.75" customHeight="1">
      <c r="A649" s="12"/>
      <c r="G649" s="8"/>
    </row>
    <row r="650" ht="15.75" customHeight="1">
      <c r="A650" s="12"/>
      <c r="G650" s="8"/>
    </row>
    <row r="651" ht="15.75" customHeight="1">
      <c r="A651" s="12"/>
      <c r="G651" s="8"/>
    </row>
    <row r="652" ht="15.75" customHeight="1">
      <c r="A652" s="12"/>
      <c r="G652" s="8"/>
    </row>
    <row r="653" ht="15.75" customHeight="1">
      <c r="A653" s="12"/>
      <c r="G653" s="8"/>
    </row>
    <row r="654" ht="15.75" customHeight="1">
      <c r="A654" s="12"/>
      <c r="G654" s="8"/>
    </row>
    <row r="655" ht="15.75" customHeight="1">
      <c r="A655" s="12"/>
      <c r="G655" s="8"/>
    </row>
    <row r="656" ht="15.75" customHeight="1">
      <c r="A656" s="12"/>
      <c r="G656" s="8"/>
    </row>
    <row r="657" ht="15.75" customHeight="1">
      <c r="A657" s="12"/>
      <c r="G657" s="8"/>
    </row>
    <row r="658" ht="15.75" customHeight="1">
      <c r="A658" s="12"/>
      <c r="G658" s="8"/>
    </row>
    <row r="659" ht="15.75" customHeight="1">
      <c r="A659" s="12"/>
      <c r="G659" s="8"/>
    </row>
    <row r="660" ht="15.75" customHeight="1">
      <c r="A660" s="12"/>
      <c r="G660" s="8"/>
    </row>
    <row r="661" ht="15.75" customHeight="1">
      <c r="A661" s="12"/>
      <c r="G661" s="8"/>
    </row>
    <row r="662" ht="15.75" customHeight="1">
      <c r="A662" s="12"/>
      <c r="G662" s="8"/>
    </row>
    <row r="663" ht="15.75" customHeight="1">
      <c r="A663" s="12"/>
      <c r="G663" s="8"/>
    </row>
    <row r="664" ht="15.75" customHeight="1">
      <c r="A664" s="12"/>
      <c r="G664" s="8"/>
    </row>
    <row r="665" ht="15.75" customHeight="1">
      <c r="A665" s="12"/>
      <c r="G665" s="8"/>
    </row>
    <row r="666" ht="15.75" customHeight="1">
      <c r="A666" s="12"/>
      <c r="G666" s="8"/>
    </row>
    <row r="667" ht="15.75" customHeight="1">
      <c r="A667" s="12"/>
      <c r="G667" s="8"/>
    </row>
    <row r="668" ht="15.75" customHeight="1">
      <c r="A668" s="12"/>
      <c r="G668" s="8"/>
    </row>
    <row r="669" ht="15.75" customHeight="1">
      <c r="A669" s="12"/>
      <c r="G669" s="8"/>
    </row>
    <row r="670" ht="15.75" customHeight="1">
      <c r="A670" s="12"/>
      <c r="G670" s="8"/>
    </row>
    <row r="671" ht="15.75" customHeight="1">
      <c r="A671" s="12"/>
      <c r="G671" s="8"/>
    </row>
    <row r="672" ht="15.75" customHeight="1">
      <c r="A672" s="12"/>
      <c r="G672" s="8"/>
    </row>
    <row r="673" ht="15.75" customHeight="1">
      <c r="A673" s="12"/>
      <c r="G673" s="8"/>
    </row>
    <row r="674" ht="15.75" customHeight="1">
      <c r="A674" s="12"/>
      <c r="G674" s="8"/>
    </row>
    <row r="675" ht="15.75" customHeight="1">
      <c r="A675" s="12"/>
      <c r="G675" s="8"/>
    </row>
    <row r="676" ht="15.75" customHeight="1">
      <c r="A676" s="12"/>
      <c r="G676" s="8"/>
    </row>
    <row r="677" ht="15.75" customHeight="1">
      <c r="A677" s="12"/>
      <c r="G677" s="8"/>
    </row>
    <row r="678" ht="15.75" customHeight="1">
      <c r="A678" s="12"/>
      <c r="G678" s="8"/>
    </row>
    <row r="679" ht="15.75" customHeight="1">
      <c r="A679" s="12"/>
      <c r="G679" s="8"/>
    </row>
    <row r="680" ht="15.75" customHeight="1">
      <c r="A680" s="12"/>
      <c r="G680" s="8"/>
    </row>
    <row r="681" ht="15.75" customHeight="1">
      <c r="A681" s="12"/>
      <c r="G681" s="8"/>
    </row>
    <row r="682" ht="15.75" customHeight="1">
      <c r="A682" s="12"/>
      <c r="G682" s="8"/>
    </row>
    <row r="683" ht="15.75" customHeight="1">
      <c r="A683" s="12"/>
      <c r="G683" s="8"/>
    </row>
    <row r="684" ht="15.75" customHeight="1">
      <c r="A684" s="12"/>
      <c r="G684" s="8"/>
    </row>
    <row r="685" ht="15.75" customHeight="1">
      <c r="A685" s="12"/>
      <c r="G685" s="8"/>
    </row>
    <row r="686" ht="15.75" customHeight="1">
      <c r="A686" s="12"/>
      <c r="G686" s="8"/>
    </row>
    <row r="687" ht="15.75" customHeight="1">
      <c r="A687" s="12"/>
      <c r="G687" s="8"/>
    </row>
    <row r="688" ht="15.75" customHeight="1">
      <c r="A688" s="12"/>
      <c r="G688" s="8"/>
    </row>
    <row r="689" ht="15.75" customHeight="1">
      <c r="A689" s="12"/>
      <c r="G689" s="8"/>
    </row>
    <row r="690" ht="15.75" customHeight="1">
      <c r="A690" s="12"/>
      <c r="G690" s="8"/>
    </row>
    <row r="691" ht="15.75" customHeight="1">
      <c r="A691" s="12"/>
      <c r="G691" s="8"/>
    </row>
    <row r="692" ht="15.75" customHeight="1">
      <c r="A692" s="12"/>
      <c r="G692" s="8"/>
    </row>
    <row r="693" ht="15.75" customHeight="1">
      <c r="A693" s="12"/>
      <c r="G693" s="8"/>
    </row>
    <row r="694" ht="15.75" customHeight="1">
      <c r="A694" s="12"/>
      <c r="G694" s="8"/>
    </row>
    <row r="695" ht="15.75" customHeight="1">
      <c r="A695" s="12"/>
      <c r="G695" s="8"/>
    </row>
    <row r="696" ht="15.75" customHeight="1">
      <c r="A696" s="12"/>
      <c r="G696" s="8"/>
    </row>
    <row r="697" ht="15.75" customHeight="1">
      <c r="A697" s="12"/>
      <c r="G697" s="8"/>
    </row>
    <row r="698" ht="15.75" customHeight="1">
      <c r="A698" s="12"/>
      <c r="G698" s="8"/>
    </row>
    <row r="699" ht="15.75" customHeight="1">
      <c r="A699" s="12"/>
      <c r="G699" s="8"/>
    </row>
    <row r="700" ht="15.75" customHeight="1">
      <c r="A700" s="12"/>
      <c r="G700" s="8"/>
    </row>
    <row r="701" ht="15.75" customHeight="1">
      <c r="A701" s="12"/>
      <c r="G701" s="8"/>
    </row>
    <row r="702" ht="15.75" customHeight="1">
      <c r="A702" s="12"/>
      <c r="G702" s="8"/>
    </row>
    <row r="703" ht="15.75" customHeight="1">
      <c r="A703" s="12"/>
      <c r="G703" s="8"/>
    </row>
    <row r="704" ht="15.75" customHeight="1">
      <c r="A704" s="12"/>
      <c r="G704" s="8"/>
    </row>
    <row r="705" ht="15.75" customHeight="1">
      <c r="A705" s="12"/>
      <c r="G705" s="8"/>
    </row>
    <row r="706" ht="15.75" customHeight="1">
      <c r="A706" s="12"/>
      <c r="G706" s="8"/>
    </row>
    <row r="707" ht="15.75" customHeight="1">
      <c r="A707" s="12"/>
      <c r="G707" s="8"/>
    </row>
    <row r="708" ht="15.75" customHeight="1">
      <c r="A708" s="12"/>
      <c r="G708" s="8"/>
    </row>
    <row r="709" ht="15.75" customHeight="1">
      <c r="A709" s="12"/>
      <c r="G709" s="8"/>
    </row>
    <row r="710" ht="15.75" customHeight="1">
      <c r="A710" s="12"/>
      <c r="G710" s="8"/>
    </row>
    <row r="711" ht="15.75" customHeight="1">
      <c r="A711" s="12"/>
      <c r="G711" s="8"/>
    </row>
    <row r="712" ht="15.75" customHeight="1">
      <c r="A712" s="12"/>
      <c r="G712" s="8"/>
    </row>
    <row r="713" ht="15.75" customHeight="1">
      <c r="A713" s="12"/>
      <c r="G713" s="8"/>
    </row>
    <row r="714" ht="15.75" customHeight="1">
      <c r="A714" s="12"/>
      <c r="G714" s="8"/>
    </row>
    <row r="715" ht="15.75" customHeight="1">
      <c r="A715" s="12"/>
      <c r="G715" s="8"/>
    </row>
    <row r="716" ht="15.75" customHeight="1">
      <c r="A716" s="12"/>
      <c r="G716" s="8"/>
    </row>
    <row r="717" ht="15.75" customHeight="1">
      <c r="A717" s="12"/>
      <c r="G717" s="8"/>
    </row>
    <row r="718" ht="15.75" customHeight="1">
      <c r="A718" s="12"/>
      <c r="G718" s="8"/>
    </row>
    <row r="719" ht="15.75" customHeight="1">
      <c r="A719" s="12"/>
      <c r="G719" s="8"/>
    </row>
    <row r="720" ht="15.75" customHeight="1">
      <c r="A720" s="12"/>
      <c r="G720" s="8"/>
    </row>
    <row r="721" ht="15.75" customHeight="1">
      <c r="A721" s="12"/>
      <c r="G721" s="8"/>
    </row>
    <row r="722" ht="15.75" customHeight="1">
      <c r="A722" s="12"/>
      <c r="G722" s="8"/>
    </row>
    <row r="723" ht="15.75" customHeight="1">
      <c r="A723" s="12"/>
      <c r="G723" s="8"/>
    </row>
    <row r="724" ht="15.75" customHeight="1">
      <c r="A724" s="12"/>
      <c r="G724" s="8"/>
    </row>
    <row r="725" ht="15.75" customHeight="1">
      <c r="A725" s="12"/>
      <c r="G725" s="8"/>
    </row>
    <row r="726" ht="15.75" customHeight="1">
      <c r="A726" s="12"/>
      <c r="G726" s="8"/>
    </row>
    <row r="727" ht="15.75" customHeight="1">
      <c r="A727" s="12"/>
      <c r="G727" s="8"/>
    </row>
    <row r="728" ht="15.75" customHeight="1">
      <c r="A728" s="12"/>
      <c r="G728" s="8"/>
    </row>
    <row r="729" ht="15.75" customHeight="1">
      <c r="A729" s="12"/>
      <c r="G729" s="8"/>
    </row>
    <row r="730" ht="15.75" customHeight="1">
      <c r="A730" s="12"/>
      <c r="G730" s="8"/>
    </row>
    <row r="731" ht="15.75" customHeight="1">
      <c r="A731" s="12"/>
      <c r="G731" s="8"/>
    </row>
    <row r="732" ht="15.75" customHeight="1">
      <c r="A732" s="12"/>
      <c r="G732" s="8"/>
    </row>
    <row r="733" ht="15.75" customHeight="1">
      <c r="A733" s="12"/>
      <c r="G733" s="8"/>
    </row>
    <row r="734" ht="15.75" customHeight="1">
      <c r="A734" s="12"/>
      <c r="G734" s="8"/>
    </row>
    <row r="735" ht="15.75" customHeight="1">
      <c r="A735" s="12"/>
      <c r="G735" s="8"/>
    </row>
    <row r="736" ht="15.75" customHeight="1">
      <c r="A736" s="12"/>
      <c r="G736" s="8"/>
    </row>
    <row r="737" ht="15.75" customHeight="1">
      <c r="A737" s="12"/>
      <c r="G737" s="8"/>
    </row>
    <row r="738" ht="15.75" customHeight="1">
      <c r="A738" s="12"/>
      <c r="G738" s="8"/>
    </row>
    <row r="739" ht="15.75" customHeight="1">
      <c r="A739" s="12"/>
      <c r="G739" s="8"/>
    </row>
    <row r="740" ht="15.75" customHeight="1">
      <c r="A740" s="12"/>
      <c r="G740" s="8"/>
    </row>
    <row r="741" ht="15.75" customHeight="1">
      <c r="A741" s="12"/>
      <c r="G741" s="8"/>
    </row>
    <row r="742" ht="15.75" customHeight="1">
      <c r="A742" s="12"/>
      <c r="G742" s="8"/>
    </row>
    <row r="743" ht="15.75" customHeight="1">
      <c r="A743" s="12"/>
      <c r="G743" s="8"/>
    </row>
    <row r="744" ht="15.75" customHeight="1">
      <c r="A744" s="12"/>
      <c r="G744" s="8"/>
    </row>
    <row r="745" ht="15.75" customHeight="1">
      <c r="A745" s="12"/>
      <c r="G745" s="8"/>
    </row>
    <row r="746" ht="15.75" customHeight="1">
      <c r="A746" s="12"/>
      <c r="G746" s="8"/>
    </row>
    <row r="747" ht="15.75" customHeight="1">
      <c r="A747" s="12"/>
      <c r="G747" s="8"/>
    </row>
    <row r="748" ht="15.75" customHeight="1">
      <c r="A748" s="12"/>
      <c r="G748" s="8"/>
    </row>
    <row r="749" ht="15.75" customHeight="1">
      <c r="A749" s="12"/>
      <c r="G749" s="8"/>
    </row>
    <row r="750" ht="15.75" customHeight="1">
      <c r="A750" s="12"/>
      <c r="G750" s="8"/>
    </row>
    <row r="751" ht="15.75" customHeight="1">
      <c r="A751" s="12"/>
      <c r="G751" s="8"/>
    </row>
    <row r="752" ht="15.75" customHeight="1">
      <c r="A752" s="12"/>
      <c r="G752" s="8"/>
    </row>
    <row r="753" ht="15.75" customHeight="1">
      <c r="A753" s="12"/>
      <c r="G753" s="8"/>
    </row>
    <row r="754" ht="15.75" customHeight="1">
      <c r="A754" s="12"/>
      <c r="G754" s="8"/>
    </row>
    <row r="755" ht="15.75" customHeight="1">
      <c r="A755" s="12"/>
      <c r="G755" s="8"/>
    </row>
    <row r="756" ht="15.75" customHeight="1">
      <c r="A756" s="12"/>
      <c r="G756" s="8"/>
    </row>
    <row r="757" ht="15.75" customHeight="1">
      <c r="A757" s="12"/>
      <c r="G757" s="8"/>
    </row>
    <row r="758" ht="15.75" customHeight="1">
      <c r="A758" s="12"/>
      <c r="G758" s="8"/>
    </row>
    <row r="759" ht="15.75" customHeight="1">
      <c r="A759" s="12"/>
      <c r="G759" s="8"/>
    </row>
    <row r="760" ht="15.75" customHeight="1">
      <c r="A760" s="12"/>
      <c r="G760" s="8"/>
    </row>
    <row r="761" ht="15.75" customHeight="1">
      <c r="A761" s="12"/>
      <c r="G761" s="8"/>
    </row>
    <row r="762" ht="15.75" customHeight="1">
      <c r="A762" s="12"/>
      <c r="G762" s="8"/>
    </row>
    <row r="763" ht="15.75" customHeight="1">
      <c r="A763" s="12"/>
      <c r="G763" s="8"/>
    </row>
    <row r="764" ht="15.75" customHeight="1">
      <c r="A764" s="12"/>
      <c r="G764" s="8"/>
    </row>
    <row r="765" ht="15.75" customHeight="1">
      <c r="A765" s="12"/>
      <c r="G765" s="8"/>
    </row>
    <row r="766" ht="15.75" customHeight="1">
      <c r="A766" s="12"/>
      <c r="G766" s="8"/>
    </row>
    <row r="767" ht="15.75" customHeight="1">
      <c r="A767" s="12"/>
      <c r="G767" s="8"/>
    </row>
    <row r="768" ht="15.75" customHeight="1">
      <c r="A768" s="12"/>
      <c r="G768" s="8"/>
    </row>
    <row r="769" ht="15.75" customHeight="1">
      <c r="A769" s="12"/>
      <c r="G769" s="8"/>
    </row>
    <row r="770" ht="15.75" customHeight="1">
      <c r="A770" s="12"/>
      <c r="G770" s="8"/>
    </row>
    <row r="771" ht="15.75" customHeight="1">
      <c r="A771" s="12"/>
      <c r="G771" s="8"/>
    </row>
    <row r="772" ht="15.75" customHeight="1">
      <c r="A772" s="12"/>
      <c r="G772" s="8"/>
    </row>
    <row r="773" ht="15.75" customHeight="1">
      <c r="A773" s="12"/>
      <c r="G773" s="8"/>
    </row>
    <row r="774" ht="15.75" customHeight="1">
      <c r="A774" s="12"/>
      <c r="G774" s="8"/>
    </row>
    <row r="775" ht="15.75" customHeight="1">
      <c r="A775" s="12"/>
      <c r="G775" s="8"/>
    </row>
    <row r="776" ht="15.75" customHeight="1">
      <c r="A776" s="12"/>
      <c r="G776" s="8"/>
    </row>
    <row r="777" ht="15.75" customHeight="1">
      <c r="A777" s="12"/>
      <c r="G777" s="8"/>
    </row>
    <row r="778" ht="15.75" customHeight="1">
      <c r="A778" s="12"/>
      <c r="G778" s="8"/>
    </row>
    <row r="779" ht="15.75" customHeight="1">
      <c r="A779" s="12"/>
      <c r="G779" s="8"/>
    </row>
    <row r="780" ht="15.75" customHeight="1">
      <c r="A780" s="12"/>
      <c r="G780" s="8"/>
    </row>
    <row r="781" ht="15.75" customHeight="1">
      <c r="A781" s="12"/>
      <c r="G781" s="8"/>
    </row>
    <row r="782" ht="15.75" customHeight="1">
      <c r="A782" s="12"/>
      <c r="G782" s="8"/>
    </row>
    <row r="783" ht="15.75" customHeight="1">
      <c r="A783" s="12"/>
      <c r="G783" s="8"/>
    </row>
    <row r="784" ht="15.75" customHeight="1">
      <c r="A784" s="12"/>
      <c r="G784" s="8"/>
    </row>
    <row r="785" ht="15.75" customHeight="1">
      <c r="A785" s="12"/>
      <c r="G785" s="8"/>
    </row>
    <row r="786" ht="15.75" customHeight="1">
      <c r="A786" s="12"/>
      <c r="G786" s="8"/>
    </row>
    <row r="787" ht="15.75" customHeight="1">
      <c r="A787" s="12"/>
      <c r="G787" s="8"/>
    </row>
    <row r="788" ht="15.75" customHeight="1">
      <c r="A788" s="12"/>
      <c r="G788" s="8"/>
    </row>
    <row r="789" ht="15.75" customHeight="1">
      <c r="A789" s="12"/>
      <c r="G789" s="8"/>
    </row>
    <row r="790" ht="15.75" customHeight="1">
      <c r="A790" s="12"/>
      <c r="G790" s="8"/>
    </row>
    <row r="791" ht="15.75" customHeight="1">
      <c r="A791" s="12"/>
      <c r="G791" s="8"/>
    </row>
    <row r="792" ht="15.75" customHeight="1">
      <c r="A792" s="12"/>
      <c r="G792" s="8"/>
    </row>
    <row r="793" ht="15.75" customHeight="1">
      <c r="A793" s="12"/>
      <c r="G793" s="8"/>
    </row>
    <row r="794" ht="15.75" customHeight="1">
      <c r="A794" s="12"/>
      <c r="G794" s="8"/>
    </row>
    <row r="795" ht="15.75" customHeight="1">
      <c r="A795" s="12"/>
      <c r="G795" s="8"/>
    </row>
    <row r="796" ht="15.75" customHeight="1">
      <c r="A796" s="12"/>
      <c r="G796" s="8"/>
    </row>
    <row r="797" ht="15.75" customHeight="1">
      <c r="A797" s="12"/>
      <c r="G797" s="8"/>
    </row>
    <row r="798" ht="15.75" customHeight="1">
      <c r="A798" s="12"/>
      <c r="G798" s="8"/>
    </row>
    <row r="799" ht="15.75" customHeight="1">
      <c r="A799" s="12"/>
      <c r="G799" s="8"/>
    </row>
    <row r="800" ht="15.75" customHeight="1">
      <c r="A800" s="12"/>
      <c r="G800" s="8"/>
    </row>
    <row r="801" ht="15.75" customHeight="1">
      <c r="A801" s="12"/>
      <c r="G801" s="8"/>
    </row>
    <row r="802" ht="15.75" customHeight="1">
      <c r="A802" s="12"/>
      <c r="G802" s="8"/>
    </row>
    <row r="803" ht="15.75" customHeight="1">
      <c r="A803" s="12"/>
      <c r="G803" s="8"/>
    </row>
    <row r="804" ht="15.75" customHeight="1">
      <c r="A804" s="12"/>
      <c r="G804" s="8"/>
    </row>
    <row r="805" ht="15.75" customHeight="1">
      <c r="A805" s="12"/>
      <c r="G805" s="8"/>
    </row>
    <row r="806" ht="15.75" customHeight="1">
      <c r="A806" s="12"/>
      <c r="G806" s="8"/>
    </row>
    <row r="807" ht="15.75" customHeight="1">
      <c r="A807" s="12"/>
      <c r="G807" s="8"/>
    </row>
    <row r="808" ht="15.75" customHeight="1">
      <c r="A808" s="12"/>
      <c r="G808" s="8"/>
    </row>
    <row r="809" ht="15.75" customHeight="1">
      <c r="A809" s="12"/>
      <c r="G809" s="8"/>
    </row>
    <row r="810" ht="15.75" customHeight="1">
      <c r="A810" s="12"/>
      <c r="G810" s="8"/>
    </row>
    <row r="811" ht="15.75" customHeight="1">
      <c r="A811" s="12"/>
      <c r="G811" s="8"/>
    </row>
    <row r="812" ht="15.75" customHeight="1">
      <c r="A812" s="12"/>
      <c r="G812" s="8"/>
    </row>
    <row r="813" ht="15.75" customHeight="1">
      <c r="A813" s="12"/>
      <c r="G813" s="8"/>
    </row>
    <row r="814" ht="15.75" customHeight="1">
      <c r="A814" s="12"/>
      <c r="G814" s="8"/>
    </row>
    <row r="815" ht="15.75" customHeight="1">
      <c r="A815" s="12"/>
      <c r="G815" s="8"/>
    </row>
    <row r="816" ht="15.75" customHeight="1">
      <c r="A816" s="12"/>
      <c r="G816" s="8"/>
    </row>
    <row r="817" ht="15.75" customHeight="1">
      <c r="A817" s="12"/>
      <c r="G817" s="8"/>
    </row>
    <row r="818" ht="15.75" customHeight="1">
      <c r="A818" s="12"/>
      <c r="G818" s="8"/>
    </row>
    <row r="819" ht="15.75" customHeight="1">
      <c r="A819" s="12"/>
      <c r="G819" s="8"/>
    </row>
    <row r="820" ht="15.75" customHeight="1">
      <c r="A820" s="12"/>
      <c r="G820" s="8"/>
    </row>
    <row r="821" ht="15.75" customHeight="1">
      <c r="A821" s="12"/>
      <c r="G821" s="8"/>
    </row>
    <row r="822" ht="15.75" customHeight="1">
      <c r="A822" s="12"/>
      <c r="G822" s="8"/>
    </row>
    <row r="823" ht="15.75" customHeight="1">
      <c r="A823" s="12"/>
      <c r="G823" s="8"/>
    </row>
    <row r="824" ht="15.75" customHeight="1">
      <c r="A824" s="12"/>
      <c r="G824" s="8"/>
    </row>
    <row r="825" ht="15.75" customHeight="1">
      <c r="A825" s="12"/>
      <c r="G825" s="8"/>
    </row>
    <row r="826" ht="15.75" customHeight="1">
      <c r="A826" s="12"/>
      <c r="G826" s="8"/>
    </row>
    <row r="827" ht="15.75" customHeight="1">
      <c r="A827" s="12"/>
      <c r="G827" s="8"/>
    </row>
    <row r="828" ht="15.75" customHeight="1">
      <c r="A828" s="12"/>
      <c r="G828" s="8"/>
    </row>
    <row r="829" ht="15.75" customHeight="1">
      <c r="A829" s="12"/>
      <c r="G829" s="8"/>
    </row>
    <row r="830" ht="15.75" customHeight="1">
      <c r="A830" s="12"/>
      <c r="G830" s="8"/>
    </row>
    <row r="831" ht="15.75" customHeight="1">
      <c r="A831" s="12"/>
      <c r="G831" s="8"/>
    </row>
    <row r="832" ht="15.75" customHeight="1">
      <c r="A832" s="12"/>
      <c r="G832" s="8"/>
    </row>
    <row r="833" ht="15.75" customHeight="1">
      <c r="A833" s="12"/>
      <c r="G833" s="8"/>
    </row>
    <row r="834" ht="15.75" customHeight="1">
      <c r="A834" s="12"/>
      <c r="G834" s="8"/>
    </row>
    <row r="835" ht="15.75" customHeight="1">
      <c r="A835" s="12"/>
      <c r="G835" s="8"/>
    </row>
    <row r="836" ht="15.75" customHeight="1">
      <c r="A836" s="12"/>
      <c r="G836" s="8"/>
    </row>
    <row r="837" ht="15.75" customHeight="1">
      <c r="A837" s="12"/>
      <c r="G837" s="8"/>
    </row>
    <row r="838" ht="15.75" customHeight="1">
      <c r="A838" s="12"/>
      <c r="G838" s="8"/>
    </row>
    <row r="839" ht="15.75" customHeight="1">
      <c r="A839" s="12"/>
      <c r="G839" s="8"/>
    </row>
    <row r="840" ht="15.75" customHeight="1">
      <c r="A840" s="12"/>
      <c r="G840" s="8"/>
    </row>
    <row r="841" ht="15.75" customHeight="1">
      <c r="A841" s="12"/>
      <c r="G841" s="8"/>
    </row>
    <row r="842" ht="15.75" customHeight="1">
      <c r="A842" s="12"/>
      <c r="G842" s="8"/>
    </row>
    <row r="843" ht="15.75" customHeight="1">
      <c r="A843" s="12"/>
      <c r="G843" s="8"/>
    </row>
    <row r="844" ht="15.75" customHeight="1">
      <c r="A844" s="12"/>
      <c r="G844" s="8"/>
    </row>
    <row r="845" ht="15.75" customHeight="1">
      <c r="A845" s="12"/>
      <c r="G845" s="8"/>
    </row>
    <row r="846" ht="15.75" customHeight="1">
      <c r="A846" s="12"/>
      <c r="G846" s="8"/>
    </row>
    <row r="847" ht="15.75" customHeight="1">
      <c r="A847" s="12"/>
      <c r="G847" s="8"/>
    </row>
    <row r="848" ht="15.75" customHeight="1">
      <c r="A848" s="12"/>
      <c r="G848" s="8"/>
    </row>
    <row r="849" ht="15.75" customHeight="1">
      <c r="A849" s="12"/>
      <c r="G849" s="8"/>
    </row>
    <row r="850" ht="15.75" customHeight="1">
      <c r="A850" s="12"/>
      <c r="G850" s="8"/>
    </row>
    <row r="851" ht="15.75" customHeight="1">
      <c r="A851" s="12"/>
      <c r="G851" s="8"/>
    </row>
    <row r="852" ht="15.75" customHeight="1">
      <c r="A852" s="12"/>
      <c r="G852" s="8"/>
    </row>
    <row r="853" ht="15.75" customHeight="1">
      <c r="A853" s="12"/>
      <c r="G853" s="8"/>
    </row>
    <row r="854" ht="15.75" customHeight="1">
      <c r="A854" s="12"/>
      <c r="G854" s="8"/>
    </row>
    <row r="855" ht="15.75" customHeight="1">
      <c r="A855" s="12"/>
      <c r="G855" s="8"/>
    </row>
    <row r="856" ht="15.75" customHeight="1">
      <c r="A856" s="12"/>
      <c r="G856" s="8"/>
    </row>
    <row r="857" ht="15.75" customHeight="1">
      <c r="A857" s="12"/>
      <c r="G857" s="8"/>
    </row>
    <row r="858" ht="15.75" customHeight="1">
      <c r="A858" s="12"/>
      <c r="G858" s="8"/>
    </row>
    <row r="859" ht="15.75" customHeight="1">
      <c r="A859" s="12"/>
      <c r="G859" s="8"/>
    </row>
    <row r="860" ht="15.75" customHeight="1">
      <c r="A860" s="12"/>
      <c r="G860" s="8"/>
    </row>
    <row r="861" ht="15.75" customHeight="1">
      <c r="A861" s="12"/>
      <c r="G861" s="8"/>
    </row>
    <row r="862" ht="15.75" customHeight="1">
      <c r="A862" s="12"/>
      <c r="G862" s="8"/>
    </row>
    <row r="863" ht="15.75" customHeight="1">
      <c r="A863" s="12"/>
      <c r="G863" s="8"/>
    </row>
    <row r="864" ht="15.75" customHeight="1">
      <c r="A864" s="12"/>
      <c r="G864" s="8"/>
    </row>
    <row r="865" ht="15.75" customHeight="1">
      <c r="A865" s="12"/>
      <c r="G865" s="8"/>
    </row>
    <row r="866" ht="15.75" customHeight="1">
      <c r="A866" s="12"/>
      <c r="G866" s="8"/>
    </row>
    <row r="867" ht="15.75" customHeight="1">
      <c r="A867" s="12"/>
      <c r="G867" s="8"/>
    </row>
    <row r="868" ht="15.75" customHeight="1">
      <c r="A868" s="12"/>
      <c r="G868" s="8"/>
    </row>
    <row r="869" ht="15.75" customHeight="1">
      <c r="A869" s="12"/>
      <c r="G869" s="8"/>
    </row>
    <row r="870" ht="15.75" customHeight="1">
      <c r="A870" s="12"/>
      <c r="G870" s="8"/>
    </row>
    <row r="871" ht="15.75" customHeight="1">
      <c r="A871" s="12"/>
      <c r="G871" s="8"/>
    </row>
    <row r="872" ht="15.75" customHeight="1">
      <c r="A872" s="12"/>
      <c r="G872" s="8"/>
    </row>
    <row r="873" ht="15.75" customHeight="1">
      <c r="A873" s="12"/>
      <c r="G873" s="8"/>
    </row>
    <row r="874" ht="15.75" customHeight="1">
      <c r="A874" s="12"/>
      <c r="G874" s="8"/>
    </row>
    <row r="875" ht="15.75" customHeight="1">
      <c r="A875" s="12"/>
      <c r="G875" s="8"/>
    </row>
    <row r="876" ht="15.75" customHeight="1">
      <c r="A876" s="12"/>
      <c r="G876" s="8"/>
    </row>
    <row r="877" ht="15.75" customHeight="1">
      <c r="A877" s="12"/>
      <c r="G877" s="8"/>
    </row>
    <row r="878" ht="15.75" customHeight="1">
      <c r="A878" s="12"/>
      <c r="G878" s="8"/>
    </row>
    <row r="879" ht="15.75" customHeight="1">
      <c r="A879" s="12"/>
      <c r="G879" s="8"/>
    </row>
    <row r="880" ht="15.75" customHeight="1">
      <c r="A880" s="12"/>
      <c r="G880" s="8"/>
    </row>
    <row r="881" ht="15.75" customHeight="1">
      <c r="A881" s="12"/>
      <c r="G881" s="8"/>
    </row>
    <row r="882" ht="15.75" customHeight="1">
      <c r="A882" s="12"/>
      <c r="G882" s="8"/>
    </row>
    <row r="883" ht="15.75" customHeight="1">
      <c r="A883" s="12"/>
      <c r="G883" s="8"/>
    </row>
    <row r="884" ht="15.75" customHeight="1">
      <c r="A884" s="12"/>
      <c r="G884" s="8"/>
    </row>
    <row r="885" ht="15.75" customHeight="1">
      <c r="A885" s="12"/>
      <c r="G885" s="8"/>
    </row>
    <row r="886" ht="15.75" customHeight="1">
      <c r="A886" s="12"/>
      <c r="G886" s="8"/>
    </row>
    <row r="887" ht="15.75" customHeight="1">
      <c r="A887" s="12"/>
      <c r="G887" s="8"/>
    </row>
    <row r="888" ht="15.75" customHeight="1">
      <c r="A888" s="12"/>
      <c r="G888" s="8"/>
    </row>
    <row r="889" ht="15.75" customHeight="1">
      <c r="A889" s="12"/>
      <c r="G889" s="8"/>
    </row>
    <row r="890" ht="15.75" customHeight="1">
      <c r="A890" s="12"/>
      <c r="G890" s="8"/>
    </row>
    <row r="891" ht="15.75" customHeight="1">
      <c r="A891" s="12"/>
      <c r="G891" s="8"/>
    </row>
    <row r="892" ht="15.75" customHeight="1">
      <c r="A892" s="12"/>
      <c r="G892" s="8"/>
    </row>
    <row r="893" ht="15.75" customHeight="1">
      <c r="A893" s="12"/>
      <c r="G893" s="8"/>
    </row>
    <row r="894" ht="15.75" customHeight="1">
      <c r="A894" s="12"/>
      <c r="G894" s="8"/>
    </row>
    <row r="895" ht="15.75" customHeight="1">
      <c r="A895" s="12"/>
      <c r="G895" s="8"/>
    </row>
    <row r="896" ht="15.75" customHeight="1">
      <c r="A896" s="12"/>
      <c r="G896" s="8"/>
    </row>
    <row r="897" ht="15.75" customHeight="1">
      <c r="A897" s="12"/>
      <c r="G897" s="8"/>
    </row>
    <row r="898" ht="15.75" customHeight="1">
      <c r="A898" s="12"/>
      <c r="G898" s="8"/>
    </row>
    <row r="899" ht="15.75" customHeight="1">
      <c r="A899" s="12"/>
      <c r="G899" s="8"/>
    </row>
    <row r="900" ht="15.75" customHeight="1">
      <c r="A900" s="12"/>
      <c r="G900" s="8"/>
    </row>
    <row r="901" ht="15.75" customHeight="1">
      <c r="A901" s="12"/>
      <c r="G901" s="8"/>
    </row>
    <row r="902" ht="15.75" customHeight="1">
      <c r="A902" s="12"/>
      <c r="G902" s="8"/>
    </row>
    <row r="903" ht="15.75" customHeight="1">
      <c r="A903" s="12"/>
      <c r="G903" s="8"/>
    </row>
    <row r="904" ht="15.75" customHeight="1">
      <c r="A904" s="12"/>
      <c r="G904" s="8"/>
    </row>
    <row r="905" ht="15.75" customHeight="1">
      <c r="A905" s="12"/>
      <c r="G905" s="8"/>
    </row>
    <row r="906" ht="15.75" customHeight="1">
      <c r="A906" s="12"/>
      <c r="G906" s="8"/>
    </row>
    <row r="907" ht="15.75" customHeight="1">
      <c r="A907" s="12"/>
      <c r="G907" s="8"/>
    </row>
    <row r="908" ht="15.75" customHeight="1">
      <c r="A908" s="12"/>
      <c r="G908" s="8"/>
    </row>
    <row r="909" ht="15.75" customHeight="1">
      <c r="A909" s="12"/>
      <c r="G909" s="8"/>
    </row>
    <row r="910" ht="15.75" customHeight="1">
      <c r="A910" s="12"/>
      <c r="G910" s="8"/>
    </row>
    <row r="911" ht="15.75" customHeight="1">
      <c r="A911" s="12"/>
      <c r="G911" s="8"/>
    </row>
    <row r="912" ht="15.75" customHeight="1">
      <c r="A912" s="12"/>
      <c r="G912" s="8"/>
    </row>
    <row r="913" ht="15.75" customHeight="1">
      <c r="A913" s="12"/>
      <c r="G913" s="8"/>
    </row>
    <row r="914" ht="15.75" customHeight="1">
      <c r="A914" s="12"/>
      <c r="G914" s="8"/>
    </row>
    <row r="915" ht="15.75" customHeight="1">
      <c r="A915" s="12"/>
      <c r="G915" s="8"/>
    </row>
    <row r="916" ht="15.75" customHeight="1">
      <c r="A916" s="12"/>
      <c r="G916" s="8"/>
    </row>
    <row r="917" ht="15.75" customHeight="1">
      <c r="A917" s="12"/>
      <c r="G917" s="8"/>
    </row>
    <row r="918" ht="15.75" customHeight="1">
      <c r="A918" s="12"/>
      <c r="G918" s="8"/>
    </row>
    <row r="919" ht="15.75" customHeight="1">
      <c r="A919" s="12"/>
      <c r="G919" s="8"/>
    </row>
    <row r="920" ht="15.75" customHeight="1">
      <c r="A920" s="12"/>
      <c r="G920" s="8"/>
    </row>
    <row r="921" ht="15.75" customHeight="1">
      <c r="A921" s="12"/>
      <c r="G921" s="8"/>
    </row>
    <row r="922" ht="15.75" customHeight="1">
      <c r="A922" s="12"/>
      <c r="G922" s="8"/>
    </row>
    <row r="923" ht="15.75" customHeight="1">
      <c r="A923" s="12"/>
      <c r="G923" s="8"/>
    </row>
    <row r="924" ht="15.75" customHeight="1">
      <c r="A924" s="12"/>
      <c r="G924" s="8"/>
    </row>
    <row r="925" ht="15.75" customHeight="1">
      <c r="A925" s="12"/>
      <c r="G925" s="8"/>
    </row>
    <row r="926" ht="15.75" customHeight="1">
      <c r="A926" s="12"/>
      <c r="G926" s="8"/>
    </row>
    <row r="927" ht="15.75" customHeight="1">
      <c r="A927" s="12"/>
      <c r="G927" s="8"/>
    </row>
    <row r="928" ht="15.75" customHeight="1">
      <c r="A928" s="12"/>
      <c r="G928" s="8"/>
    </row>
    <row r="929" ht="15.75" customHeight="1">
      <c r="A929" s="12"/>
      <c r="G929" s="8"/>
    </row>
    <row r="930" ht="15.75" customHeight="1">
      <c r="A930" s="12"/>
      <c r="G930" s="8"/>
    </row>
    <row r="931" ht="15.75" customHeight="1">
      <c r="A931" s="12"/>
      <c r="G931" s="8"/>
    </row>
    <row r="932" ht="15.75" customHeight="1">
      <c r="A932" s="12"/>
      <c r="G932" s="8"/>
    </row>
    <row r="933" ht="15.75" customHeight="1">
      <c r="A933" s="12"/>
      <c r="G933" s="8"/>
    </row>
    <row r="934" ht="15.75" customHeight="1">
      <c r="A934" s="12"/>
      <c r="G934" s="8"/>
    </row>
    <row r="935" ht="15.75" customHeight="1">
      <c r="A935" s="12"/>
      <c r="G935" s="8"/>
    </row>
    <row r="936" ht="15.75" customHeight="1">
      <c r="A936" s="12"/>
      <c r="G936" s="8"/>
    </row>
    <row r="937" ht="15.75" customHeight="1">
      <c r="A937" s="12"/>
      <c r="G937" s="8"/>
    </row>
    <row r="938" ht="15.75" customHeight="1">
      <c r="A938" s="12"/>
      <c r="G938" s="8"/>
    </row>
    <row r="939" ht="15.75" customHeight="1">
      <c r="A939" s="12"/>
      <c r="G939" s="8"/>
    </row>
    <row r="940" ht="15.75" customHeight="1">
      <c r="A940" s="12"/>
      <c r="G940" s="8"/>
    </row>
    <row r="941" ht="15.75" customHeight="1">
      <c r="A941" s="12"/>
      <c r="G941" s="8"/>
    </row>
    <row r="942" ht="15.75" customHeight="1">
      <c r="A942" s="12"/>
      <c r="G942" s="8"/>
    </row>
    <row r="943" ht="15.75" customHeight="1">
      <c r="A943" s="12"/>
      <c r="G943" s="8"/>
    </row>
    <row r="944" ht="15.75" customHeight="1">
      <c r="A944" s="12"/>
      <c r="G944" s="8"/>
    </row>
    <row r="945" ht="15.75" customHeight="1">
      <c r="A945" s="12"/>
      <c r="G945" s="8"/>
    </row>
    <row r="946" ht="15.75" customHeight="1">
      <c r="A946" s="12"/>
      <c r="G946" s="8"/>
    </row>
    <row r="947" ht="15.75" customHeight="1">
      <c r="A947" s="12"/>
      <c r="G947" s="8"/>
    </row>
    <row r="948" ht="15.75" customHeight="1">
      <c r="A948" s="12"/>
      <c r="G948" s="8"/>
    </row>
    <row r="949" ht="15.75" customHeight="1">
      <c r="A949" s="12"/>
      <c r="G949" s="8"/>
    </row>
    <row r="950" ht="15.75" customHeight="1">
      <c r="A950" s="12"/>
      <c r="G950" s="8"/>
    </row>
  </sheetData>
  <autoFilter ref="$A$2:$L$523">
    <filterColumn colId="1">
      <filters>
        <filter val="LUIS"/>
      </filters>
    </filterColumn>
    <sortState ref="A2:L523">
      <sortCondition ref="A2:A523"/>
      <sortCondition ref="B2:B523"/>
      <sortCondition ref="C2:C523"/>
      <sortCondition ref="E2:E523"/>
      <sortCondition ref="D2:D523"/>
      <sortCondition ref="H2:H523"/>
    </sortState>
  </autoFilter>
  <conditionalFormatting sqref="I3:I95">
    <cfRule type="expression" dxfId="12" priority="1">
      <formula>#REF!=SI</formula>
    </cfRule>
  </conditionalFormatting>
  <conditionalFormatting sqref="K1:K950">
    <cfRule type="expression" dxfId="13" priority="2">
      <formula>AND(ISNUMBER(K1),TRUNC(K1)&lt;TODAY())</formula>
    </cfRule>
  </conditionalFormatting>
  <conditionalFormatting sqref="K1:K950">
    <cfRule type="expression" dxfId="14" priority="3">
      <formula>AND(ISNUMBER(K1),TRUNC(K1)&gt;TODAY())</formula>
    </cfRule>
  </conditionalFormatting>
  <conditionalFormatting sqref="K1:K950">
    <cfRule type="timePeriod" dxfId="15" priority="4" timePeriod="today"/>
  </conditionalFormatting>
  <conditionalFormatting sqref="G1:G137 G141:G144 G146:G195 G198:G228 G232:G243 G245:G279 G284:G299 G308:G363 G365:G418 G420:G491 G495:G950">
    <cfRule type="cellIs" dxfId="0" priority="5" operator="equal">
      <formula>0</formula>
    </cfRule>
  </conditionalFormatting>
  <conditionalFormatting sqref="J1:J950">
    <cfRule type="cellIs" dxfId="16" priority="6" operator="equal">
      <formula>"PREVENTA"</formula>
    </cfRule>
  </conditionalFormatting>
  <conditionalFormatting sqref="H1:H950">
    <cfRule type="cellIs" dxfId="17" priority="7" operator="equal">
      <formula>0</formula>
    </cfRule>
  </conditionalFormatting>
  <conditionalFormatting sqref="L1:L950">
    <cfRule type="expression" dxfId="0" priority="8">
      <formula>AND(ISNUMBER(L1),TRUNC(L1)&lt;TODAY())</formula>
    </cfRule>
  </conditionalFormatting>
  <conditionalFormatting sqref="L1:L950">
    <cfRule type="expression" dxfId="18" priority="9">
      <formula>AND(ISNUMBER(L1),TRUNC(L1)&gt;TODAY())</formula>
    </cfRule>
  </conditionalFormatting>
  <conditionalFormatting sqref="E1:E950">
    <cfRule type="cellIs" dxfId="19" priority="10" operator="equal">
      <formula>0</formula>
    </cfRule>
  </conditionalFormatting>
  <conditionalFormatting sqref="G1:G137 G141:G144 G146:G195 G198:G228 G232:G243 G245:G279 G284:G299 G308:G363 G365:G418 G420:G491 G495:G950">
    <cfRule type="containsBlanks" dxfId="20" priority="11">
      <formula>LEN(TRIM(G1))=0</formula>
    </cfRule>
  </conditionalFormatting>
  <conditionalFormatting sqref="J1:J950">
    <cfRule type="cellIs" dxfId="3" priority="12" operator="equal">
      <formula>"PENDIENTE"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31.14"/>
  </cols>
  <sheetData>
    <row r="1">
      <c r="A1" s="251"/>
      <c r="B1" s="252" t="s">
        <v>143</v>
      </c>
      <c r="D1" s="2" t="s">
        <v>741</v>
      </c>
      <c r="E1" s="2">
        <v>3223.99</v>
      </c>
      <c r="G1" s="8"/>
    </row>
    <row r="2">
      <c r="A2" s="4" t="s">
        <v>146</v>
      </c>
      <c r="B2" s="8" t="s">
        <v>147</v>
      </c>
      <c r="C2" s="8" t="s">
        <v>148</v>
      </c>
      <c r="D2" s="8" t="s">
        <v>75</v>
      </c>
      <c r="E2" s="2" t="s">
        <v>77</v>
      </c>
      <c r="F2" s="8" t="s">
        <v>149</v>
      </c>
      <c r="G2" s="8" t="s">
        <v>150</v>
      </c>
      <c r="H2" s="8" t="s">
        <v>151</v>
      </c>
      <c r="I2" s="8" t="s">
        <v>152</v>
      </c>
      <c r="J2" s="2" t="s">
        <v>153</v>
      </c>
      <c r="K2" s="2" t="s">
        <v>154</v>
      </c>
      <c r="L2" s="2" t="s">
        <v>155</v>
      </c>
      <c r="M2" s="2" t="s">
        <v>742</v>
      </c>
    </row>
    <row r="3" hidden="1">
      <c r="A3" s="4">
        <v>46124.0</v>
      </c>
      <c r="B3" s="2" t="s">
        <v>743</v>
      </c>
      <c r="C3" s="2" t="s">
        <v>744</v>
      </c>
      <c r="D3" s="2" t="s">
        <v>159</v>
      </c>
      <c r="E3" s="2" t="s">
        <v>745</v>
      </c>
      <c r="F3" s="2">
        <v>30.0</v>
      </c>
      <c r="G3" s="2">
        <v>30.0</v>
      </c>
      <c r="H3" s="8">
        <f t="shared" ref="H3:H62" si="1">F3-G3</f>
        <v>0</v>
      </c>
      <c r="I3" s="2" t="b">
        <v>0</v>
      </c>
      <c r="J3" s="2" t="s">
        <v>160</v>
      </c>
      <c r="K3" s="12">
        <f t="shared" ref="K3:K8" si="2">A3+15</f>
        <v>46139</v>
      </c>
      <c r="L3" s="12">
        <f t="shared" ref="L3:L8" si="3">A3+30</f>
        <v>46154</v>
      </c>
      <c r="M3" s="2" t="b">
        <v>0</v>
      </c>
    </row>
    <row r="4" hidden="1">
      <c r="A4" s="4">
        <v>46124.0</v>
      </c>
      <c r="B4" s="2" t="s">
        <v>743</v>
      </c>
      <c r="C4" s="2" t="s">
        <v>746</v>
      </c>
      <c r="D4" s="2" t="s">
        <v>159</v>
      </c>
      <c r="E4" s="2">
        <v>0.0</v>
      </c>
      <c r="F4" s="2">
        <v>180.0</v>
      </c>
      <c r="G4" s="2">
        <v>180.0</v>
      </c>
      <c r="H4" s="8">
        <f t="shared" si="1"/>
        <v>0</v>
      </c>
      <c r="I4" s="2" t="b">
        <v>0</v>
      </c>
      <c r="J4" s="2" t="s">
        <v>160</v>
      </c>
      <c r="K4" s="12">
        <f t="shared" si="2"/>
        <v>46139</v>
      </c>
      <c r="L4" s="12">
        <f t="shared" si="3"/>
        <v>46154</v>
      </c>
      <c r="M4" s="2" t="b">
        <v>0</v>
      </c>
    </row>
    <row r="5" hidden="1">
      <c r="A5" s="4">
        <v>46052.0</v>
      </c>
      <c r="B5" s="2" t="s">
        <v>747</v>
      </c>
      <c r="C5" s="2" t="s">
        <v>748</v>
      </c>
      <c r="D5" s="2" t="s">
        <v>159</v>
      </c>
      <c r="E5" s="2">
        <v>0.0</v>
      </c>
      <c r="F5" s="2">
        <v>120.0</v>
      </c>
      <c r="G5" s="2">
        <v>120.0</v>
      </c>
      <c r="H5" s="8">
        <f t="shared" si="1"/>
        <v>0</v>
      </c>
      <c r="I5" s="2" t="b">
        <v>1</v>
      </c>
      <c r="J5" s="2" t="s">
        <v>160</v>
      </c>
      <c r="K5" s="12">
        <f t="shared" si="2"/>
        <v>46067</v>
      </c>
      <c r="L5" s="12">
        <f t="shared" si="3"/>
        <v>46082</v>
      </c>
    </row>
    <row r="6">
      <c r="A6" s="4">
        <v>46196.0</v>
      </c>
      <c r="B6" s="2" t="s">
        <v>749</v>
      </c>
      <c r="C6" s="2" t="s">
        <v>750</v>
      </c>
      <c r="D6" s="2" t="s">
        <v>159</v>
      </c>
      <c r="E6" s="2" t="s">
        <v>0</v>
      </c>
      <c r="F6" s="2">
        <v>170.0</v>
      </c>
      <c r="G6" s="2">
        <v>30.0</v>
      </c>
      <c r="H6" s="8">
        <f t="shared" si="1"/>
        <v>140</v>
      </c>
      <c r="I6" s="2" t="b">
        <v>0</v>
      </c>
      <c r="J6" s="2" t="s">
        <v>160</v>
      </c>
      <c r="K6" s="12">
        <f t="shared" si="2"/>
        <v>46211</v>
      </c>
      <c r="L6" s="12">
        <f t="shared" si="3"/>
        <v>46226</v>
      </c>
    </row>
    <row r="7" hidden="1">
      <c r="A7" s="4">
        <v>46146.0</v>
      </c>
      <c r="B7" s="2" t="s">
        <v>751</v>
      </c>
      <c r="C7" s="2" t="s">
        <v>752</v>
      </c>
      <c r="D7" s="2" t="s">
        <v>159</v>
      </c>
      <c r="E7" s="2">
        <v>0.0</v>
      </c>
      <c r="F7" s="2">
        <v>55.0</v>
      </c>
      <c r="G7" s="2">
        <v>55.0</v>
      </c>
      <c r="H7" s="8">
        <f t="shared" si="1"/>
        <v>0</v>
      </c>
      <c r="I7" s="2" t="b">
        <v>1</v>
      </c>
      <c r="J7" s="2" t="s">
        <v>160</v>
      </c>
      <c r="K7" s="12">
        <f t="shared" si="2"/>
        <v>46161</v>
      </c>
      <c r="L7" s="12">
        <f t="shared" si="3"/>
        <v>46176</v>
      </c>
    </row>
    <row r="8" hidden="1">
      <c r="A8" s="4">
        <v>46147.0</v>
      </c>
      <c r="B8" s="2" t="s">
        <v>751</v>
      </c>
      <c r="C8" s="2" t="s">
        <v>753</v>
      </c>
      <c r="D8" s="2" t="s">
        <v>159</v>
      </c>
      <c r="E8" s="2" t="s">
        <v>0</v>
      </c>
      <c r="F8" s="2">
        <v>60.0</v>
      </c>
      <c r="G8" s="2">
        <v>60.0</v>
      </c>
      <c r="H8" s="8">
        <f t="shared" si="1"/>
        <v>0</v>
      </c>
      <c r="I8" s="2" t="b">
        <v>1</v>
      </c>
      <c r="J8" s="2" t="s">
        <v>160</v>
      </c>
      <c r="K8" s="12">
        <f t="shared" si="2"/>
        <v>46162</v>
      </c>
      <c r="L8" s="12">
        <f t="shared" si="3"/>
        <v>46177</v>
      </c>
    </row>
    <row r="9" hidden="1">
      <c r="A9" s="4">
        <v>46023.0</v>
      </c>
      <c r="B9" s="2" t="s">
        <v>754</v>
      </c>
      <c r="C9" s="2" t="s">
        <v>755</v>
      </c>
      <c r="D9" s="2" t="s">
        <v>135</v>
      </c>
      <c r="E9" s="2">
        <v>473.0</v>
      </c>
      <c r="F9" s="2">
        <v>40.0</v>
      </c>
      <c r="G9" s="2">
        <v>0.0</v>
      </c>
      <c r="H9" s="8">
        <f t="shared" si="1"/>
        <v>40</v>
      </c>
      <c r="I9" s="2" t="b">
        <v>0</v>
      </c>
      <c r="J9" s="2" t="s">
        <v>160</v>
      </c>
    </row>
    <row r="10" hidden="1">
      <c r="A10" s="4">
        <v>46135.0</v>
      </c>
      <c r="B10" s="2" t="s">
        <v>754</v>
      </c>
      <c r="C10" s="2" t="s">
        <v>756</v>
      </c>
      <c r="D10" s="2" t="s">
        <v>159</v>
      </c>
      <c r="E10" s="2" t="s">
        <v>745</v>
      </c>
      <c r="F10" s="2">
        <v>20.0</v>
      </c>
      <c r="G10" s="2">
        <v>20.0</v>
      </c>
      <c r="H10" s="8">
        <f t="shared" si="1"/>
        <v>0</v>
      </c>
      <c r="I10" s="2" t="b">
        <v>1</v>
      </c>
      <c r="J10" s="2" t="s">
        <v>160</v>
      </c>
      <c r="K10" s="12">
        <f t="shared" ref="K10:K34" si="4">A10+15</f>
        <v>46150</v>
      </c>
      <c r="L10" s="12">
        <f t="shared" ref="L10:L34" si="5">A10+30</f>
        <v>46165</v>
      </c>
      <c r="M10" s="2" t="b">
        <v>0</v>
      </c>
    </row>
    <row r="11" hidden="1">
      <c r="A11" s="4">
        <v>46135.0</v>
      </c>
      <c r="B11" s="2" t="s">
        <v>754</v>
      </c>
      <c r="C11" s="2" t="s">
        <v>211</v>
      </c>
      <c r="D11" s="2" t="s">
        <v>159</v>
      </c>
      <c r="E11" s="2" t="s">
        <v>745</v>
      </c>
      <c r="F11" s="2">
        <v>10.0</v>
      </c>
      <c r="G11" s="2">
        <v>10.0</v>
      </c>
      <c r="H11" s="8">
        <f t="shared" si="1"/>
        <v>0</v>
      </c>
      <c r="I11" s="2" t="b">
        <v>1</v>
      </c>
      <c r="J11" s="2" t="s">
        <v>160</v>
      </c>
      <c r="K11" s="12">
        <f t="shared" si="4"/>
        <v>46150</v>
      </c>
      <c r="L11" s="12">
        <f t="shared" si="5"/>
        <v>46165</v>
      </c>
      <c r="M11" s="2" t="b">
        <v>0</v>
      </c>
    </row>
    <row r="12" hidden="1">
      <c r="A12" s="4">
        <v>46135.0</v>
      </c>
      <c r="B12" s="2" t="s">
        <v>754</v>
      </c>
      <c r="C12" s="2" t="s">
        <v>757</v>
      </c>
      <c r="D12" s="2" t="s">
        <v>159</v>
      </c>
      <c r="E12" s="2" t="s">
        <v>745</v>
      </c>
      <c r="F12" s="2">
        <v>34.0</v>
      </c>
      <c r="G12" s="2">
        <v>34.0</v>
      </c>
      <c r="H12" s="8">
        <f t="shared" si="1"/>
        <v>0</v>
      </c>
      <c r="I12" s="2" t="b">
        <v>1</v>
      </c>
      <c r="J12" s="2" t="s">
        <v>160</v>
      </c>
      <c r="K12" s="12">
        <f t="shared" si="4"/>
        <v>46150</v>
      </c>
      <c r="L12" s="12">
        <f t="shared" si="5"/>
        <v>46165</v>
      </c>
      <c r="M12" s="2" t="b">
        <v>1</v>
      </c>
    </row>
    <row r="13" hidden="1">
      <c r="A13" s="4">
        <v>46166.0</v>
      </c>
      <c r="B13" s="2" t="s">
        <v>754</v>
      </c>
      <c r="C13" s="2" t="s">
        <v>758</v>
      </c>
      <c r="D13" s="2" t="s">
        <v>159</v>
      </c>
      <c r="E13" s="2" t="s">
        <v>138</v>
      </c>
      <c r="F13" s="2">
        <v>43.0</v>
      </c>
      <c r="G13" s="2">
        <v>43.0</v>
      </c>
      <c r="H13" s="8">
        <f t="shared" si="1"/>
        <v>0</v>
      </c>
      <c r="I13" s="8" t="b">
        <v>0</v>
      </c>
      <c r="J13" s="2" t="s">
        <v>160</v>
      </c>
      <c r="K13" s="12">
        <f t="shared" si="4"/>
        <v>46181</v>
      </c>
      <c r="L13" s="12">
        <f t="shared" si="5"/>
        <v>46196</v>
      </c>
      <c r="M13" s="2" t="s">
        <v>759</v>
      </c>
    </row>
    <row r="14" hidden="1">
      <c r="A14" s="4">
        <v>46166.0</v>
      </c>
      <c r="B14" s="2" t="s">
        <v>754</v>
      </c>
      <c r="C14" s="2" t="s">
        <v>760</v>
      </c>
      <c r="D14" s="2" t="s">
        <v>159</v>
      </c>
      <c r="E14" s="2" t="s">
        <v>0</v>
      </c>
      <c r="F14" s="2">
        <v>56.0</v>
      </c>
      <c r="G14" s="2">
        <v>56.0</v>
      </c>
      <c r="H14" s="8">
        <f t="shared" si="1"/>
        <v>0</v>
      </c>
      <c r="I14" s="8" t="b">
        <v>0</v>
      </c>
      <c r="J14" s="2" t="s">
        <v>160</v>
      </c>
      <c r="K14" s="12">
        <f t="shared" si="4"/>
        <v>46181</v>
      </c>
      <c r="L14" s="12">
        <f t="shared" si="5"/>
        <v>46196</v>
      </c>
      <c r="M14" s="2" t="s">
        <v>759</v>
      </c>
    </row>
    <row r="15" hidden="1">
      <c r="A15" s="4">
        <v>46187.0</v>
      </c>
      <c r="B15" s="2" t="s">
        <v>754</v>
      </c>
      <c r="C15" s="2" t="s">
        <v>761</v>
      </c>
      <c r="D15" s="2" t="s">
        <v>159</v>
      </c>
      <c r="E15" s="2" t="s">
        <v>138</v>
      </c>
      <c r="F15" s="2">
        <v>40.0</v>
      </c>
      <c r="G15" s="2">
        <v>40.0</v>
      </c>
      <c r="H15" s="8">
        <f t="shared" si="1"/>
        <v>0</v>
      </c>
      <c r="I15" s="2" t="b">
        <v>0</v>
      </c>
      <c r="J15" s="2" t="s">
        <v>160</v>
      </c>
      <c r="K15" s="12">
        <f t="shared" si="4"/>
        <v>46202</v>
      </c>
      <c r="L15" s="12">
        <f t="shared" si="5"/>
        <v>46217</v>
      </c>
    </row>
    <row r="16" hidden="1">
      <c r="A16" s="4">
        <v>46187.0</v>
      </c>
      <c r="B16" s="2" t="s">
        <v>754</v>
      </c>
      <c r="C16" s="2" t="s">
        <v>762</v>
      </c>
      <c r="D16" s="2" t="s">
        <v>159</v>
      </c>
      <c r="E16" s="2" t="s">
        <v>0</v>
      </c>
      <c r="F16" s="2">
        <v>60.0</v>
      </c>
      <c r="G16" s="2">
        <v>1.0</v>
      </c>
      <c r="H16" s="8">
        <f t="shared" si="1"/>
        <v>59</v>
      </c>
      <c r="I16" s="2" t="b">
        <v>0</v>
      </c>
      <c r="J16" s="2" t="s">
        <v>160</v>
      </c>
      <c r="K16" s="12">
        <f t="shared" si="4"/>
        <v>46202</v>
      </c>
      <c r="L16" s="12">
        <f t="shared" si="5"/>
        <v>46217</v>
      </c>
    </row>
    <row r="17" hidden="1">
      <c r="A17" s="4">
        <v>46190.0</v>
      </c>
      <c r="B17" s="2" t="s">
        <v>754</v>
      </c>
      <c r="C17" s="2" t="s">
        <v>763</v>
      </c>
      <c r="D17" s="2" t="s">
        <v>159</v>
      </c>
      <c r="E17" s="2" t="s">
        <v>138</v>
      </c>
      <c r="F17" s="2">
        <v>33.0</v>
      </c>
      <c r="G17" s="2">
        <v>0.0</v>
      </c>
      <c r="H17" s="8">
        <f t="shared" si="1"/>
        <v>33</v>
      </c>
      <c r="I17" s="2" t="b">
        <v>0</v>
      </c>
      <c r="J17" s="2" t="s">
        <v>160</v>
      </c>
      <c r="K17" s="12">
        <f t="shared" si="4"/>
        <v>46205</v>
      </c>
      <c r="L17" s="12">
        <f t="shared" si="5"/>
        <v>46220</v>
      </c>
    </row>
    <row r="18" hidden="1">
      <c r="A18" s="4">
        <v>46192.0</v>
      </c>
      <c r="B18" s="2" t="s">
        <v>754</v>
      </c>
      <c r="C18" s="2" t="s">
        <v>764</v>
      </c>
      <c r="D18" s="2" t="s">
        <v>159</v>
      </c>
      <c r="E18" s="2" t="s">
        <v>0</v>
      </c>
      <c r="F18" s="2">
        <v>56.0</v>
      </c>
      <c r="G18" s="2">
        <v>0.0</v>
      </c>
      <c r="H18" s="8">
        <f t="shared" si="1"/>
        <v>56</v>
      </c>
      <c r="I18" s="2" t="b">
        <v>0</v>
      </c>
      <c r="J18" s="2" t="s">
        <v>160</v>
      </c>
      <c r="K18" s="12">
        <f t="shared" si="4"/>
        <v>46207</v>
      </c>
      <c r="L18" s="12">
        <f t="shared" si="5"/>
        <v>46222</v>
      </c>
    </row>
    <row r="19" hidden="1">
      <c r="A19" s="4">
        <v>46192.0</v>
      </c>
      <c r="B19" s="2" t="s">
        <v>754</v>
      </c>
      <c r="C19" s="2" t="s">
        <v>765</v>
      </c>
      <c r="D19" s="2" t="s">
        <v>159</v>
      </c>
      <c r="E19" s="2" t="s">
        <v>0</v>
      </c>
      <c r="F19" s="2">
        <v>62.0</v>
      </c>
      <c r="G19" s="2">
        <v>0.0</v>
      </c>
      <c r="H19" s="8">
        <f t="shared" si="1"/>
        <v>62</v>
      </c>
      <c r="I19" s="2" t="b">
        <v>0</v>
      </c>
      <c r="J19" s="2" t="s">
        <v>160</v>
      </c>
      <c r="K19" s="12">
        <f t="shared" si="4"/>
        <v>46207</v>
      </c>
      <c r="L19" s="12">
        <f t="shared" si="5"/>
        <v>46222</v>
      </c>
    </row>
    <row r="20" hidden="1">
      <c r="A20" s="4">
        <v>46124.0</v>
      </c>
      <c r="B20" s="2" t="s">
        <v>766</v>
      </c>
      <c r="C20" s="2" t="s">
        <v>767</v>
      </c>
      <c r="D20" s="2" t="s">
        <v>159</v>
      </c>
      <c r="E20" s="2" t="s">
        <v>745</v>
      </c>
      <c r="F20" s="2">
        <v>15.0</v>
      </c>
      <c r="G20" s="2">
        <v>15.0</v>
      </c>
      <c r="H20" s="8">
        <f t="shared" si="1"/>
        <v>0</v>
      </c>
      <c r="I20" s="2" t="b">
        <v>1</v>
      </c>
      <c r="J20" s="2" t="s">
        <v>160</v>
      </c>
      <c r="K20" s="12">
        <f t="shared" si="4"/>
        <v>46139</v>
      </c>
      <c r="L20" s="12">
        <f t="shared" si="5"/>
        <v>46154</v>
      </c>
      <c r="M20" s="2" t="b">
        <v>0</v>
      </c>
    </row>
    <row r="21" hidden="1">
      <c r="A21" s="4">
        <v>46124.0</v>
      </c>
      <c r="B21" s="2" t="s">
        <v>766</v>
      </c>
      <c r="C21" s="2" t="s">
        <v>768</v>
      </c>
      <c r="D21" s="2" t="s">
        <v>159</v>
      </c>
      <c r="E21" s="2" t="s">
        <v>745</v>
      </c>
      <c r="F21" s="2">
        <v>25.0</v>
      </c>
      <c r="G21" s="2">
        <v>25.0</v>
      </c>
      <c r="H21" s="8">
        <f t="shared" si="1"/>
        <v>0</v>
      </c>
      <c r="I21" s="2" t="b">
        <v>1</v>
      </c>
      <c r="J21" s="2" t="s">
        <v>160</v>
      </c>
      <c r="K21" s="12">
        <f t="shared" si="4"/>
        <v>46139</v>
      </c>
      <c r="L21" s="12">
        <f t="shared" si="5"/>
        <v>46154</v>
      </c>
      <c r="M21" s="2" t="b">
        <v>0</v>
      </c>
    </row>
    <row r="22" hidden="1">
      <c r="A22" s="4">
        <v>46124.0</v>
      </c>
      <c r="B22" s="2" t="s">
        <v>766</v>
      </c>
      <c r="C22" s="2" t="s">
        <v>769</v>
      </c>
      <c r="D22" s="2" t="s">
        <v>159</v>
      </c>
      <c r="E22" s="2" t="s">
        <v>745</v>
      </c>
      <c r="F22" s="2">
        <v>29.0</v>
      </c>
      <c r="G22" s="2">
        <v>29.0</v>
      </c>
      <c r="H22" s="8">
        <f t="shared" si="1"/>
        <v>0</v>
      </c>
      <c r="I22" s="2" t="b">
        <v>1</v>
      </c>
      <c r="J22" s="2" t="s">
        <v>160</v>
      </c>
      <c r="K22" s="12">
        <f t="shared" si="4"/>
        <v>46139</v>
      </c>
      <c r="L22" s="12">
        <f t="shared" si="5"/>
        <v>46154</v>
      </c>
      <c r="M22" s="2" t="b">
        <v>1</v>
      </c>
    </row>
    <row r="23" hidden="1">
      <c r="A23" s="4">
        <v>46124.0</v>
      </c>
      <c r="B23" s="2" t="s">
        <v>766</v>
      </c>
      <c r="C23" s="2" t="s">
        <v>770</v>
      </c>
      <c r="D23" s="2" t="s">
        <v>159</v>
      </c>
      <c r="E23" s="2" t="s">
        <v>745</v>
      </c>
      <c r="F23" s="2">
        <v>15.0</v>
      </c>
      <c r="G23" s="2">
        <v>15.0</v>
      </c>
      <c r="H23" s="8">
        <f t="shared" si="1"/>
        <v>0</v>
      </c>
      <c r="I23" s="2" t="b">
        <v>1</v>
      </c>
      <c r="J23" s="2" t="s">
        <v>160</v>
      </c>
      <c r="K23" s="12">
        <f t="shared" si="4"/>
        <v>46139</v>
      </c>
      <c r="L23" s="12">
        <f t="shared" si="5"/>
        <v>46154</v>
      </c>
      <c r="M23" s="2" t="b">
        <v>0</v>
      </c>
    </row>
    <row r="24" hidden="1">
      <c r="A24" s="4">
        <v>46124.0</v>
      </c>
      <c r="B24" s="2" t="s">
        <v>766</v>
      </c>
      <c r="C24" s="2" t="s">
        <v>771</v>
      </c>
      <c r="D24" s="2" t="s">
        <v>159</v>
      </c>
      <c r="E24" s="2" t="s">
        <v>745</v>
      </c>
      <c r="F24" s="2">
        <v>25.0</v>
      </c>
      <c r="G24" s="2">
        <v>25.0</v>
      </c>
      <c r="H24" s="8">
        <f t="shared" si="1"/>
        <v>0</v>
      </c>
      <c r="I24" s="2" t="b">
        <v>1</v>
      </c>
      <c r="J24" s="2" t="s">
        <v>160</v>
      </c>
      <c r="K24" s="12">
        <f t="shared" si="4"/>
        <v>46139</v>
      </c>
      <c r="L24" s="12">
        <f t="shared" si="5"/>
        <v>46154</v>
      </c>
      <c r="M24" s="2" t="b">
        <v>0</v>
      </c>
    </row>
    <row r="25" hidden="1">
      <c r="A25" s="4">
        <v>46124.0</v>
      </c>
      <c r="B25" s="2" t="s">
        <v>766</v>
      </c>
      <c r="C25" s="2" t="s">
        <v>772</v>
      </c>
      <c r="D25" s="2" t="s">
        <v>159</v>
      </c>
      <c r="E25" s="2" t="s">
        <v>745</v>
      </c>
      <c r="F25" s="2">
        <v>24.0</v>
      </c>
      <c r="G25" s="2">
        <v>24.0</v>
      </c>
      <c r="H25" s="8">
        <f t="shared" si="1"/>
        <v>0</v>
      </c>
      <c r="I25" s="2" t="b">
        <v>1</v>
      </c>
      <c r="J25" s="2" t="s">
        <v>160</v>
      </c>
      <c r="K25" s="12">
        <f t="shared" si="4"/>
        <v>46139</v>
      </c>
      <c r="L25" s="12">
        <f t="shared" si="5"/>
        <v>46154</v>
      </c>
      <c r="M25" s="2" t="b">
        <v>1</v>
      </c>
    </row>
    <row r="26" hidden="1">
      <c r="A26" s="4">
        <v>46124.0</v>
      </c>
      <c r="B26" s="2" t="s">
        <v>766</v>
      </c>
      <c r="C26" s="2" t="s">
        <v>665</v>
      </c>
      <c r="D26" s="2" t="s">
        <v>159</v>
      </c>
      <c r="E26" s="2" t="s">
        <v>745</v>
      </c>
      <c r="F26" s="2">
        <v>25.0</v>
      </c>
      <c r="G26" s="2">
        <v>25.0</v>
      </c>
      <c r="H26" s="8">
        <f t="shared" si="1"/>
        <v>0</v>
      </c>
      <c r="I26" s="2" t="b">
        <v>1</v>
      </c>
      <c r="J26" s="2" t="s">
        <v>160</v>
      </c>
      <c r="K26" s="12">
        <f t="shared" si="4"/>
        <v>46139</v>
      </c>
      <c r="L26" s="12">
        <f t="shared" si="5"/>
        <v>46154</v>
      </c>
      <c r="M26" s="2" t="b">
        <v>0</v>
      </c>
    </row>
    <row r="27" hidden="1">
      <c r="A27" s="4">
        <v>46124.0</v>
      </c>
      <c r="B27" s="2" t="s">
        <v>766</v>
      </c>
      <c r="C27" s="2" t="s">
        <v>773</v>
      </c>
      <c r="D27" s="2" t="s">
        <v>159</v>
      </c>
      <c r="E27" s="2" t="s">
        <v>745</v>
      </c>
      <c r="F27" s="2">
        <v>15.0</v>
      </c>
      <c r="G27" s="2">
        <v>15.0</v>
      </c>
      <c r="H27" s="8">
        <f t="shared" si="1"/>
        <v>0</v>
      </c>
      <c r="I27" s="2" t="b">
        <v>1</v>
      </c>
      <c r="J27" s="2" t="s">
        <v>160</v>
      </c>
      <c r="K27" s="12">
        <f t="shared" si="4"/>
        <v>46139</v>
      </c>
      <c r="L27" s="12">
        <f t="shared" si="5"/>
        <v>46154</v>
      </c>
      <c r="M27" s="2" t="b">
        <v>0</v>
      </c>
    </row>
    <row r="28" hidden="1">
      <c r="A28" s="4">
        <v>46124.0</v>
      </c>
      <c r="B28" s="2" t="s">
        <v>766</v>
      </c>
      <c r="C28" s="2" t="s">
        <v>774</v>
      </c>
      <c r="D28" s="2" t="s">
        <v>159</v>
      </c>
      <c r="E28" s="2" t="s">
        <v>745</v>
      </c>
      <c r="F28" s="2">
        <v>15.0</v>
      </c>
      <c r="G28" s="2">
        <v>15.0</v>
      </c>
      <c r="H28" s="8">
        <f t="shared" si="1"/>
        <v>0</v>
      </c>
      <c r="I28" s="2" t="b">
        <v>1</v>
      </c>
      <c r="J28" s="2" t="s">
        <v>160</v>
      </c>
      <c r="K28" s="12">
        <f t="shared" si="4"/>
        <v>46139</v>
      </c>
      <c r="L28" s="12">
        <f t="shared" si="5"/>
        <v>46154</v>
      </c>
      <c r="M28" s="2" t="b">
        <v>0</v>
      </c>
    </row>
    <row r="29" hidden="1">
      <c r="A29" s="4">
        <v>46124.0</v>
      </c>
      <c r="B29" s="2" t="s">
        <v>766</v>
      </c>
      <c r="C29" s="2" t="s">
        <v>775</v>
      </c>
      <c r="D29" s="2" t="s">
        <v>159</v>
      </c>
      <c r="E29" s="2" t="s">
        <v>745</v>
      </c>
      <c r="F29" s="2">
        <v>29.0</v>
      </c>
      <c r="G29" s="2">
        <v>29.0</v>
      </c>
      <c r="H29" s="8">
        <f t="shared" si="1"/>
        <v>0</v>
      </c>
      <c r="I29" s="2" t="b">
        <v>1</v>
      </c>
      <c r="J29" s="2" t="s">
        <v>160</v>
      </c>
      <c r="K29" s="12">
        <f t="shared" si="4"/>
        <v>46139</v>
      </c>
      <c r="L29" s="12">
        <f t="shared" si="5"/>
        <v>46154</v>
      </c>
      <c r="M29" s="2" t="b">
        <v>1</v>
      </c>
    </row>
    <row r="30" hidden="1">
      <c r="A30" s="4">
        <v>46124.0</v>
      </c>
      <c r="B30" s="2" t="s">
        <v>766</v>
      </c>
      <c r="C30" s="2" t="s">
        <v>776</v>
      </c>
      <c r="D30" s="2" t="s">
        <v>159</v>
      </c>
      <c r="E30" s="2" t="s">
        <v>745</v>
      </c>
      <c r="F30" s="2">
        <v>15.0</v>
      </c>
      <c r="G30" s="2">
        <v>15.0</v>
      </c>
      <c r="H30" s="8">
        <f t="shared" si="1"/>
        <v>0</v>
      </c>
      <c r="I30" s="2" t="b">
        <v>1</v>
      </c>
      <c r="J30" s="2" t="s">
        <v>160</v>
      </c>
      <c r="K30" s="12">
        <f t="shared" si="4"/>
        <v>46139</v>
      </c>
      <c r="L30" s="12">
        <f t="shared" si="5"/>
        <v>46154</v>
      </c>
      <c r="M30" s="2" t="b">
        <v>0</v>
      </c>
    </row>
    <row r="31" hidden="1">
      <c r="A31" s="4">
        <v>46124.0</v>
      </c>
      <c r="B31" s="2" t="s">
        <v>766</v>
      </c>
      <c r="C31" s="2" t="s">
        <v>777</v>
      </c>
      <c r="D31" s="2" t="s">
        <v>159</v>
      </c>
      <c r="E31" s="2" t="s">
        <v>745</v>
      </c>
      <c r="F31" s="2">
        <v>10.0</v>
      </c>
      <c r="G31" s="2">
        <v>10.0</v>
      </c>
      <c r="H31" s="8">
        <f t="shared" si="1"/>
        <v>0</v>
      </c>
      <c r="I31" s="2" t="b">
        <v>1</v>
      </c>
      <c r="J31" s="2" t="s">
        <v>160</v>
      </c>
      <c r="K31" s="12">
        <f t="shared" si="4"/>
        <v>46139</v>
      </c>
      <c r="L31" s="12">
        <f t="shared" si="5"/>
        <v>46154</v>
      </c>
      <c r="M31" s="2" t="b">
        <v>0</v>
      </c>
    </row>
    <row r="32" hidden="1">
      <c r="A32" s="4">
        <v>46124.0</v>
      </c>
      <c r="B32" s="2" t="s">
        <v>766</v>
      </c>
      <c r="C32" s="2" t="s">
        <v>778</v>
      </c>
      <c r="D32" s="2" t="s">
        <v>159</v>
      </c>
      <c r="E32" s="2" t="s">
        <v>745</v>
      </c>
      <c r="F32" s="2">
        <v>10.0</v>
      </c>
      <c r="G32" s="2">
        <v>10.0</v>
      </c>
      <c r="H32" s="8">
        <f t="shared" si="1"/>
        <v>0</v>
      </c>
      <c r="I32" s="2" t="b">
        <v>1</v>
      </c>
      <c r="J32" s="2" t="s">
        <v>160</v>
      </c>
      <c r="K32" s="12">
        <f t="shared" si="4"/>
        <v>46139</v>
      </c>
      <c r="L32" s="12">
        <f t="shared" si="5"/>
        <v>46154</v>
      </c>
      <c r="M32" s="2" t="b">
        <v>0</v>
      </c>
    </row>
    <row r="33" hidden="1">
      <c r="A33" s="4">
        <v>46125.0</v>
      </c>
      <c r="B33" s="2" t="s">
        <v>766</v>
      </c>
      <c r="C33" s="2" t="s">
        <v>779</v>
      </c>
      <c r="D33" s="2" t="s">
        <v>159</v>
      </c>
      <c r="E33" s="2" t="s">
        <v>745</v>
      </c>
      <c r="F33" s="2">
        <v>24.0</v>
      </c>
      <c r="G33" s="2">
        <v>24.0</v>
      </c>
      <c r="H33" s="8">
        <f t="shared" si="1"/>
        <v>0</v>
      </c>
      <c r="I33" s="2" t="b">
        <v>1</v>
      </c>
      <c r="J33" s="2" t="s">
        <v>160</v>
      </c>
      <c r="K33" s="12">
        <f t="shared" si="4"/>
        <v>46140</v>
      </c>
      <c r="L33" s="12">
        <f t="shared" si="5"/>
        <v>46155</v>
      </c>
      <c r="M33" s="2" t="b">
        <v>1</v>
      </c>
    </row>
    <row r="34" hidden="1">
      <c r="A34" s="4">
        <v>46125.0</v>
      </c>
      <c r="B34" s="2" t="s">
        <v>766</v>
      </c>
      <c r="C34" s="2" t="s">
        <v>780</v>
      </c>
      <c r="D34" s="2" t="s">
        <v>159</v>
      </c>
      <c r="E34" s="2" t="s">
        <v>745</v>
      </c>
      <c r="F34" s="2">
        <v>24.0</v>
      </c>
      <c r="G34" s="2">
        <v>24.0</v>
      </c>
      <c r="H34" s="8">
        <f t="shared" si="1"/>
        <v>0</v>
      </c>
      <c r="I34" s="2" t="b">
        <v>1</v>
      </c>
      <c r="J34" s="2" t="s">
        <v>160</v>
      </c>
      <c r="K34" s="12">
        <f t="shared" si="4"/>
        <v>46140</v>
      </c>
      <c r="L34" s="12">
        <f t="shared" si="5"/>
        <v>46155</v>
      </c>
      <c r="M34" s="2" t="b">
        <v>1</v>
      </c>
    </row>
    <row r="35" hidden="1">
      <c r="A35" s="4">
        <v>46023.0</v>
      </c>
      <c r="B35" s="2" t="s">
        <v>754</v>
      </c>
      <c r="C35" s="2" t="s">
        <v>781</v>
      </c>
      <c r="D35" s="2" t="s">
        <v>135</v>
      </c>
      <c r="E35" s="2">
        <v>473.0</v>
      </c>
      <c r="F35" s="2">
        <v>35.0</v>
      </c>
      <c r="G35" s="2">
        <v>0.0</v>
      </c>
      <c r="H35" s="8">
        <f t="shared" si="1"/>
        <v>35</v>
      </c>
      <c r="I35" s="2" t="b">
        <v>0</v>
      </c>
      <c r="J35" s="2" t="s">
        <v>160</v>
      </c>
    </row>
    <row r="36" hidden="1">
      <c r="A36" s="4">
        <v>46143.0</v>
      </c>
      <c r="B36" s="2" t="s">
        <v>766</v>
      </c>
      <c r="C36" s="2" t="s">
        <v>782</v>
      </c>
      <c r="D36" s="2" t="s">
        <v>159</v>
      </c>
      <c r="E36" s="2" t="s">
        <v>745</v>
      </c>
      <c r="F36" s="2">
        <v>105.0</v>
      </c>
      <c r="G36" s="2">
        <v>105.0</v>
      </c>
      <c r="H36" s="8">
        <f t="shared" si="1"/>
        <v>0</v>
      </c>
      <c r="I36" s="2" t="b">
        <v>1</v>
      </c>
      <c r="J36" s="2" t="s">
        <v>160</v>
      </c>
      <c r="K36" s="12">
        <f t="shared" ref="K36:K65" si="6">A36+15</f>
        <v>46158</v>
      </c>
      <c r="L36" s="12">
        <f t="shared" ref="L36:L65" si="7">A36+30</f>
        <v>46173</v>
      </c>
      <c r="M36" s="2" t="b">
        <v>0</v>
      </c>
    </row>
    <row r="37" hidden="1">
      <c r="A37" s="4">
        <v>46192.0</v>
      </c>
      <c r="B37" s="2" t="s">
        <v>766</v>
      </c>
      <c r="C37" s="2" t="s">
        <v>783</v>
      </c>
      <c r="D37" s="2" t="s">
        <v>159</v>
      </c>
      <c r="E37" s="2" t="s">
        <v>0</v>
      </c>
      <c r="F37" s="2">
        <v>41.0</v>
      </c>
      <c r="G37" s="2">
        <v>0.0</v>
      </c>
      <c r="H37" s="8">
        <f t="shared" si="1"/>
        <v>41</v>
      </c>
      <c r="I37" s="2" t="b">
        <v>0</v>
      </c>
      <c r="J37" s="2" t="s">
        <v>160</v>
      </c>
      <c r="K37" s="12">
        <f t="shared" si="6"/>
        <v>46207</v>
      </c>
      <c r="L37" s="12">
        <f t="shared" si="7"/>
        <v>46222</v>
      </c>
    </row>
    <row r="38" hidden="1">
      <c r="A38" s="4">
        <v>46192.0</v>
      </c>
      <c r="B38" s="2" t="s">
        <v>766</v>
      </c>
      <c r="C38" s="2" t="s">
        <v>784</v>
      </c>
      <c r="D38" s="2" t="s">
        <v>159</v>
      </c>
      <c r="E38" s="2" t="s">
        <v>0</v>
      </c>
      <c r="F38" s="2">
        <v>41.0</v>
      </c>
      <c r="G38" s="2">
        <v>0.0</v>
      </c>
      <c r="H38" s="8">
        <f t="shared" si="1"/>
        <v>41</v>
      </c>
      <c r="I38" s="2" t="b">
        <v>0</v>
      </c>
      <c r="J38" s="2" t="s">
        <v>160</v>
      </c>
      <c r="K38" s="12">
        <f t="shared" si="6"/>
        <v>46207</v>
      </c>
      <c r="L38" s="12">
        <f t="shared" si="7"/>
        <v>46222</v>
      </c>
    </row>
    <row r="39" hidden="1">
      <c r="A39" s="4">
        <v>46192.0</v>
      </c>
      <c r="B39" s="2" t="s">
        <v>766</v>
      </c>
      <c r="C39" s="2" t="s">
        <v>785</v>
      </c>
      <c r="D39" s="2" t="s">
        <v>159</v>
      </c>
      <c r="E39" s="2" t="s">
        <v>0</v>
      </c>
      <c r="F39" s="2">
        <v>45.0</v>
      </c>
      <c r="G39" s="2">
        <v>0.0</v>
      </c>
      <c r="H39" s="8">
        <f t="shared" si="1"/>
        <v>45</v>
      </c>
      <c r="I39" s="2" t="b">
        <v>0</v>
      </c>
      <c r="J39" s="2" t="s">
        <v>160</v>
      </c>
      <c r="K39" s="12">
        <f t="shared" si="6"/>
        <v>46207</v>
      </c>
      <c r="L39" s="12">
        <f t="shared" si="7"/>
        <v>46222</v>
      </c>
    </row>
    <row r="40" hidden="1">
      <c r="A40" s="4">
        <v>46147.0</v>
      </c>
      <c r="B40" s="2" t="s">
        <v>38</v>
      </c>
      <c r="C40" s="2" t="s">
        <v>786</v>
      </c>
      <c r="D40" s="2" t="s">
        <v>159</v>
      </c>
      <c r="E40" s="2">
        <v>0.0</v>
      </c>
      <c r="F40" s="2">
        <v>55.0</v>
      </c>
      <c r="G40" s="2">
        <v>55.0</v>
      </c>
      <c r="H40" s="8">
        <f t="shared" si="1"/>
        <v>0</v>
      </c>
      <c r="I40" s="2" t="b">
        <v>1</v>
      </c>
      <c r="J40" s="2" t="s">
        <v>160</v>
      </c>
      <c r="K40" s="12">
        <f t="shared" si="6"/>
        <v>46162</v>
      </c>
      <c r="L40" s="12">
        <f t="shared" si="7"/>
        <v>46177</v>
      </c>
    </row>
    <row r="41" hidden="1">
      <c r="A41" s="4">
        <v>46154.0</v>
      </c>
      <c r="B41" s="2" t="s">
        <v>38</v>
      </c>
      <c r="C41" s="2" t="s">
        <v>787</v>
      </c>
      <c r="D41" s="2" t="s">
        <v>159</v>
      </c>
      <c r="E41" s="2">
        <v>0.0</v>
      </c>
      <c r="F41" s="2">
        <v>70.0</v>
      </c>
      <c r="G41" s="2">
        <v>70.0</v>
      </c>
      <c r="H41" s="8">
        <f t="shared" si="1"/>
        <v>0</v>
      </c>
      <c r="I41" s="2" t="b">
        <v>1</v>
      </c>
      <c r="J41" s="2" t="s">
        <v>160</v>
      </c>
      <c r="K41" s="12">
        <f t="shared" si="6"/>
        <v>46169</v>
      </c>
      <c r="L41" s="12">
        <f t="shared" si="7"/>
        <v>46184</v>
      </c>
    </row>
    <row r="42" hidden="1">
      <c r="A42" s="4">
        <v>46059.0</v>
      </c>
      <c r="B42" s="2" t="s">
        <v>788</v>
      </c>
      <c r="C42" s="2" t="s">
        <v>789</v>
      </c>
      <c r="D42" s="2" t="s">
        <v>159</v>
      </c>
      <c r="E42" s="2">
        <v>0.0</v>
      </c>
      <c r="F42" s="2">
        <v>40.0</v>
      </c>
      <c r="G42" s="2">
        <v>40.0</v>
      </c>
      <c r="H42" s="8">
        <f t="shared" si="1"/>
        <v>0</v>
      </c>
      <c r="I42" s="2" t="b">
        <v>1</v>
      </c>
      <c r="J42" s="2" t="s">
        <v>160</v>
      </c>
      <c r="K42" s="12">
        <f t="shared" si="6"/>
        <v>46074</v>
      </c>
      <c r="L42" s="12">
        <f t="shared" si="7"/>
        <v>46089</v>
      </c>
    </row>
    <row r="43" hidden="1">
      <c r="A43" s="4">
        <v>46059.0</v>
      </c>
      <c r="B43" s="2" t="s">
        <v>788</v>
      </c>
      <c r="C43" s="2" t="s">
        <v>213</v>
      </c>
      <c r="D43" s="2" t="s">
        <v>159</v>
      </c>
      <c r="E43" s="2">
        <v>0.0</v>
      </c>
      <c r="F43" s="2">
        <v>40.0</v>
      </c>
      <c r="G43" s="2">
        <v>40.0</v>
      </c>
      <c r="H43" s="8">
        <f t="shared" si="1"/>
        <v>0</v>
      </c>
      <c r="I43" s="2" t="b">
        <v>1</v>
      </c>
      <c r="J43" s="2" t="s">
        <v>160</v>
      </c>
      <c r="K43" s="12">
        <f t="shared" si="6"/>
        <v>46074</v>
      </c>
      <c r="L43" s="12">
        <f t="shared" si="7"/>
        <v>46089</v>
      </c>
    </row>
    <row r="44" hidden="1">
      <c r="A44" s="4">
        <v>46125.0</v>
      </c>
      <c r="B44" s="2" t="s">
        <v>788</v>
      </c>
      <c r="C44" s="2" t="s">
        <v>790</v>
      </c>
      <c r="D44" s="2" t="s">
        <v>159</v>
      </c>
      <c r="E44" s="2" t="s">
        <v>745</v>
      </c>
      <c r="F44" s="2">
        <v>15.0</v>
      </c>
      <c r="G44" s="2">
        <v>15.0</v>
      </c>
      <c r="H44" s="8">
        <f t="shared" si="1"/>
        <v>0</v>
      </c>
      <c r="I44" s="2" t="b">
        <v>1</v>
      </c>
      <c r="J44" s="2" t="s">
        <v>160</v>
      </c>
      <c r="K44" s="12">
        <f t="shared" si="6"/>
        <v>46140</v>
      </c>
      <c r="L44" s="12">
        <f t="shared" si="7"/>
        <v>46155</v>
      </c>
      <c r="M44" s="2" t="b">
        <v>0</v>
      </c>
    </row>
    <row r="45" hidden="1">
      <c r="A45" s="4">
        <v>46060.0</v>
      </c>
      <c r="B45" s="2" t="s">
        <v>791</v>
      </c>
      <c r="C45" s="2" t="s">
        <v>792</v>
      </c>
      <c r="D45" s="2" t="s">
        <v>159</v>
      </c>
      <c r="E45" s="2">
        <v>0.0</v>
      </c>
      <c r="F45" s="2">
        <v>45.0</v>
      </c>
      <c r="G45" s="2">
        <v>45.0</v>
      </c>
      <c r="H45" s="8">
        <f t="shared" si="1"/>
        <v>0</v>
      </c>
      <c r="I45" s="2" t="b">
        <v>1</v>
      </c>
      <c r="J45" s="2" t="s">
        <v>160</v>
      </c>
      <c r="K45" s="12">
        <f t="shared" si="6"/>
        <v>46075</v>
      </c>
      <c r="L45" s="12">
        <f t="shared" si="7"/>
        <v>46090</v>
      </c>
    </row>
    <row r="46" hidden="1">
      <c r="A46" s="4">
        <v>46152.0</v>
      </c>
      <c r="B46" s="2" t="s">
        <v>793</v>
      </c>
      <c r="C46" s="2" t="s">
        <v>794</v>
      </c>
      <c r="D46" s="2" t="s">
        <v>159</v>
      </c>
      <c r="E46" s="2">
        <v>0.0</v>
      </c>
      <c r="F46" s="2">
        <v>90.0</v>
      </c>
      <c r="G46" s="2">
        <v>90.0</v>
      </c>
      <c r="H46" s="8">
        <f t="shared" si="1"/>
        <v>0</v>
      </c>
      <c r="I46" s="2" t="b">
        <v>1</v>
      </c>
      <c r="J46" s="2" t="s">
        <v>160</v>
      </c>
      <c r="K46" s="12">
        <f t="shared" si="6"/>
        <v>46167</v>
      </c>
      <c r="L46" s="12">
        <f t="shared" si="7"/>
        <v>46182</v>
      </c>
    </row>
    <row r="47" hidden="1">
      <c r="A47" s="4">
        <v>46181.0</v>
      </c>
      <c r="B47" s="2" t="s">
        <v>793</v>
      </c>
      <c r="C47" s="2" t="s">
        <v>795</v>
      </c>
      <c r="D47" s="2" t="s">
        <v>159</v>
      </c>
      <c r="E47" s="2" t="s">
        <v>138</v>
      </c>
      <c r="F47" s="2">
        <v>80.0</v>
      </c>
      <c r="G47" s="2">
        <v>80.0</v>
      </c>
      <c r="H47" s="8">
        <f t="shared" si="1"/>
        <v>0</v>
      </c>
      <c r="I47" s="2" t="b">
        <v>1</v>
      </c>
      <c r="J47" s="2" t="s">
        <v>160</v>
      </c>
      <c r="K47" s="12">
        <f t="shared" si="6"/>
        <v>46196</v>
      </c>
      <c r="L47" s="12">
        <f t="shared" si="7"/>
        <v>46211</v>
      </c>
    </row>
    <row r="48" hidden="1">
      <c r="A48" s="4">
        <v>46183.0</v>
      </c>
      <c r="B48" s="2" t="s">
        <v>793</v>
      </c>
      <c r="C48" s="2" t="s">
        <v>796</v>
      </c>
      <c r="D48" s="2" t="s">
        <v>159</v>
      </c>
      <c r="E48" s="2" t="s">
        <v>138</v>
      </c>
      <c r="F48" s="2">
        <v>110.0</v>
      </c>
      <c r="G48" s="2">
        <v>110.0</v>
      </c>
      <c r="H48" s="8">
        <f t="shared" si="1"/>
        <v>0</v>
      </c>
      <c r="I48" s="2" t="b">
        <v>1</v>
      </c>
      <c r="J48" s="2" t="s">
        <v>160</v>
      </c>
      <c r="K48" s="12">
        <f t="shared" si="6"/>
        <v>46198</v>
      </c>
      <c r="L48" s="12">
        <f t="shared" si="7"/>
        <v>46213</v>
      </c>
    </row>
    <row r="49" hidden="1">
      <c r="A49" s="4">
        <v>46017.0</v>
      </c>
      <c r="B49" s="2" t="s">
        <v>161</v>
      </c>
      <c r="C49" s="2" t="s">
        <v>175</v>
      </c>
      <c r="D49" s="2" t="s">
        <v>115</v>
      </c>
      <c r="E49" s="2">
        <v>174.0</v>
      </c>
      <c r="F49" s="2">
        <v>50.0</v>
      </c>
      <c r="G49" s="2">
        <v>50.0</v>
      </c>
      <c r="H49" s="8">
        <f t="shared" si="1"/>
        <v>0</v>
      </c>
      <c r="I49" s="2" t="b">
        <v>1</v>
      </c>
      <c r="J49" s="2" t="s">
        <v>160</v>
      </c>
      <c r="K49" s="12">
        <f t="shared" si="6"/>
        <v>46032</v>
      </c>
      <c r="L49" s="12">
        <f t="shared" si="7"/>
        <v>46047</v>
      </c>
      <c r="M49" s="2" t="b">
        <v>0</v>
      </c>
    </row>
    <row r="50" hidden="1">
      <c r="A50" s="4">
        <v>46017.0</v>
      </c>
      <c r="B50" s="2" t="s">
        <v>161</v>
      </c>
      <c r="C50" s="2" t="s">
        <v>169</v>
      </c>
      <c r="D50" s="2" t="s">
        <v>159</v>
      </c>
      <c r="E50" s="2">
        <v>0.0</v>
      </c>
      <c r="F50" s="2">
        <v>65.0</v>
      </c>
      <c r="G50" s="2">
        <v>65.0</v>
      </c>
      <c r="H50" s="8">
        <f t="shared" si="1"/>
        <v>0</v>
      </c>
      <c r="I50" s="2" t="b">
        <v>1</v>
      </c>
      <c r="J50" s="2" t="s">
        <v>160</v>
      </c>
      <c r="K50" s="12">
        <f t="shared" si="6"/>
        <v>46032</v>
      </c>
      <c r="L50" s="12">
        <f t="shared" si="7"/>
        <v>46047</v>
      </c>
      <c r="M50" s="2" t="b">
        <v>0</v>
      </c>
    </row>
    <row r="51" hidden="1">
      <c r="A51" s="4">
        <v>46021.0</v>
      </c>
      <c r="B51" s="2" t="s">
        <v>161</v>
      </c>
      <c r="C51" s="2" t="s">
        <v>185</v>
      </c>
      <c r="D51" s="2" t="s">
        <v>159</v>
      </c>
      <c r="E51" s="2">
        <v>0.0</v>
      </c>
      <c r="F51" s="2">
        <v>15.0</v>
      </c>
      <c r="G51" s="2">
        <v>15.0</v>
      </c>
      <c r="H51" s="8">
        <f t="shared" si="1"/>
        <v>0</v>
      </c>
      <c r="I51" s="2" t="b">
        <v>1</v>
      </c>
      <c r="J51" s="2" t="s">
        <v>160</v>
      </c>
      <c r="K51" s="12">
        <f t="shared" si="6"/>
        <v>46036</v>
      </c>
      <c r="L51" s="12">
        <f t="shared" si="7"/>
        <v>46051</v>
      </c>
      <c r="M51" s="2" t="b">
        <v>0</v>
      </c>
    </row>
    <row r="52" hidden="1">
      <c r="A52" s="4">
        <v>46021.0</v>
      </c>
      <c r="B52" s="2" t="s">
        <v>161</v>
      </c>
      <c r="C52" s="2" t="s">
        <v>182</v>
      </c>
      <c r="D52" s="2" t="s">
        <v>159</v>
      </c>
      <c r="E52" s="2">
        <v>0.0</v>
      </c>
      <c r="F52" s="2">
        <v>10.0</v>
      </c>
      <c r="G52" s="2">
        <v>10.0</v>
      </c>
      <c r="H52" s="8">
        <f t="shared" si="1"/>
        <v>0</v>
      </c>
      <c r="I52" s="2" t="b">
        <v>1</v>
      </c>
      <c r="J52" s="2" t="s">
        <v>160</v>
      </c>
      <c r="K52" s="12">
        <f t="shared" si="6"/>
        <v>46036</v>
      </c>
      <c r="L52" s="12">
        <f t="shared" si="7"/>
        <v>46051</v>
      </c>
      <c r="M52" s="2" t="b">
        <v>0</v>
      </c>
    </row>
    <row r="53" hidden="1">
      <c r="A53" s="4">
        <v>46127.0</v>
      </c>
      <c r="B53" s="2" t="s">
        <v>161</v>
      </c>
      <c r="C53" s="2" t="s">
        <v>797</v>
      </c>
      <c r="D53" s="2" t="s">
        <v>166</v>
      </c>
      <c r="E53" s="2" t="s">
        <v>798</v>
      </c>
      <c r="F53" s="2">
        <v>150.0</v>
      </c>
      <c r="G53" s="2">
        <v>150.0</v>
      </c>
      <c r="H53" s="8">
        <f t="shared" si="1"/>
        <v>0</v>
      </c>
      <c r="I53" s="2" t="b">
        <v>1</v>
      </c>
      <c r="J53" s="2" t="s">
        <v>160</v>
      </c>
      <c r="K53" s="12">
        <f t="shared" si="6"/>
        <v>46142</v>
      </c>
      <c r="L53" s="12">
        <f t="shared" si="7"/>
        <v>46157</v>
      </c>
      <c r="M53" s="2" t="b">
        <v>0</v>
      </c>
    </row>
    <row r="54" hidden="1">
      <c r="A54" s="4">
        <v>46070.0</v>
      </c>
      <c r="B54" s="2" t="s">
        <v>799</v>
      </c>
      <c r="C54" s="2" t="s">
        <v>800</v>
      </c>
      <c r="D54" s="2" t="s">
        <v>159</v>
      </c>
      <c r="E54" s="2">
        <v>0.0</v>
      </c>
      <c r="F54" s="2">
        <v>40.0</v>
      </c>
      <c r="G54" s="2">
        <v>40.0</v>
      </c>
      <c r="H54" s="8">
        <f t="shared" si="1"/>
        <v>0</v>
      </c>
      <c r="I54" s="2" t="b">
        <v>1</v>
      </c>
      <c r="J54" s="2" t="s">
        <v>160</v>
      </c>
      <c r="K54" s="12">
        <f t="shared" si="6"/>
        <v>46085</v>
      </c>
      <c r="L54" s="12">
        <f t="shared" si="7"/>
        <v>46100</v>
      </c>
    </row>
    <row r="55" hidden="1">
      <c r="A55" s="4">
        <v>46056.0</v>
      </c>
      <c r="B55" s="2" t="s">
        <v>801</v>
      </c>
      <c r="C55" s="2" t="s">
        <v>480</v>
      </c>
      <c r="D55" s="2" t="s">
        <v>159</v>
      </c>
      <c r="E55" s="2">
        <v>0.0</v>
      </c>
      <c r="F55" s="2">
        <v>55.0</v>
      </c>
      <c r="G55" s="2">
        <v>55.0</v>
      </c>
      <c r="H55" s="8">
        <f t="shared" si="1"/>
        <v>0</v>
      </c>
      <c r="I55" s="2" t="b">
        <v>1</v>
      </c>
      <c r="J55" s="2" t="s">
        <v>160</v>
      </c>
      <c r="K55" s="12">
        <f t="shared" si="6"/>
        <v>46071</v>
      </c>
      <c r="L55" s="12">
        <f t="shared" si="7"/>
        <v>46086</v>
      </c>
    </row>
    <row r="56" hidden="1">
      <c r="A56" s="4">
        <v>46060.0</v>
      </c>
      <c r="B56" s="2" t="s">
        <v>802</v>
      </c>
      <c r="C56" s="2" t="s">
        <v>334</v>
      </c>
      <c r="D56" s="2" t="s">
        <v>159</v>
      </c>
      <c r="E56" s="2">
        <v>0.0</v>
      </c>
      <c r="F56" s="2">
        <v>36.0</v>
      </c>
      <c r="G56" s="2">
        <v>36.0</v>
      </c>
      <c r="H56" s="8">
        <f t="shared" si="1"/>
        <v>0</v>
      </c>
      <c r="I56" s="2" t="b">
        <v>1</v>
      </c>
      <c r="J56" s="2" t="s">
        <v>160</v>
      </c>
      <c r="K56" s="12">
        <f t="shared" si="6"/>
        <v>46075</v>
      </c>
      <c r="L56" s="12">
        <f t="shared" si="7"/>
        <v>46090</v>
      </c>
      <c r="M56" s="2" t="b">
        <v>0</v>
      </c>
    </row>
    <row r="57" hidden="1">
      <c r="A57" s="4">
        <v>45945.0</v>
      </c>
      <c r="B57" s="2" t="s">
        <v>192</v>
      </c>
      <c r="C57" s="2" t="s">
        <v>193</v>
      </c>
      <c r="D57" s="2" t="s">
        <v>115</v>
      </c>
      <c r="E57" s="2">
        <v>186.0</v>
      </c>
      <c r="F57" s="2">
        <v>30.0</v>
      </c>
      <c r="G57" s="2">
        <v>30.0</v>
      </c>
      <c r="H57" s="8">
        <f t="shared" si="1"/>
        <v>0</v>
      </c>
      <c r="I57" s="2" t="b">
        <v>1</v>
      </c>
      <c r="J57" s="2" t="s">
        <v>160</v>
      </c>
      <c r="K57" s="12">
        <f t="shared" si="6"/>
        <v>45960</v>
      </c>
      <c r="L57" s="12">
        <f t="shared" si="7"/>
        <v>45975</v>
      </c>
    </row>
    <row r="58" hidden="1">
      <c r="A58" s="4">
        <v>45953.0</v>
      </c>
      <c r="B58" s="2" t="s">
        <v>192</v>
      </c>
      <c r="C58" s="2" t="s">
        <v>194</v>
      </c>
      <c r="D58" s="2" t="s">
        <v>115</v>
      </c>
      <c r="E58" s="2">
        <v>186.0</v>
      </c>
      <c r="F58" s="2">
        <v>45.0</v>
      </c>
      <c r="G58" s="2">
        <v>45.0</v>
      </c>
      <c r="H58" s="8">
        <f t="shared" si="1"/>
        <v>0</v>
      </c>
      <c r="I58" s="2" t="b">
        <v>1</v>
      </c>
      <c r="J58" s="2" t="s">
        <v>160</v>
      </c>
      <c r="K58" s="12">
        <f t="shared" si="6"/>
        <v>45968</v>
      </c>
      <c r="L58" s="12">
        <f t="shared" si="7"/>
        <v>45983</v>
      </c>
    </row>
    <row r="59" hidden="1">
      <c r="A59" s="4">
        <v>46039.0</v>
      </c>
      <c r="B59" s="2" t="s">
        <v>803</v>
      </c>
      <c r="C59" s="2" t="s">
        <v>804</v>
      </c>
      <c r="D59" s="2" t="s">
        <v>159</v>
      </c>
      <c r="E59" s="2">
        <v>0.0</v>
      </c>
      <c r="F59" s="2">
        <v>90.0</v>
      </c>
      <c r="G59" s="2">
        <v>90.0</v>
      </c>
      <c r="H59" s="8">
        <f t="shared" si="1"/>
        <v>0</v>
      </c>
      <c r="I59" s="2" t="b">
        <v>1</v>
      </c>
      <c r="J59" s="2" t="s">
        <v>160</v>
      </c>
      <c r="K59" s="12">
        <f t="shared" si="6"/>
        <v>46054</v>
      </c>
      <c r="L59" s="12">
        <f t="shared" si="7"/>
        <v>46069</v>
      </c>
    </row>
    <row r="60" hidden="1">
      <c r="A60" s="4">
        <v>46052.0</v>
      </c>
      <c r="B60" s="2" t="s">
        <v>803</v>
      </c>
      <c r="C60" s="2" t="s">
        <v>805</v>
      </c>
      <c r="D60" s="2" t="s">
        <v>159</v>
      </c>
      <c r="E60" s="2">
        <v>0.0</v>
      </c>
      <c r="F60" s="2">
        <v>40.0</v>
      </c>
      <c r="G60" s="2">
        <v>40.0</v>
      </c>
      <c r="H60" s="8">
        <f t="shared" si="1"/>
        <v>0</v>
      </c>
      <c r="I60" s="2" t="b">
        <v>1</v>
      </c>
      <c r="J60" s="2" t="s">
        <v>160</v>
      </c>
      <c r="K60" s="12">
        <f t="shared" si="6"/>
        <v>46067</v>
      </c>
      <c r="L60" s="12">
        <f t="shared" si="7"/>
        <v>46082</v>
      </c>
    </row>
    <row r="61" hidden="1">
      <c r="A61" s="4">
        <v>46052.0</v>
      </c>
      <c r="B61" s="2" t="s">
        <v>803</v>
      </c>
      <c r="C61" s="2" t="s">
        <v>806</v>
      </c>
      <c r="D61" s="2" t="s">
        <v>159</v>
      </c>
      <c r="E61" s="2">
        <v>0.0</v>
      </c>
      <c r="F61" s="2">
        <v>45.0</v>
      </c>
      <c r="G61" s="2">
        <v>45.0</v>
      </c>
      <c r="H61" s="8">
        <f t="shared" si="1"/>
        <v>0</v>
      </c>
      <c r="I61" s="2" t="b">
        <v>1</v>
      </c>
      <c r="J61" s="2" t="s">
        <v>160</v>
      </c>
      <c r="K61" s="12">
        <f t="shared" si="6"/>
        <v>46067</v>
      </c>
      <c r="L61" s="12">
        <f t="shared" si="7"/>
        <v>46082</v>
      </c>
    </row>
    <row r="62" hidden="1">
      <c r="A62" s="4">
        <v>46054.0</v>
      </c>
      <c r="B62" s="2" t="s">
        <v>807</v>
      </c>
      <c r="C62" s="2" t="s">
        <v>808</v>
      </c>
      <c r="D62" s="2" t="s">
        <v>159</v>
      </c>
      <c r="E62" s="2">
        <v>0.0</v>
      </c>
      <c r="F62" s="2">
        <v>60.0</v>
      </c>
      <c r="G62" s="2">
        <v>60.0</v>
      </c>
      <c r="H62" s="8">
        <f t="shared" si="1"/>
        <v>0</v>
      </c>
      <c r="I62" s="2" t="b">
        <v>1</v>
      </c>
      <c r="J62" s="2" t="s">
        <v>160</v>
      </c>
      <c r="K62" s="12">
        <f t="shared" si="6"/>
        <v>46069</v>
      </c>
      <c r="L62" s="12">
        <f t="shared" si="7"/>
        <v>46084</v>
      </c>
    </row>
    <row r="63" hidden="1">
      <c r="A63" s="4">
        <v>46052.0</v>
      </c>
      <c r="B63" s="2" t="s">
        <v>173</v>
      </c>
      <c r="C63" s="257" t="s">
        <v>809</v>
      </c>
      <c r="D63" s="2" t="s">
        <v>159</v>
      </c>
      <c r="E63" s="2">
        <v>0.0</v>
      </c>
      <c r="F63" s="2">
        <v>90.0</v>
      </c>
      <c r="G63" s="2">
        <v>90.0</v>
      </c>
      <c r="H63" s="2">
        <v>0.0</v>
      </c>
      <c r="I63" s="2" t="b">
        <v>1</v>
      </c>
      <c r="J63" s="2" t="s">
        <v>160</v>
      </c>
      <c r="K63" s="12">
        <f t="shared" si="6"/>
        <v>46067</v>
      </c>
      <c r="L63" s="12">
        <f t="shared" si="7"/>
        <v>46082</v>
      </c>
      <c r="M63" s="2" t="b">
        <v>0</v>
      </c>
    </row>
    <row r="64" hidden="1">
      <c r="A64" s="4">
        <v>46052.0</v>
      </c>
      <c r="B64" s="2" t="s">
        <v>173</v>
      </c>
      <c r="C64" s="257" t="s">
        <v>810</v>
      </c>
      <c r="D64" s="2" t="s">
        <v>159</v>
      </c>
      <c r="E64" s="2">
        <v>0.0</v>
      </c>
      <c r="F64" s="2">
        <v>25.0</v>
      </c>
      <c r="G64" s="2">
        <v>25.0</v>
      </c>
      <c r="H64" s="8">
        <f t="shared" ref="H64:H625" si="8">F64-G64</f>
        <v>0</v>
      </c>
      <c r="I64" s="2" t="b">
        <v>1</v>
      </c>
      <c r="J64" s="2" t="s">
        <v>160</v>
      </c>
      <c r="K64" s="12">
        <f t="shared" si="6"/>
        <v>46067</v>
      </c>
      <c r="L64" s="12">
        <f t="shared" si="7"/>
        <v>46082</v>
      </c>
      <c r="M64" s="2" t="b">
        <v>0</v>
      </c>
    </row>
    <row r="65" hidden="1">
      <c r="A65" s="4">
        <v>46075.0</v>
      </c>
      <c r="B65" s="2" t="s">
        <v>173</v>
      </c>
      <c r="C65" s="258" t="s">
        <v>811</v>
      </c>
      <c r="D65" s="2" t="s">
        <v>159</v>
      </c>
      <c r="E65" s="2">
        <v>0.0</v>
      </c>
      <c r="F65" s="2">
        <v>48.0</v>
      </c>
      <c r="G65" s="2">
        <v>48.0</v>
      </c>
      <c r="H65" s="8">
        <f t="shared" si="8"/>
        <v>0</v>
      </c>
      <c r="I65" s="2" t="b">
        <v>1</v>
      </c>
      <c r="J65" s="2" t="s">
        <v>160</v>
      </c>
      <c r="K65" s="12">
        <f t="shared" si="6"/>
        <v>46090</v>
      </c>
      <c r="L65" s="12">
        <f t="shared" si="7"/>
        <v>46105</v>
      </c>
    </row>
    <row r="66" hidden="1">
      <c r="A66" s="4">
        <v>46023.0</v>
      </c>
      <c r="B66" s="2" t="s">
        <v>754</v>
      </c>
      <c r="C66" s="2" t="s">
        <v>812</v>
      </c>
      <c r="D66" s="2" t="s">
        <v>135</v>
      </c>
      <c r="E66" s="2">
        <v>473.0</v>
      </c>
      <c r="F66" s="2">
        <v>30.0</v>
      </c>
      <c r="G66" s="2">
        <v>0.0</v>
      </c>
      <c r="H66" s="8">
        <f t="shared" si="8"/>
        <v>30</v>
      </c>
      <c r="I66" s="2" t="b">
        <v>0</v>
      </c>
      <c r="J66" s="2" t="s">
        <v>160</v>
      </c>
    </row>
    <row r="67" hidden="1">
      <c r="A67" s="4">
        <v>46075.0</v>
      </c>
      <c r="B67" s="2" t="s">
        <v>173</v>
      </c>
      <c r="C67" s="258" t="s">
        <v>813</v>
      </c>
      <c r="D67" s="2" t="s">
        <v>159</v>
      </c>
      <c r="E67" s="2">
        <v>0.0</v>
      </c>
      <c r="F67" s="2">
        <v>35.0</v>
      </c>
      <c r="G67" s="2">
        <v>35.0</v>
      </c>
      <c r="H67" s="8">
        <f t="shared" si="8"/>
        <v>0</v>
      </c>
      <c r="I67" s="2" t="b">
        <v>1</v>
      </c>
      <c r="J67" s="2" t="s">
        <v>160</v>
      </c>
      <c r="K67" s="12">
        <f>A67+15</f>
        <v>46090</v>
      </c>
      <c r="L67" s="12">
        <f>A67+30</f>
        <v>46105</v>
      </c>
    </row>
    <row r="68" hidden="1">
      <c r="A68" s="4">
        <v>46023.0</v>
      </c>
      <c r="B68" s="2" t="s">
        <v>754</v>
      </c>
      <c r="C68" s="2" t="s">
        <v>814</v>
      </c>
      <c r="D68" s="2" t="s">
        <v>131</v>
      </c>
      <c r="E68" s="2">
        <v>433.0</v>
      </c>
      <c r="F68" s="2">
        <v>70.0</v>
      </c>
      <c r="G68" s="2">
        <v>10.0</v>
      </c>
      <c r="H68" s="8">
        <f t="shared" si="8"/>
        <v>60</v>
      </c>
      <c r="I68" s="2" t="b">
        <v>0</v>
      </c>
      <c r="J68" s="2" t="s">
        <v>160</v>
      </c>
    </row>
    <row r="69" hidden="1">
      <c r="A69" s="4">
        <v>46023.0</v>
      </c>
      <c r="B69" s="2" t="s">
        <v>754</v>
      </c>
      <c r="C69" s="2" t="s">
        <v>815</v>
      </c>
      <c r="D69" s="2" t="s">
        <v>131</v>
      </c>
      <c r="E69" s="2">
        <v>442.0</v>
      </c>
      <c r="F69" s="2">
        <v>75.0</v>
      </c>
      <c r="G69" s="2">
        <v>10.0</v>
      </c>
      <c r="H69" s="8">
        <f t="shared" si="8"/>
        <v>65</v>
      </c>
      <c r="I69" s="2" t="b">
        <v>0</v>
      </c>
      <c r="J69" s="2" t="s">
        <v>160</v>
      </c>
    </row>
    <row r="70" hidden="1">
      <c r="A70" s="4">
        <v>46023.0</v>
      </c>
      <c r="B70" s="2" t="s">
        <v>754</v>
      </c>
      <c r="C70" s="2" t="s">
        <v>816</v>
      </c>
      <c r="D70" s="2" t="s">
        <v>131</v>
      </c>
      <c r="E70" s="2">
        <v>426.0</v>
      </c>
      <c r="F70" s="2">
        <v>40.0</v>
      </c>
      <c r="G70" s="2">
        <v>0.0</v>
      </c>
      <c r="H70" s="8">
        <f t="shared" si="8"/>
        <v>40</v>
      </c>
      <c r="I70" s="2" t="b">
        <v>0</v>
      </c>
      <c r="J70" s="2" t="s">
        <v>160</v>
      </c>
    </row>
    <row r="71" hidden="1">
      <c r="A71" s="4">
        <v>46023.0</v>
      </c>
      <c r="B71" s="2" t="s">
        <v>754</v>
      </c>
      <c r="C71" s="2" t="s">
        <v>817</v>
      </c>
      <c r="D71" s="2" t="s">
        <v>136</v>
      </c>
      <c r="E71" s="2">
        <v>520.0</v>
      </c>
      <c r="F71" s="2">
        <v>95.0</v>
      </c>
      <c r="G71" s="2">
        <v>0.0</v>
      </c>
      <c r="H71" s="8">
        <f t="shared" si="8"/>
        <v>95</v>
      </c>
      <c r="I71" s="2" t="b">
        <v>0</v>
      </c>
      <c r="J71" s="2" t="s">
        <v>160</v>
      </c>
    </row>
    <row r="72" hidden="1">
      <c r="A72" s="4">
        <v>46075.0</v>
      </c>
      <c r="B72" s="2" t="s">
        <v>173</v>
      </c>
      <c r="C72" s="258" t="s">
        <v>818</v>
      </c>
      <c r="D72" s="2" t="s">
        <v>159</v>
      </c>
      <c r="E72" s="2">
        <v>0.0</v>
      </c>
      <c r="F72" s="2">
        <v>30.0</v>
      </c>
      <c r="G72" s="2">
        <v>30.0</v>
      </c>
      <c r="H72" s="8">
        <f t="shared" si="8"/>
        <v>0</v>
      </c>
      <c r="I72" s="2" t="b">
        <v>1</v>
      </c>
      <c r="J72" s="2" t="s">
        <v>160</v>
      </c>
      <c r="K72" s="12">
        <f t="shared" ref="K72:K86" si="9">A72+15</f>
        <v>46090</v>
      </c>
      <c r="L72" s="12">
        <f t="shared" ref="L72:L86" si="10">A72+30</f>
        <v>46105</v>
      </c>
    </row>
    <row r="73" hidden="1">
      <c r="A73" s="4">
        <v>46077.0</v>
      </c>
      <c r="B73" s="2" t="s">
        <v>173</v>
      </c>
      <c r="C73" s="258" t="s">
        <v>819</v>
      </c>
      <c r="D73" s="2" t="s">
        <v>159</v>
      </c>
      <c r="E73" s="2">
        <v>0.0</v>
      </c>
      <c r="F73" s="2">
        <v>50.0</v>
      </c>
      <c r="G73" s="2">
        <v>50.0</v>
      </c>
      <c r="H73" s="8">
        <f t="shared" si="8"/>
        <v>0</v>
      </c>
      <c r="I73" s="2" t="b">
        <v>1</v>
      </c>
      <c r="J73" s="2" t="s">
        <v>160</v>
      </c>
      <c r="K73" s="12">
        <f t="shared" si="9"/>
        <v>46092</v>
      </c>
      <c r="L73" s="12">
        <f t="shared" si="10"/>
        <v>46107</v>
      </c>
    </row>
    <row r="74" hidden="1">
      <c r="A74" s="4">
        <v>46078.0</v>
      </c>
      <c r="B74" s="2" t="s">
        <v>173</v>
      </c>
      <c r="C74" s="258" t="s">
        <v>820</v>
      </c>
      <c r="D74" s="2" t="s">
        <v>159</v>
      </c>
      <c r="E74" s="2">
        <v>0.0</v>
      </c>
      <c r="F74" s="2">
        <v>40.0</v>
      </c>
      <c r="G74" s="2">
        <v>40.0</v>
      </c>
      <c r="H74" s="8">
        <f t="shared" si="8"/>
        <v>0</v>
      </c>
      <c r="I74" s="2" t="b">
        <v>1</v>
      </c>
      <c r="J74" s="2" t="s">
        <v>160</v>
      </c>
      <c r="K74" s="12">
        <f t="shared" si="9"/>
        <v>46093</v>
      </c>
      <c r="L74" s="12">
        <f t="shared" si="10"/>
        <v>46108</v>
      </c>
    </row>
    <row r="75" hidden="1">
      <c r="A75" s="4">
        <v>46084.0</v>
      </c>
      <c r="B75" s="2" t="s">
        <v>173</v>
      </c>
      <c r="C75" s="258" t="s">
        <v>821</v>
      </c>
      <c r="D75" s="2" t="s">
        <v>159</v>
      </c>
      <c r="E75" s="2">
        <v>0.0</v>
      </c>
      <c r="F75" s="2">
        <v>45.0</v>
      </c>
      <c r="G75" s="2">
        <v>45.0</v>
      </c>
      <c r="H75" s="8">
        <f t="shared" si="8"/>
        <v>0</v>
      </c>
      <c r="I75" s="2" t="b">
        <v>1</v>
      </c>
      <c r="J75" s="2" t="s">
        <v>160</v>
      </c>
      <c r="K75" s="12">
        <f t="shared" si="9"/>
        <v>46099</v>
      </c>
      <c r="L75" s="12">
        <f t="shared" si="10"/>
        <v>46114</v>
      </c>
    </row>
    <row r="76" hidden="1">
      <c r="A76" s="4">
        <v>46097.0</v>
      </c>
      <c r="B76" s="2" t="s">
        <v>173</v>
      </c>
      <c r="C76" s="257" t="s">
        <v>822</v>
      </c>
      <c r="D76" s="2" t="s">
        <v>159</v>
      </c>
      <c r="E76" s="2">
        <v>0.0</v>
      </c>
      <c r="F76" s="2">
        <v>55.0</v>
      </c>
      <c r="G76" s="2">
        <v>55.0</v>
      </c>
      <c r="H76" s="8">
        <f t="shared" si="8"/>
        <v>0</v>
      </c>
      <c r="I76" s="2" t="b">
        <v>1</v>
      </c>
      <c r="J76" s="2" t="s">
        <v>160</v>
      </c>
      <c r="K76" s="12">
        <f t="shared" si="9"/>
        <v>46112</v>
      </c>
      <c r="L76" s="12">
        <f t="shared" si="10"/>
        <v>46127</v>
      </c>
    </row>
    <row r="77" hidden="1">
      <c r="A77" s="4">
        <v>46097.0</v>
      </c>
      <c r="B77" s="2" t="s">
        <v>173</v>
      </c>
      <c r="C77" s="257" t="s">
        <v>823</v>
      </c>
      <c r="D77" s="2" t="s">
        <v>159</v>
      </c>
      <c r="E77" s="2">
        <v>0.0</v>
      </c>
      <c r="F77" s="2">
        <v>15.0</v>
      </c>
      <c r="G77" s="2">
        <v>15.0</v>
      </c>
      <c r="H77" s="8">
        <f t="shared" si="8"/>
        <v>0</v>
      </c>
      <c r="I77" s="2" t="b">
        <v>1</v>
      </c>
      <c r="J77" s="2" t="s">
        <v>160</v>
      </c>
      <c r="K77" s="12">
        <f t="shared" si="9"/>
        <v>46112</v>
      </c>
      <c r="L77" s="12">
        <f t="shared" si="10"/>
        <v>46127</v>
      </c>
    </row>
    <row r="78" hidden="1">
      <c r="A78" s="4">
        <v>46097.0</v>
      </c>
      <c r="B78" s="2" t="s">
        <v>173</v>
      </c>
      <c r="C78" s="257" t="s">
        <v>824</v>
      </c>
      <c r="D78" s="2" t="s">
        <v>159</v>
      </c>
      <c r="E78" s="2">
        <v>0.0</v>
      </c>
      <c r="F78" s="2">
        <v>70.0</v>
      </c>
      <c r="G78" s="2">
        <v>70.0</v>
      </c>
      <c r="H78" s="8">
        <f t="shared" si="8"/>
        <v>0</v>
      </c>
      <c r="I78" s="2" t="b">
        <v>1</v>
      </c>
      <c r="J78" s="2" t="s">
        <v>160</v>
      </c>
      <c r="K78" s="12">
        <f t="shared" si="9"/>
        <v>46112</v>
      </c>
      <c r="L78" s="12">
        <f t="shared" si="10"/>
        <v>46127</v>
      </c>
    </row>
    <row r="79" hidden="1">
      <c r="A79" s="4">
        <v>46102.0</v>
      </c>
      <c r="B79" s="2" t="s">
        <v>173</v>
      </c>
      <c r="C79" s="257" t="s">
        <v>825</v>
      </c>
      <c r="D79" s="2" t="s">
        <v>159</v>
      </c>
      <c r="E79" s="2">
        <v>0.0</v>
      </c>
      <c r="F79" s="2">
        <v>15.0</v>
      </c>
      <c r="G79" s="2">
        <v>15.0</v>
      </c>
      <c r="H79" s="8">
        <f t="shared" si="8"/>
        <v>0</v>
      </c>
      <c r="I79" s="2" t="b">
        <v>1</v>
      </c>
      <c r="J79" s="2" t="s">
        <v>160</v>
      </c>
      <c r="K79" s="12">
        <f t="shared" si="9"/>
        <v>46117</v>
      </c>
      <c r="L79" s="12">
        <f t="shared" si="10"/>
        <v>46132</v>
      </c>
    </row>
    <row r="80" hidden="1">
      <c r="A80" s="4">
        <v>46102.0</v>
      </c>
      <c r="B80" s="2" t="s">
        <v>173</v>
      </c>
      <c r="C80" s="257" t="s">
        <v>826</v>
      </c>
      <c r="D80" s="2" t="s">
        <v>159</v>
      </c>
      <c r="E80" s="2">
        <v>0.0</v>
      </c>
      <c r="F80" s="2">
        <v>65.0</v>
      </c>
      <c r="G80" s="2">
        <v>65.0</v>
      </c>
      <c r="H80" s="8">
        <f t="shared" si="8"/>
        <v>0</v>
      </c>
      <c r="I80" s="2" t="b">
        <v>1</v>
      </c>
      <c r="J80" s="2" t="s">
        <v>160</v>
      </c>
      <c r="K80" s="12">
        <f t="shared" si="9"/>
        <v>46117</v>
      </c>
      <c r="L80" s="12">
        <f t="shared" si="10"/>
        <v>46132</v>
      </c>
    </row>
    <row r="81" hidden="1">
      <c r="A81" s="4">
        <v>46102.0</v>
      </c>
      <c r="B81" s="2" t="s">
        <v>173</v>
      </c>
      <c r="C81" s="257" t="s">
        <v>827</v>
      </c>
      <c r="D81" s="2" t="s">
        <v>159</v>
      </c>
      <c r="E81" s="2">
        <v>0.0</v>
      </c>
      <c r="F81" s="2">
        <v>65.0</v>
      </c>
      <c r="G81" s="2">
        <v>65.0</v>
      </c>
      <c r="H81" s="8">
        <f t="shared" si="8"/>
        <v>0</v>
      </c>
      <c r="I81" s="2" t="b">
        <v>1</v>
      </c>
      <c r="J81" s="2" t="s">
        <v>160</v>
      </c>
      <c r="K81" s="12">
        <f t="shared" si="9"/>
        <v>46117</v>
      </c>
      <c r="L81" s="12">
        <f t="shared" si="10"/>
        <v>46132</v>
      </c>
    </row>
    <row r="82" hidden="1">
      <c r="A82" s="4">
        <v>46135.0</v>
      </c>
      <c r="B82" s="2" t="s">
        <v>173</v>
      </c>
      <c r="C82" s="257" t="s">
        <v>828</v>
      </c>
      <c r="D82" s="2" t="s">
        <v>159</v>
      </c>
      <c r="E82" s="2">
        <v>0.0</v>
      </c>
      <c r="F82" s="2">
        <v>85.0</v>
      </c>
      <c r="G82" s="2">
        <v>85.0</v>
      </c>
      <c r="H82" s="8">
        <f t="shared" si="8"/>
        <v>0</v>
      </c>
      <c r="I82" s="2" t="b">
        <v>1</v>
      </c>
      <c r="J82" s="2" t="s">
        <v>160</v>
      </c>
      <c r="K82" s="12">
        <f t="shared" si="9"/>
        <v>46150</v>
      </c>
      <c r="L82" s="12">
        <f t="shared" si="10"/>
        <v>46165</v>
      </c>
    </row>
    <row r="83" hidden="1">
      <c r="A83" s="4">
        <v>46150.0</v>
      </c>
      <c r="B83" s="2" t="s">
        <v>173</v>
      </c>
      <c r="C83" s="257" t="s">
        <v>829</v>
      </c>
      <c r="D83" s="2" t="s">
        <v>159</v>
      </c>
      <c r="E83" s="2">
        <v>0.0</v>
      </c>
      <c r="F83" s="2">
        <v>65.0</v>
      </c>
      <c r="G83" s="2">
        <v>65.0</v>
      </c>
      <c r="H83" s="8">
        <f t="shared" si="8"/>
        <v>0</v>
      </c>
      <c r="I83" s="2" t="b">
        <v>1</v>
      </c>
      <c r="J83" s="2" t="s">
        <v>160</v>
      </c>
      <c r="K83" s="12">
        <f t="shared" si="9"/>
        <v>46165</v>
      </c>
      <c r="L83" s="12">
        <f t="shared" si="10"/>
        <v>46180</v>
      </c>
    </row>
    <row r="84" hidden="1">
      <c r="A84" s="4">
        <v>46160.0</v>
      </c>
      <c r="B84" s="2" t="s">
        <v>173</v>
      </c>
      <c r="C84" s="257" t="s">
        <v>830</v>
      </c>
      <c r="D84" s="2" t="s">
        <v>166</v>
      </c>
      <c r="E84" s="2">
        <v>295.0</v>
      </c>
      <c r="F84" s="2">
        <v>90.0</v>
      </c>
      <c r="G84" s="2">
        <v>90.0</v>
      </c>
      <c r="H84" s="8">
        <f t="shared" si="8"/>
        <v>0</v>
      </c>
      <c r="I84" s="2" t="b">
        <v>1</v>
      </c>
      <c r="J84" s="2" t="s">
        <v>160</v>
      </c>
      <c r="K84" s="12">
        <f t="shared" si="9"/>
        <v>46175</v>
      </c>
      <c r="L84" s="12">
        <f t="shared" si="10"/>
        <v>46190</v>
      </c>
    </row>
    <row r="85" hidden="1">
      <c r="A85" s="4">
        <v>46016.0</v>
      </c>
      <c r="B85" s="2" t="s">
        <v>173</v>
      </c>
      <c r="C85" s="2" t="s">
        <v>198</v>
      </c>
      <c r="D85" s="2" t="s">
        <v>115</v>
      </c>
      <c r="E85" s="2">
        <v>166.0</v>
      </c>
      <c r="F85" s="2">
        <v>80.0</v>
      </c>
      <c r="G85" s="2">
        <v>80.0</v>
      </c>
      <c r="H85" s="8">
        <f t="shared" si="8"/>
        <v>0</v>
      </c>
      <c r="I85" s="2" t="b">
        <v>1</v>
      </c>
      <c r="J85" s="2" t="s">
        <v>160</v>
      </c>
      <c r="K85" s="12">
        <f t="shared" si="9"/>
        <v>46031</v>
      </c>
      <c r="L85" s="12">
        <f t="shared" si="10"/>
        <v>46046</v>
      </c>
    </row>
    <row r="86" hidden="1">
      <c r="A86" s="4">
        <v>46039.0</v>
      </c>
      <c r="B86" s="2" t="s">
        <v>173</v>
      </c>
      <c r="C86" s="2" t="s">
        <v>831</v>
      </c>
      <c r="D86" s="2" t="s">
        <v>159</v>
      </c>
      <c r="E86" s="2">
        <v>0.0</v>
      </c>
      <c r="F86" s="2">
        <v>80.0</v>
      </c>
      <c r="G86" s="2">
        <v>80.0</v>
      </c>
      <c r="H86" s="8">
        <f t="shared" si="8"/>
        <v>0</v>
      </c>
      <c r="I86" s="2" t="b">
        <v>1</v>
      </c>
      <c r="J86" s="2" t="s">
        <v>160</v>
      </c>
      <c r="K86" s="12">
        <f t="shared" si="9"/>
        <v>46054</v>
      </c>
      <c r="L86" s="12">
        <f t="shared" si="10"/>
        <v>46069</v>
      </c>
    </row>
    <row r="87" hidden="1">
      <c r="A87" s="4">
        <v>46023.0</v>
      </c>
      <c r="B87" s="2" t="s">
        <v>754</v>
      </c>
      <c r="C87" s="2" t="s">
        <v>832</v>
      </c>
      <c r="D87" s="2" t="s">
        <v>136</v>
      </c>
      <c r="E87" s="2">
        <v>530.0</v>
      </c>
      <c r="F87" s="2">
        <v>80.0</v>
      </c>
      <c r="G87" s="2">
        <v>0.0</v>
      </c>
      <c r="H87" s="8">
        <f t="shared" si="8"/>
        <v>80</v>
      </c>
      <c r="I87" s="2" t="b">
        <v>0</v>
      </c>
      <c r="J87" s="2" t="s">
        <v>160</v>
      </c>
    </row>
    <row r="88" hidden="1">
      <c r="A88" s="4">
        <v>46039.0</v>
      </c>
      <c r="B88" s="2" t="s">
        <v>173</v>
      </c>
      <c r="C88" s="2" t="s">
        <v>548</v>
      </c>
      <c r="D88" s="2" t="s">
        <v>159</v>
      </c>
      <c r="E88" s="2">
        <v>0.0</v>
      </c>
      <c r="F88" s="2">
        <v>40.0</v>
      </c>
      <c r="G88" s="2">
        <v>40.0</v>
      </c>
      <c r="H88" s="8">
        <f t="shared" si="8"/>
        <v>0</v>
      </c>
      <c r="I88" s="2" t="b">
        <v>1</v>
      </c>
      <c r="J88" s="2" t="s">
        <v>160</v>
      </c>
      <c r="K88" s="12">
        <f t="shared" ref="K88:K92" si="11">A88+15</f>
        <v>46054</v>
      </c>
      <c r="L88" s="12">
        <f t="shared" ref="L88:L92" si="12">A88+30</f>
        <v>46069</v>
      </c>
    </row>
    <row r="89" hidden="1">
      <c r="A89" s="4">
        <v>46044.0</v>
      </c>
      <c r="B89" s="2" t="s">
        <v>173</v>
      </c>
      <c r="C89" s="2" t="s">
        <v>833</v>
      </c>
      <c r="D89" s="2" t="s">
        <v>159</v>
      </c>
      <c r="E89" s="2">
        <v>0.0</v>
      </c>
      <c r="F89" s="2">
        <v>55.0</v>
      </c>
      <c r="G89" s="2">
        <v>55.0</v>
      </c>
      <c r="H89" s="8">
        <f t="shared" si="8"/>
        <v>0</v>
      </c>
      <c r="I89" s="2" t="b">
        <v>1</v>
      </c>
      <c r="J89" s="2" t="s">
        <v>160</v>
      </c>
      <c r="K89" s="12">
        <f t="shared" si="11"/>
        <v>46059</v>
      </c>
      <c r="L89" s="12">
        <f t="shared" si="12"/>
        <v>46074</v>
      </c>
    </row>
    <row r="90" hidden="1">
      <c r="A90" s="4">
        <v>46052.0</v>
      </c>
      <c r="B90" s="2" t="s">
        <v>173</v>
      </c>
      <c r="C90" s="2" t="s">
        <v>834</v>
      </c>
      <c r="D90" s="2" t="s">
        <v>159</v>
      </c>
      <c r="E90" s="2">
        <v>0.0</v>
      </c>
      <c r="F90" s="2">
        <v>20.0</v>
      </c>
      <c r="G90" s="2">
        <v>20.0</v>
      </c>
      <c r="H90" s="8">
        <f t="shared" si="8"/>
        <v>0</v>
      </c>
      <c r="I90" s="2" t="b">
        <v>1</v>
      </c>
      <c r="J90" s="2" t="s">
        <v>160</v>
      </c>
      <c r="K90" s="12">
        <f t="shared" si="11"/>
        <v>46067</v>
      </c>
      <c r="L90" s="12">
        <f t="shared" si="12"/>
        <v>46082</v>
      </c>
      <c r="O90" s="2" t="s">
        <v>835</v>
      </c>
    </row>
    <row r="91" hidden="1">
      <c r="A91" s="4">
        <v>46056.0</v>
      </c>
      <c r="B91" s="2" t="s">
        <v>173</v>
      </c>
      <c r="C91" s="2" t="s">
        <v>836</v>
      </c>
      <c r="D91" s="2" t="s">
        <v>159</v>
      </c>
      <c r="E91" s="2">
        <v>0.0</v>
      </c>
      <c r="F91" s="2">
        <v>80.0</v>
      </c>
      <c r="G91" s="2">
        <v>80.0</v>
      </c>
      <c r="H91" s="8">
        <f t="shared" si="8"/>
        <v>0</v>
      </c>
      <c r="I91" s="2" t="b">
        <v>1</v>
      </c>
      <c r="J91" s="2" t="s">
        <v>160</v>
      </c>
      <c r="K91" s="12">
        <f t="shared" si="11"/>
        <v>46071</v>
      </c>
      <c r="L91" s="12">
        <f t="shared" si="12"/>
        <v>46086</v>
      </c>
      <c r="O91" s="2" t="s">
        <v>802</v>
      </c>
    </row>
    <row r="92" hidden="1">
      <c r="A92" s="4">
        <v>46056.0</v>
      </c>
      <c r="B92" s="2" t="s">
        <v>173</v>
      </c>
      <c r="C92" s="2" t="s">
        <v>837</v>
      </c>
      <c r="D92" s="2" t="s">
        <v>159</v>
      </c>
      <c r="E92" s="2">
        <v>0.0</v>
      </c>
      <c r="F92" s="2">
        <v>10.0</v>
      </c>
      <c r="G92" s="2">
        <v>10.0</v>
      </c>
      <c r="H92" s="8">
        <f t="shared" si="8"/>
        <v>0</v>
      </c>
      <c r="I92" s="2" t="b">
        <v>1</v>
      </c>
      <c r="J92" s="2" t="s">
        <v>160</v>
      </c>
      <c r="K92" s="12">
        <f t="shared" si="11"/>
        <v>46071</v>
      </c>
      <c r="L92" s="12">
        <f t="shared" si="12"/>
        <v>46086</v>
      </c>
    </row>
    <row r="93" hidden="1">
      <c r="A93" s="4">
        <v>46023.0</v>
      </c>
      <c r="B93" s="2" t="s">
        <v>754</v>
      </c>
      <c r="C93" s="2" t="s">
        <v>838</v>
      </c>
      <c r="D93" s="2" t="s">
        <v>136</v>
      </c>
      <c r="E93" s="2" t="s">
        <v>839</v>
      </c>
      <c r="F93" s="2">
        <v>55.0</v>
      </c>
      <c r="G93" s="2">
        <v>0.0</v>
      </c>
      <c r="H93" s="8">
        <f t="shared" si="8"/>
        <v>55</v>
      </c>
      <c r="I93" s="2" t="b">
        <v>0</v>
      </c>
      <c r="J93" s="2" t="s">
        <v>160</v>
      </c>
    </row>
    <row r="94" hidden="1">
      <c r="A94" s="4">
        <v>46063.0</v>
      </c>
      <c r="B94" s="2" t="s">
        <v>173</v>
      </c>
      <c r="C94" s="2" t="s">
        <v>840</v>
      </c>
      <c r="D94" s="2" t="s">
        <v>159</v>
      </c>
      <c r="E94" s="2">
        <v>0.0</v>
      </c>
      <c r="F94" s="2">
        <v>85.0</v>
      </c>
      <c r="G94" s="2">
        <v>85.0</v>
      </c>
      <c r="H94" s="8">
        <f t="shared" si="8"/>
        <v>0</v>
      </c>
      <c r="I94" s="2" t="b">
        <v>1</v>
      </c>
      <c r="J94" s="2" t="s">
        <v>160</v>
      </c>
      <c r="K94" s="12">
        <f t="shared" ref="K94:K114" si="13">A94+15</f>
        <v>46078</v>
      </c>
      <c r="L94" s="12">
        <f t="shared" ref="L94:L114" si="14">A94+30</f>
        <v>46093</v>
      </c>
    </row>
    <row r="95" hidden="1">
      <c r="A95" s="4">
        <v>46064.0</v>
      </c>
      <c r="B95" s="2" t="s">
        <v>173</v>
      </c>
      <c r="C95" s="2" t="s">
        <v>841</v>
      </c>
      <c r="D95" s="2" t="s">
        <v>159</v>
      </c>
      <c r="E95" s="2">
        <v>0.0</v>
      </c>
      <c r="F95" s="2">
        <v>100.0</v>
      </c>
      <c r="G95" s="2">
        <v>100.0</v>
      </c>
      <c r="H95" s="8">
        <f t="shared" si="8"/>
        <v>0</v>
      </c>
      <c r="I95" s="2" t="b">
        <v>1</v>
      </c>
      <c r="J95" s="2" t="s">
        <v>160</v>
      </c>
      <c r="K95" s="12">
        <f t="shared" si="13"/>
        <v>46079</v>
      </c>
      <c r="L95" s="12">
        <f t="shared" si="14"/>
        <v>46094</v>
      </c>
    </row>
    <row r="96" hidden="1">
      <c r="A96" s="4">
        <v>46071.0</v>
      </c>
      <c r="B96" s="2" t="s">
        <v>173</v>
      </c>
      <c r="C96" s="2" t="s">
        <v>842</v>
      </c>
      <c r="D96" s="2" t="s">
        <v>159</v>
      </c>
      <c r="E96" s="2">
        <v>0.0</v>
      </c>
      <c r="F96" s="2">
        <v>40.0</v>
      </c>
      <c r="G96" s="2">
        <v>40.0</v>
      </c>
      <c r="H96" s="8">
        <f t="shared" si="8"/>
        <v>0</v>
      </c>
      <c r="I96" s="2" t="b">
        <v>1</v>
      </c>
      <c r="J96" s="2" t="s">
        <v>160</v>
      </c>
      <c r="K96" s="12">
        <f t="shared" si="13"/>
        <v>46086</v>
      </c>
      <c r="L96" s="12">
        <f t="shared" si="14"/>
        <v>46101</v>
      </c>
    </row>
    <row r="97" hidden="1">
      <c r="A97" s="4">
        <v>46075.0</v>
      </c>
      <c r="B97" s="2" t="s">
        <v>173</v>
      </c>
      <c r="C97" s="2" t="s">
        <v>843</v>
      </c>
      <c r="D97" s="2" t="s">
        <v>159</v>
      </c>
      <c r="E97" s="2">
        <v>0.0</v>
      </c>
      <c r="F97" s="2">
        <v>19.0</v>
      </c>
      <c r="G97" s="2">
        <v>19.0</v>
      </c>
      <c r="H97" s="8">
        <f t="shared" si="8"/>
        <v>0</v>
      </c>
      <c r="I97" s="2" t="b">
        <v>1</v>
      </c>
      <c r="J97" s="2" t="s">
        <v>160</v>
      </c>
      <c r="K97" s="12">
        <f t="shared" si="13"/>
        <v>46090</v>
      </c>
      <c r="L97" s="12">
        <f t="shared" si="14"/>
        <v>46105</v>
      </c>
    </row>
    <row r="98" hidden="1">
      <c r="A98" s="4">
        <v>46075.0</v>
      </c>
      <c r="B98" s="2" t="s">
        <v>173</v>
      </c>
      <c r="C98" s="2" t="s">
        <v>844</v>
      </c>
      <c r="D98" s="2" t="s">
        <v>159</v>
      </c>
      <c r="E98" s="2">
        <v>0.0</v>
      </c>
      <c r="F98" s="2">
        <v>27.0</v>
      </c>
      <c r="G98" s="2">
        <v>27.0</v>
      </c>
      <c r="H98" s="8">
        <f t="shared" si="8"/>
        <v>0</v>
      </c>
      <c r="I98" s="2" t="b">
        <v>1</v>
      </c>
      <c r="J98" s="2" t="s">
        <v>160</v>
      </c>
      <c r="K98" s="12">
        <f t="shared" si="13"/>
        <v>46090</v>
      </c>
      <c r="L98" s="12">
        <f t="shared" si="14"/>
        <v>46105</v>
      </c>
    </row>
    <row r="99" hidden="1">
      <c r="A99" s="4">
        <v>46075.0</v>
      </c>
      <c r="B99" s="2" t="s">
        <v>173</v>
      </c>
      <c r="C99" s="2" t="s">
        <v>845</v>
      </c>
      <c r="D99" s="2" t="s">
        <v>159</v>
      </c>
      <c r="E99" s="2">
        <v>0.0</v>
      </c>
      <c r="F99" s="2">
        <v>1.0</v>
      </c>
      <c r="G99" s="2">
        <v>1.0</v>
      </c>
      <c r="H99" s="8">
        <f t="shared" si="8"/>
        <v>0</v>
      </c>
      <c r="I99" s="2" t="b">
        <v>1</v>
      </c>
      <c r="J99" s="2" t="s">
        <v>160</v>
      </c>
      <c r="K99" s="12">
        <f t="shared" si="13"/>
        <v>46090</v>
      </c>
      <c r="L99" s="12">
        <f t="shared" si="14"/>
        <v>46105</v>
      </c>
    </row>
    <row r="100" hidden="1">
      <c r="A100" s="4">
        <v>46078.0</v>
      </c>
      <c r="B100" s="2" t="s">
        <v>173</v>
      </c>
      <c r="C100" s="2" t="s">
        <v>846</v>
      </c>
      <c r="D100" s="2" t="s">
        <v>159</v>
      </c>
      <c r="E100" s="2">
        <v>0.0</v>
      </c>
      <c r="F100" s="2">
        <v>30.0</v>
      </c>
      <c r="G100" s="2">
        <v>30.0</v>
      </c>
      <c r="H100" s="8">
        <f t="shared" si="8"/>
        <v>0</v>
      </c>
      <c r="I100" s="2" t="b">
        <v>1</v>
      </c>
      <c r="J100" s="2" t="s">
        <v>160</v>
      </c>
      <c r="K100" s="12">
        <f t="shared" si="13"/>
        <v>46093</v>
      </c>
      <c r="L100" s="12">
        <f t="shared" si="14"/>
        <v>46108</v>
      </c>
    </row>
    <row r="101" hidden="1">
      <c r="A101" s="4">
        <v>46150.0</v>
      </c>
      <c r="B101" s="2" t="s">
        <v>173</v>
      </c>
      <c r="C101" s="2" t="s">
        <v>847</v>
      </c>
      <c r="D101" s="2" t="s">
        <v>159</v>
      </c>
      <c r="E101" s="2">
        <v>0.0</v>
      </c>
      <c r="F101" s="2">
        <v>55.0</v>
      </c>
      <c r="G101" s="2">
        <v>55.0</v>
      </c>
      <c r="H101" s="8">
        <f t="shared" si="8"/>
        <v>0</v>
      </c>
      <c r="I101" s="8" t="b">
        <v>0</v>
      </c>
      <c r="J101" s="2" t="s">
        <v>160</v>
      </c>
      <c r="K101" s="12">
        <f t="shared" si="13"/>
        <v>46165</v>
      </c>
      <c r="L101" s="12">
        <f t="shared" si="14"/>
        <v>46180</v>
      </c>
    </row>
    <row r="102" hidden="1">
      <c r="A102" s="4">
        <v>46152.0</v>
      </c>
      <c r="B102" s="2" t="s">
        <v>173</v>
      </c>
      <c r="C102" s="2" t="s">
        <v>848</v>
      </c>
      <c r="D102" s="2" t="s">
        <v>159</v>
      </c>
      <c r="E102" s="2">
        <v>0.0</v>
      </c>
      <c r="F102" s="2">
        <v>50.0</v>
      </c>
      <c r="G102" s="2">
        <v>50.0</v>
      </c>
      <c r="H102" s="8">
        <f t="shared" si="8"/>
        <v>0</v>
      </c>
      <c r="I102" s="8" t="b">
        <v>0</v>
      </c>
      <c r="J102" s="2" t="s">
        <v>160</v>
      </c>
      <c r="K102" s="12">
        <f t="shared" si="13"/>
        <v>46167</v>
      </c>
      <c r="L102" s="12">
        <f t="shared" si="14"/>
        <v>46182</v>
      </c>
    </row>
    <row r="103" hidden="1">
      <c r="A103" s="4">
        <v>46154.0</v>
      </c>
      <c r="B103" s="2" t="s">
        <v>173</v>
      </c>
      <c r="C103" s="2" t="s">
        <v>849</v>
      </c>
      <c r="D103" s="2" t="s">
        <v>159</v>
      </c>
      <c r="E103" s="2">
        <v>0.0</v>
      </c>
      <c r="F103" s="2">
        <v>180.0</v>
      </c>
      <c r="G103" s="2">
        <v>180.0</v>
      </c>
      <c r="H103" s="8">
        <f t="shared" si="8"/>
        <v>0</v>
      </c>
      <c r="I103" s="8" t="b">
        <v>0</v>
      </c>
      <c r="J103" s="2" t="s">
        <v>160</v>
      </c>
      <c r="K103" s="12">
        <f t="shared" si="13"/>
        <v>46169</v>
      </c>
      <c r="L103" s="12">
        <f t="shared" si="14"/>
        <v>46184</v>
      </c>
    </row>
    <row r="104" hidden="1">
      <c r="A104" s="4">
        <v>46159.0</v>
      </c>
      <c r="B104" s="2" t="s">
        <v>173</v>
      </c>
      <c r="C104" s="2" t="s">
        <v>850</v>
      </c>
      <c r="D104" s="2" t="s">
        <v>159</v>
      </c>
      <c r="E104" s="2" t="s">
        <v>0</v>
      </c>
      <c r="F104" s="2">
        <v>160.0</v>
      </c>
      <c r="G104" s="2">
        <v>5.0</v>
      </c>
      <c r="H104" s="8">
        <f t="shared" si="8"/>
        <v>155</v>
      </c>
      <c r="I104" s="8" t="b">
        <v>0</v>
      </c>
      <c r="J104" s="2" t="s">
        <v>160</v>
      </c>
      <c r="K104" s="12">
        <f t="shared" si="13"/>
        <v>46174</v>
      </c>
      <c r="L104" s="12">
        <f t="shared" si="14"/>
        <v>46189</v>
      </c>
    </row>
    <row r="105" hidden="1">
      <c r="A105" s="4">
        <v>46159.0</v>
      </c>
      <c r="B105" s="2" t="s">
        <v>173</v>
      </c>
      <c r="C105" s="2" t="s">
        <v>851</v>
      </c>
      <c r="D105" s="2" t="s">
        <v>159</v>
      </c>
      <c r="E105" s="2" t="s">
        <v>0</v>
      </c>
      <c r="F105" s="2">
        <v>47.0</v>
      </c>
      <c r="G105" s="2">
        <v>0.0</v>
      </c>
      <c r="H105" s="8">
        <f t="shared" si="8"/>
        <v>47</v>
      </c>
      <c r="I105" s="8" t="b">
        <v>0</v>
      </c>
      <c r="J105" s="2" t="s">
        <v>160</v>
      </c>
      <c r="K105" s="12">
        <f t="shared" si="13"/>
        <v>46174</v>
      </c>
      <c r="L105" s="12">
        <f t="shared" si="14"/>
        <v>46189</v>
      </c>
    </row>
    <row r="106" hidden="1">
      <c r="A106" s="4">
        <v>46190.0</v>
      </c>
      <c r="B106" s="2" t="s">
        <v>173</v>
      </c>
      <c r="C106" s="2" t="s">
        <v>852</v>
      </c>
      <c r="D106" s="2" t="s">
        <v>159</v>
      </c>
      <c r="E106" s="2" t="s">
        <v>138</v>
      </c>
      <c r="F106" s="2">
        <v>30.0</v>
      </c>
      <c r="G106" s="2">
        <v>30.0</v>
      </c>
      <c r="H106" s="8">
        <f t="shared" si="8"/>
        <v>0</v>
      </c>
      <c r="I106" s="2" t="b">
        <v>0</v>
      </c>
      <c r="J106" s="2" t="s">
        <v>160</v>
      </c>
      <c r="K106" s="12">
        <f t="shared" si="13"/>
        <v>46205</v>
      </c>
      <c r="L106" s="12">
        <f t="shared" si="14"/>
        <v>46220</v>
      </c>
    </row>
    <row r="107" hidden="1">
      <c r="A107" s="4">
        <v>46190.0</v>
      </c>
      <c r="B107" s="2" t="s">
        <v>173</v>
      </c>
      <c r="C107" s="2" t="s">
        <v>853</v>
      </c>
      <c r="D107" s="2" t="s">
        <v>159</v>
      </c>
      <c r="E107" s="2" t="s">
        <v>138</v>
      </c>
      <c r="F107" s="2">
        <v>30.0</v>
      </c>
      <c r="G107" s="2">
        <v>30.0</v>
      </c>
      <c r="H107" s="8">
        <f t="shared" si="8"/>
        <v>0</v>
      </c>
      <c r="I107" s="2" t="b">
        <v>0</v>
      </c>
      <c r="J107" s="2" t="s">
        <v>160</v>
      </c>
      <c r="K107" s="12">
        <f t="shared" si="13"/>
        <v>46205</v>
      </c>
      <c r="L107" s="12">
        <f t="shared" si="14"/>
        <v>46220</v>
      </c>
    </row>
    <row r="108" hidden="1">
      <c r="A108" s="4">
        <v>46192.0</v>
      </c>
      <c r="B108" s="2" t="s">
        <v>173</v>
      </c>
      <c r="C108" s="2" t="s">
        <v>854</v>
      </c>
      <c r="D108" s="2" t="s">
        <v>159</v>
      </c>
      <c r="E108" s="2" t="s">
        <v>0</v>
      </c>
      <c r="F108" s="2">
        <v>45.0</v>
      </c>
      <c r="G108" s="2">
        <v>0.0</v>
      </c>
      <c r="H108" s="8">
        <f t="shared" si="8"/>
        <v>45</v>
      </c>
      <c r="I108" s="2" t="b">
        <v>0</v>
      </c>
      <c r="J108" s="2" t="s">
        <v>160</v>
      </c>
      <c r="K108" s="12">
        <f t="shared" si="13"/>
        <v>46207</v>
      </c>
      <c r="L108" s="12">
        <f t="shared" si="14"/>
        <v>46222</v>
      </c>
    </row>
    <row r="109" hidden="1">
      <c r="A109" s="254">
        <v>46038.0</v>
      </c>
      <c r="B109" s="2" t="s">
        <v>183</v>
      </c>
      <c r="C109" s="2" t="s">
        <v>855</v>
      </c>
      <c r="D109" s="8" t="s">
        <v>159</v>
      </c>
      <c r="E109" s="2">
        <v>0.0</v>
      </c>
      <c r="F109" s="2">
        <v>60.0</v>
      </c>
      <c r="G109" s="2">
        <v>60.0</v>
      </c>
      <c r="H109" s="8">
        <f t="shared" si="8"/>
        <v>0</v>
      </c>
      <c r="I109" s="2" t="b">
        <v>1</v>
      </c>
      <c r="J109" s="2" t="s">
        <v>160</v>
      </c>
      <c r="K109" s="12">
        <f t="shared" si="13"/>
        <v>46053</v>
      </c>
      <c r="L109" s="12">
        <f t="shared" si="14"/>
        <v>46068</v>
      </c>
    </row>
    <row r="110" hidden="1">
      <c r="A110" s="4">
        <v>46021.0</v>
      </c>
      <c r="B110" s="2" t="s">
        <v>183</v>
      </c>
      <c r="C110" s="2" t="s">
        <v>203</v>
      </c>
      <c r="D110" s="2" t="s">
        <v>159</v>
      </c>
      <c r="E110" s="2">
        <v>0.0</v>
      </c>
      <c r="F110" s="2">
        <v>6.0</v>
      </c>
      <c r="G110" s="2">
        <v>6.0</v>
      </c>
      <c r="H110" s="8">
        <f t="shared" si="8"/>
        <v>0</v>
      </c>
      <c r="I110" s="2" t="b">
        <v>0</v>
      </c>
      <c r="J110" s="2" t="s">
        <v>160</v>
      </c>
      <c r="K110" s="12">
        <f t="shared" si="13"/>
        <v>46036</v>
      </c>
      <c r="L110" s="12">
        <f t="shared" si="14"/>
        <v>46051</v>
      </c>
    </row>
    <row r="111" hidden="1">
      <c r="A111" s="4">
        <v>46052.0</v>
      </c>
      <c r="B111" s="2" t="s">
        <v>856</v>
      </c>
      <c r="C111" s="2" t="s">
        <v>857</v>
      </c>
      <c r="D111" s="2" t="s">
        <v>159</v>
      </c>
      <c r="E111" s="2">
        <v>0.0</v>
      </c>
      <c r="F111" s="2">
        <v>50.0</v>
      </c>
      <c r="G111" s="2">
        <v>50.0</v>
      </c>
      <c r="H111" s="8">
        <f t="shared" si="8"/>
        <v>0</v>
      </c>
      <c r="I111" s="2" t="b">
        <v>1</v>
      </c>
      <c r="J111" s="2" t="s">
        <v>160</v>
      </c>
      <c r="K111" s="12">
        <f t="shared" si="13"/>
        <v>46067</v>
      </c>
      <c r="L111" s="12">
        <f t="shared" si="14"/>
        <v>46082</v>
      </c>
    </row>
    <row r="112" hidden="1">
      <c r="A112" s="4">
        <v>46052.0</v>
      </c>
      <c r="B112" s="2" t="s">
        <v>856</v>
      </c>
      <c r="C112" s="2" t="s">
        <v>858</v>
      </c>
      <c r="D112" s="2" t="s">
        <v>159</v>
      </c>
      <c r="E112" s="2">
        <v>0.0</v>
      </c>
      <c r="F112" s="2">
        <v>20.0</v>
      </c>
      <c r="G112" s="2">
        <v>20.0</v>
      </c>
      <c r="H112" s="8">
        <f t="shared" si="8"/>
        <v>0</v>
      </c>
      <c r="I112" s="2" t="b">
        <v>1</v>
      </c>
      <c r="J112" s="2" t="s">
        <v>160</v>
      </c>
      <c r="K112" s="12">
        <f t="shared" si="13"/>
        <v>46067</v>
      </c>
      <c r="L112" s="12">
        <f t="shared" si="14"/>
        <v>46082</v>
      </c>
    </row>
    <row r="113" hidden="1">
      <c r="A113" s="4">
        <v>46150.0</v>
      </c>
      <c r="B113" s="2" t="s">
        <v>859</v>
      </c>
      <c r="C113" s="2" t="s">
        <v>860</v>
      </c>
      <c r="D113" s="2" t="s">
        <v>159</v>
      </c>
      <c r="E113" s="2">
        <v>0.0</v>
      </c>
      <c r="F113" s="2">
        <v>45.0</v>
      </c>
      <c r="G113" s="2">
        <v>45.0</v>
      </c>
      <c r="H113" s="8">
        <f t="shared" si="8"/>
        <v>0</v>
      </c>
      <c r="I113" s="2" t="b">
        <v>1</v>
      </c>
      <c r="J113" s="2" t="s">
        <v>160</v>
      </c>
      <c r="K113" s="12">
        <f t="shared" si="13"/>
        <v>46165</v>
      </c>
      <c r="L113" s="12">
        <f t="shared" si="14"/>
        <v>46180</v>
      </c>
    </row>
    <row r="114" hidden="1">
      <c r="A114" s="4">
        <v>46190.0</v>
      </c>
      <c r="B114" s="2" t="s">
        <v>861</v>
      </c>
      <c r="C114" s="2" t="s">
        <v>862</v>
      </c>
      <c r="D114" s="2" t="s">
        <v>159</v>
      </c>
      <c r="E114" s="2" t="s">
        <v>138</v>
      </c>
      <c r="F114" s="2">
        <v>55.0</v>
      </c>
      <c r="G114" s="2">
        <v>55.0</v>
      </c>
      <c r="H114" s="8">
        <f t="shared" si="8"/>
        <v>0</v>
      </c>
      <c r="I114" s="2" t="b">
        <v>0</v>
      </c>
      <c r="J114" s="2" t="s">
        <v>160</v>
      </c>
      <c r="K114" s="12">
        <f t="shared" si="13"/>
        <v>46205</v>
      </c>
      <c r="L114" s="12">
        <f t="shared" si="14"/>
        <v>46220</v>
      </c>
    </row>
    <row r="115" hidden="1">
      <c r="A115" s="4">
        <v>46023.0</v>
      </c>
      <c r="B115" s="2" t="s">
        <v>754</v>
      </c>
      <c r="C115" s="2" t="s">
        <v>863</v>
      </c>
      <c r="D115" s="2" t="s">
        <v>136</v>
      </c>
      <c r="E115" s="2" t="s">
        <v>839</v>
      </c>
      <c r="F115" s="259">
        <v>80.0</v>
      </c>
      <c r="G115" s="2">
        <v>0.0</v>
      </c>
      <c r="H115" s="8">
        <f t="shared" si="8"/>
        <v>80</v>
      </c>
      <c r="I115" s="2" t="b">
        <v>0</v>
      </c>
      <c r="J115" s="2" t="s">
        <v>160</v>
      </c>
    </row>
    <row r="116" hidden="1">
      <c r="A116" s="4">
        <v>46023.0</v>
      </c>
      <c r="B116" s="2" t="s">
        <v>754</v>
      </c>
      <c r="C116" s="2" t="s">
        <v>864</v>
      </c>
      <c r="D116" s="2" t="s">
        <v>136</v>
      </c>
      <c r="E116" s="2" t="s">
        <v>839</v>
      </c>
      <c r="F116" s="2">
        <v>40.0</v>
      </c>
      <c r="G116" s="2">
        <v>0.0</v>
      </c>
      <c r="H116" s="8">
        <f t="shared" si="8"/>
        <v>40</v>
      </c>
      <c r="I116" s="2" t="b">
        <v>0</v>
      </c>
      <c r="J116" s="2" t="s">
        <v>160</v>
      </c>
    </row>
    <row r="117" hidden="1">
      <c r="A117" s="4">
        <v>46023.0</v>
      </c>
      <c r="B117" s="2" t="s">
        <v>754</v>
      </c>
      <c r="C117" s="2" t="s">
        <v>865</v>
      </c>
      <c r="D117" s="2" t="s">
        <v>136</v>
      </c>
      <c r="E117" s="2">
        <v>539.0</v>
      </c>
      <c r="F117" s="2">
        <v>45.0</v>
      </c>
      <c r="G117" s="2">
        <v>0.0</v>
      </c>
      <c r="H117" s="8">
        <f t="shared" si="8"/>
        <v>45</v>
      </c>
      <c r="I117" s="2" t="b">
        <v>0</v>
      </c>
      <c r="J117" s="2" t="s">
        <v>160</v>
      </c>
    </row>
    <row r="118" hidden="1">
      <c r="A118" s="4">
        <v>46023.0</v>
      </c>
      <c r="B118" s="2" t="s">
        <v>754</v>
      </c>
      <c r="C118" s="2" t="s">
        <v>866</v>
      </c>
      <c r="D118" s="2" t="s">
        <v>136</v>
      </c>
      <c r="E118" s="2">
        <v>539.0</v>
      </c>
      <c r="F118" s="2">
        <v>40.0</v>
      </c>
      <c r="G118" s="2">
        <v>0.0</v>
      </c>
      <c r="H118" s="8">
        <f t="shared" si="8"/>
        <v>40</v>
      </c>
      <c r="I118" s="2" t="b">
        <v>0</v>
      </c>
      <c r="J118" s="2" t="s">
        <v>160</v>
      </c>
    </row>
    <row r="119" hidden="1">
      <c r="A119" s="4">
        <v>46023.0</v>
      </c>
      <c r="B119" s="2" t="s">
        <v>754</v>
      </c>
      <c r="C119" s="2" t="s">
        <v>867</v>
      </c>
      <c r="D119" s="2" t="s">
        <v>136</v>
      </c>
      <c r="E119" s="2">
        <v>535.0</v>
      </c>
      <c r="F119" s="2">
        <v>40.0</v>
      </c>
      <c r="G119" s="2">
        <v>0.0</v>
      </c>
      <c r="H119" s="8">
        <f t="shared" si="8"/>
        <v>40</v>
      </c>
      <c r="I119" s="2" t="b">
        <v>0</v>
      </c>
      <c r="J119" s="2" t="s">
        <v>160</v>
      </c>
    </row>
    <row r="120" hidden="1">
      <c r="A120" s="4">
        <v>46150.0</v>
      </c>
      <c r="B120" s="2" t="s">
        <v>868</v>
      </c>
      <c r="C120" s="2" t="s">
        <v>869</v>
      </c>
      <c r="D120" s="2" t="s">
        <v>159</v>
      </c>
      <c r="E120" s="2">
        <v>0.0</v>
      </c>
      <c r="F120" s="2">
        <v>70.0</v>
      </c>
      <c r="G120" s="2">
        <v>70.0</v>
      </c>
      <c r="H120" s="8">
        <f t="shared" si="8"/>
        <v>0</v>
      </c>
      <c r="I120" s="2" t="b">
        <v>1</v>
      </c>
      <c r="J120" s="2" t="s">
        <v>160</v>
      </c>
      <c r="K120" s="12">
        <f t="shared" ref="K120:K136" si="15">A120+15</f>
        <v>46165</v>
      </c>
      <c r="L120" s="12">
        <f t="shared" ref="L120:L136" si="16">A120+30</f>
        <v>46180</v>
      </c>
    </row>
    <row r="121" hidden="1">
      <c r="A121" s="4">
        <v>45939.0</v>
      </c>
      <c r="B121" s="2" t="s">
        <v>212</v>
      </c>
      <c r="C121" s="2" t="s">
        <v>213</v>
      </c>
      <c r="D121" s="2" t="s">
        <v>159</v>
      </c>
      <c r="E121" s="2">
        <v>0.0</v>
      </c>
      <c r="F121" s="2">
        <v>48.0</v>
      </c>
      <c r="G121" s="2">
        <v>48.0</v>
      </c>
      <c r="H121" s="8">
        <f t="shared" si="8"/>
        <v>0</v>
      </c>
      <c r="I121" s="2" t="b">
        <v>0</v>
      </c>
      <c r="J121" s="2" t="s">
        <v>160</v>
      </c>
      <c r="K121" s="12">
        <f t="shared" si="15"/>
        <v>45954</v>
      </c>
      <c r="L121" s="12">
        <f t="shared" si="16"/>
        <v>45969</v>
      </c>
    </row>
    <row r="122" hidden="1">
      <c r="A122" s="4">
        <v>46140.0</v>
      </c>
      <c r="B122" s="2" t="s">
        <v>870</v>
      </c>
      <c r="C122" s="2" t="s">
        <v>871</v>
      </c>
      <c r="D122" s="2" t="s">
        <v>159</v>
      </c>
      <c r="E122" s="2" t="s">
        <v>745</v>
      </c>
      <c r="F122" s="2">
        <v>50.0</v>
      </c>
      <c r="G122" s="2">
        <v>50.0</v>
      </c>
      <c r="H122" s="8">
        <f t="shared" si="8"/>
        <v>0</v>
      </c>
      <c r="I122" s="2" t="b">
        <v>1</v>
      </c>
      <c r="J122" s="2" t="s">
        <v>160</v>
      </c>
      <c r="K122" s="12">
        <f t="shared" si="15"/>
        <v>46155</v>
      </c>
      <c r="L122" s="12">
        <f t="shared" si="16"/>
        <v>46170</v>
      </c>
    </row>
    <row r="123" hidden="1">
      <c r="A123" s="4">
        <v>46146.0</v>
      </c>
      <c r="B123" s="2" t="s">
        <v>872</v>
      </c>
      <c r="C123" s="2" t="s">
        <v>633</v>
      </c>
      <c r="D123" s="2" t="s">
        <v>159</v>
      </c>
      <c r="E123" s="2">
        <v>0.0</v>
      </c>
      <c r="F123" s="2">
        <v>42.0</v>
      </c>
      <c r="G123" s="2">
        <v>42.0</v>
      </c>
      <c r="H123" s="8">
        <f t="shared" si="8"/>
        <v>0</v>
      </c>
      <c r="I123" s="8" t="b">
        <v>0</v>
      </c>
      <c r="J123" s="2" t="s">
        <v>160</v>
      </c>
      <c r="K123" s="12">
        <f t="shared" si="15"/>
        <v>46161</v>
      </c>
      <c r="L123" s="12">
        <f t="shared" si="16"/>
        <v>46176</v>
      </c>
      <c r="M123" s="8">
        <f>K123-L123</f>
        <v>-15</v>
      </c>
    </row>
    <row r="124" hidden="1">
      <c r="A124" s="4">
        <v>46042.0</v>
      </c>
      <c r="B124" s="2" t="s">
        <v>873</v>
      </c>
      <c r="C124" s="2" t="s">
        <v>874</v>
      </c>
      <c r="D124" s="2" t="s">
        <v>159</v>
      </c>
      <c r="E124" s="2">
        <v>0.0</v>
      </c>
      <c r="F124" s="2">
        <v>105.0</v>
      </c>
      <c r="G124" s="2">
        <v>105.0</v>
      </c>
      <c r="H124" s="8">
        <f t="shared" si="8"/>
        <v>0</v>
      </c>
      <c r="I124" s="2" t="b">
        <v>1</v>
      </c>
      <c r="J124" s="2" t="s">
        <v>160</v>
      </c>
      <c r="K124" s="12">
        <f t="shared" si="15"/>
        <v>46057</v>
      </c>
      <c r="L124" s="12">
        <f t="shared" si="16"/>
        <v>46072</v>
      </c>
    </row>
    <row r="125" hidden="1">
      <c r="A125" s="4">
        <v>46086.0</v>
      </c>
      <c r="B125" s="2" t="s">
        <v>875</v>
      </c>
      <c r="C125" s="2" t="s">
        <v>876</v>
      </c>
      <c r="D125" s="2" t="s">
        <v>159</v>
      </c>
      <c r="E125" s="2">
        <v>0.0</v>
      </c>
      <c r="F125" s="2">
        <v>75.0</v>
      </c>
      <c r="G125" s="2">
        <v>75.0</v>
      </c>
      <c r="H125" s="8">
        <f t="shared" si="8"/>
        <v>0</v>
      </c>
      <c r="I125" s="2" t="b">
        <v>1</v>
      </c>
      <c r="J125" s="2" t="s">
        <v>160</v>
      </c>
      <c r="K125" s="12">
        <f t="shared" si="15"/>
        <v>46101</v>
      </c>
      <c r="L125" s="12">
        <f t="shared" si="16"/>
        <v>46116</v>
      </c>
    </row>
    <row r="126" hidden="1">
      <c r="A126" s="4">
        <v>46187.0</v>
      </c>
      <c r="B126" s="2" t="s">
        <v>877</v>
      </c>
      <c r="C126" s="2" t="s">
        <v>878</v>
      </c>
      <c r="D126" s="2" t="s">
        <v>159</v>
      </c>
      <c r="E126" s="2" t="s">
        <v>0</v>
      </c>
      <c r="F126" s="2">
        <v>60.0</v>
      </c>
      <c r="G126" s="2">
        <v>60.0</v>
      </c>
      <c r="H126" s="8">
        <f t="shared" si="8"/>
        <v>0</v>
      </c>
      <c r="I126" s="2" t="b">
        <v>0</v>
      </c>
      <c r="J126" s="2" t="s">
        <v>160</v>
      </c>
      <c r="K126" s="12">
        <f t="shared" si="15"/>
        <v>46202</v>
      </c>
      <c r="L126" s="12">
        <f t="shared" si="16"/>
        <v>46217</v>
      </c>
    </row>
    <row r="127" hidden="1">
      <c r="A127" s="4">
        <v>46097.0</v>
      </c>
      <c r="B127" s="2" t="s">
        <v>879</v>
      </c>
      <c r="C127" s="2" t="s">
        <v>880</v>
      </c>
      <c r="D127" s="2" t="s">
        <v>159</v>
      </c>
      <c r="E127" s="2">
        <v>0.0</v>
      </c>
      <c r="F127" s="2">
        <v>60.0</v>
      </c>
      <c r="G127" s="2">
        <v>60.0</v>
      </c>
      <c r="H127" s="8">
        <f t="shared" si="8"/>
        <v>0</v>
      </c>
      <c r="I127" s="2" t="b">
        <v>1</v>
      </c>
      <c r="J127" s="2" t="s">
        <v>160</v>
      </c>
      <c r="K127" s="12">
        <f t="shared" si="15"/>
        <v>46112</v>
      </c>
      <c r="L127" s="12">
        <f t="shared" si="16"/>
        <v>46127</v>
      </c>
    </row>
    <row r="128" hidden="1">
      <c r="A128" s="4">
        <v>46088.0</v>
      </c>
      <c r="B128" s="2" t="s">
        <v>881</v>
      </c>
      <c r="C128" s="2" t="s">
        <v>882</v>
      </c>
      <c r="D128" s="2" t="s">
        <v>159</v>
      </c>
      <c r="E128" s="2">
        <v>0.0</v>
      </c>
      <c r="F128" s="2">
        <v>45.0</v>
      </c>
      <c r="G128" s="2">
        <v>45.0</v>
      </c>
      <c r="H128" s="8">
        <f t="shared" si="8"/>
        <v>0</v>
      </c>
      <c r="I128" s="2" t="b">
        <v>1</v>
      </c>
      <c r="J128" s="2" t="s">
        <v>160</v>
      </c>
      <c r="K128" s="12">
        <f t="shared" si="15"/>
        <v>46103</v>
      </c>
      <c r="L128" s="12">
        <f t="shared" si="16"/>
        <v>46118</v>
      </c>
    </row>
    <row r="129" hidden="1">
      <c r="A129" s="4">
        <v>46097.0</v>
      </c>
      <c r="B129" s="2" t="s">
        <v>883</v>
      </c>
      <c r="C129" s="2" t="s">
        <v>884</v>
      </c>
      <c r="D129" s="2" t="s">
        <v>159</v>
      </c>
      <c r="E129" s="2">
        <v>0.0</v>
      </c>
      <c r="F129" s="2">
        <v>65.0</v>
      </c>
      <c r="G129" s="2">
        <v>0.0</v>
      </c>
      <c r="H129" s="8">
        <f t="shared" si="8"/>
        <v>65</v>
      </c>
      <c r="I129" s="2" t="b">
        <v>1</v>
      </c>
      <c r="J129" s="2" t="s">
        <v>160</v>
      </c>
      <c r="K129" s="12">
        <f t="shared" si="15"/>
        <v>46112</v>
      </c>
      <c r="L129" s="12">
        <f t="shared" si="16"/>
        <v>46127</v>
      </c>
    </row>
    <row r="130" hidden="1">
      <c r="A130" s="4">
        <v>46045.0</v>
      </c>
      <c r="B130" s="2" t="s">
        <v>885</v>
      </c>
      <c r="C130" s="2" t="s">
        <v>886</v>
      </c>
      <c r="D130" s="2" t="s">
        <v>159</v>
      </c>
      <c r="E130" s="2">
        <v>0.0</v>
      </c>
      <c r="F130" s="2">
        <v>65.0</v>
      </c>
      <c r="G130" s="2">
        <v>65.0</v>
      </c>
      <c r="H130" s="8">
        <f t="shared" si="8"/>
        <v>0</v>
      </c>
      <c r="I130" s="2" t="b">
        <v>1</v>
      </c>
      <c r="J130" s="2" t="s">
        <v>160</v>
      </c>
      <c r="K130" s="12">
        <f t="shared" si="15"/>
        <v>46060</v>
      </c>
      <c r="L130" s="12">
        <f t="shared" si="16"/>
        <v>46075</v>
      </c>
    </row>
    <row r="131" hidden="1">
      <c r="A131" s="4">
        <v>46192.0</v>
      </c>
      <c r="B131" s="2" t="s">
        <v>887</v>
      </c>
      <c r="C131" s="2" t="s">
        <v>888</v>
      </c>
      <c r="D131" s="2" t="s">
        <v>159</v>
      </c>
      <c r="E131" s="2" t="s">
        <v>138</v>
      </c>
      <c r="F131" s="2">
        <v>30.0</v>
      </c>
      <c r="G131" s="2">
        <v>0.0</v>
      </c>
      <c r="H131" s="8">
        <f t="shared" si="8"/>
        <v>30</v>
      </c>
      <c r="I131" s="2" t="b">
        <v>0</v>
      </c>
      <c r="J131" s="2" t="s">
        <v>160</v>
      </c>
      <c r="K131" s="12">
        <f t="shared" si="15"/>
        <v>46207</v>
      </c>
      <c r="L131" s="12">
        <f t="shared" si="16"/>
        <v>46222</v>
      </c>
    </row>
    <row r="132">
      <c r="A132" s="4">
        <v>46196.0</v>
      </c>
      <c r="B132" s="2" t="s">
        <v>889</v>
      </c>
      <c r="C132" s="2" t="s">
        <v>890</v>
      </c>
      <c r="D132" s="2" t="s">
        <v>159</v>
      </c>
      <c r="E132" s="2" t="s">
        <v>138</v>
      </c>
      <c r="F132" s="2">
        <v>45.0</v>
      </c>
      <c r="G132" s="2">
        <v>45.0</v>
      </c>
      <c r="H132" s="8">
        <f t="shared" si="8"/>
        <v>0</v>
      </c>
      <c r="I132" s="2" t="b">
        <v>0</v>
      </c>
      <c r="J132" s="2" t="s">
        <v>160</v>
      </c>
      <c r="K132" s="12">
        <f t="shared" si="15"/>
        <v>46211</v>
      </c>
      <c r="L132" s="12">
        <f t="shared" si="16"/>
        <v>46226</v>
      </c>
    </row>
    <row r="133">
      <c r="A133" s="4">
        <v>46196.0</v>
      </c>
      <c r="B133" s="2" t="s">
        <v>889</v>
      </c>
      <c r="C133" s="2" t="s">
        <v>891</v>
      </c>
      <c r="D133" s="2" t="s">
        <v>159</v>
      </c>
      <c r="E133" s="2" t="s">
        <v>0</v>
      </c>
      <c r="F133" s="2">
        <v>75.0</v>
      </c>
      <c r="G133" s="2">
        <v>75.0</v>
      </c>
      <c r="H133" s="8">
        <f t="shared" si="8"/>
        <v>0</v>
      </c>
      <c r="I133" s="2" t="b">
        <v>0</v>
      </c>
      <c r="J133" s="2" t="s">
        <v>160</v>
      </c>
      <c r="K133" s="12">
        <f t="shared" si="15"/>
        <v>46211</v>
      </c>
      <c r="L133" s="12">
        <f t="shared" si="16"/>
        <v>46226</v>
      </c>
    </row>
    <row r="134" hidden="1">
      <c r="A134" s="4">
        <v>46084.0</v>
      </c>
      <c r="B134" s="2" t="s">
        <v>892</v>
      </c>
      <c r="C134" s="2" t="s">
        <v>893</v>
      </c>
      <c r="D134" s="2" t="s">
        <v>159</v>
      </c>
      <c r="E134" s="2">
        <v>0.0</v>
      </c>
      <c r="F134" s="2">
        <v>45.0</v>
      </c>
      <c r="G134" s="2">
        <v>45.0</v>
      </c>
      <c r="H134" s="8">
        <f t="shared" si="8"/>
        <v>0</v>
      </c>
      <c r="I134" s="2" t="b">
        <v>1</v>
      </c>
      <c r="J134" s="2" t="s">
        <v>160</v>
      </c>
      <c r="K134" s="12">
        <f t="shared" si="15"/>
        <v>46099</v>
      </c>
      <c r="L134" s="12">
        <f t="shared" si="16"/>
        <v>46114</v>
      </c>
    </row>
    <row r="135" hidden="1">
      <c r="A135" s="4">
        <v>46125.0</v>
      </c>
      <c r="B135" s="2" t="s">
        <v>835</v>
      </c>
      <c r="C135" s="2" t="s">
        <v>894</v>
      </c>
      <c r="D135" s="2" t="s">
        <v>159</v>
      </c>
      <c r="E135" s="2">
        <v>0.0</v>
      </c>
      <c r="F135" s="2">
        <v>150.0</v>
      </c>
      <c r="G135" s="2">
        <v>150.0</v>
      </c>
      <c r="H135" s="8">
        <f t="shared" si="8"/>
        <v>0</v>
      </c>
      <c r="I135" s="2" t="b">
        <v>1</v>
      </c>
      <c r="J135" s="2" t="s">
        <v>160</v>
      </c>
      <c r="K135" s="12">
        <f t="shared" si="15"/>
        <v>46140</v>
      </c>
      <c r="L135" s="12">
        <f t="shared" si="16"/>
        <v>46155</v>
      </c>
    </row>
    <row r="136" hidden="1">
      <c r="A136" s="4">
        <v>46143.0</v>
      </c>
      <c r="B136" s="2" t="s">
        <v>835</v>
      </c>
      <c r="C136" s="2" t="s">
        <v>303</v>
      </c>
      <c r="D136" s="2" t="s">
        <v>159</v>
      </c>
      <c r="E136" s="2" t="s">
        <v>745</v>
      </c>
      <c r="F136" s="2">
        <v>70.0</v>
      </c>
      <c r="G136" s="2">
        <v>70.0</v>
      </c>
      <c r="H136" s="8">
        <f t="shared" si="8"/>
        <v>0</v>
      </c>
      <c r="I136" s="2" t="b">
        <v>1</v>
      </c>
      <c r="J136" s="2" t="s">
        <v>160</v>
      </c>
      <c r="K136" s="12">
        <f t="shared" si="15"/>
        <v>46158</v>
      </c>
      <c r="L136" s="12">
        <f t="shared" si="16"/>
        <v>46173</v>
      </c>
    </row>
    <row r="137" hidden="1">
      <c r="A137" s="4">
        <v>46023.0</v>
      </c>
      <c r="B137" s="2" t="s">
        <v>766</v>
      </c>
      <c r="C137" s="2" t="s">
        <v>895</v>
      </c>
      <c r="D137" s="2" t="s">
        <v>136</v>
      </c>
      <c r="E137" s="2">
        <v>521.0</v>
      </c>
      <c r="F137" s="2">
        <v>70.0</v>
      </c>
      <c r="G137" s="2">
        <v>0.0</v>
      </c>
      <c r="H137" s="8">
        <f t="shared" si="8"/>
        <v>70</v>
      </c>
      <c r="I137" s="2" t="b">
        <v>0</v>
      </c>
      <c r="J137" s="2" t="s">
        <v>160</v>
      </c>
    </row>
    <row r="138" hidden="1">
      <c r="A138" s="4">
        <v>46023.0</v>
      </c>
      <c r="B138" s="2" t="s">
        <v>766</v>
      </c>
      <c r="C138" s="2" t="s">
        <v>896</v>
      </c>
      <c r="D138" s="2" t="s">
        <v>136</v>
      </c>
      <c r="E138" s="2">
        <v>521.0</v>
      </c>
      <c r="F138" s="2">
        <v>80.0</v>
      </c>
      <c r="G138" s="2">
        <v>0.0</v>
      </c>
      <c r="H138" s="8">
        <f t="shared" si="8"/>
        <v>80</v>
      </c>
      <c r="I138" s="2" t="b">
        <v>0</v>
      </c>
      <c r="J138" s="2" t="s">
        <v>160</v>
      </c>
    </row>
    <row r="139" hidden="1">
      <c r="A139" s="4">
        <v>46143.0</v>
      </c>
      <c r="B139" s="2" t="s">
        <v>835</v>
      </c>
      <c r="C139" s="2" t="s">
        <v>219</v>
      </c>
      <c r="D139" s="2" t="s">
        <v>159</v>
      </c>
      <c r="E139" s="2" t="s">
        <v>745</v>
      </c>
      <c r="F139" s="2">
        <v>30.0</v>
      </c>
      <c r="G139" s="2">
        <v>30.0</v>
      </c>
      <c r="H139" s="8">
        <f t="shared" si="8"/>
        <v>0</v>
      </c>
      <c r="I139" s="2" t="b">
        <v>1</v>
      </c>
      <c r="J139" s="2" t="s">
        <v>160</v>
      </c>
      <c r="K139" s="12">
        <f t="shared" ref="K139:K155" si="17">A139+15</f>
        <v>46158</v>
      </c>
      <c r="L139" s="12">
        <f t="shared" ref="L139:L155" si="18">A139+30</f>
        <v>46173</v>
      </c>
    </row>
    <row r="140" hidden="1">
      <c r="A140" s="4">
        <v>46138.0</v>
      </c>
      <c r="B140" s="2" t="s">
        <v>897</v>
      </c>
      <c r="C140" s="2" t="s">
        <v>898</v>
      </c>
      <c r="D140" s="2" t="s">
        <v>159</v>
      </c>
      <c r="E140" s="2" t="s">
        <v>745</v>
      </c>
      <c r="F140" s="2">
        <v>55.0</v>
      </c>
      <c r="G140" s="2">
        <v>55.0</v>
      </c>
      <c r="H140" s="8">
        <f t="shared" si="8"/>
        <v>0</v>
      </c>
      <c r="I140" s="2" t="b">
        <v>1</v>
      </c>
      <c r="J140" s="2" t="s">
        <v>160</v>
      </c>
      <c r="K140" s="12">
        <f t="shared" si="17"/>
        <v>46153</v>
      </c>
      <c r="L140" s="12">
        <f t="shared" si="18"/>
        <v>46168</v>
      </c>
    </row>
    <row r="141" hidden="1">
      <c r="A141" s="4">
        <v>46189.0</v>
      </c>
      <c r="B141" s="2" t="s">
        <v>899</v>
      </c>
      <c r="C141" s="2" t="s">
        <v>900</v>
      </c>
      <c r="D141" s="2" t="s">
        <v>159</v>
      </c>
      <c r="E141" s="2" t="s">
        <v>0</v>
      </c>
      <c r="F141" s="2">
        <v>170.0</v>
      </c>
      <c r="G141" s="2">
        <v>170.0</v>
      </c>
      <c r="H141" s="8">
        <f t="shared" si="8"/>
        <v>0</v>
      </c>
      <c r="I141" s="2" t="b">
        <v>1</v>
      </c>
      <c r="J141" s="2" t="s">
        <v>160</v>
      </c>
      <c r="K141" s="12">
        <f t="shared" si="17"/>
        <v>46204</v>
      </c>
      <c r="L141" s="12">
        <f t="shared" si="18"/>
        <v>46219</v>
      </c>
    </row>
    <row r="142" hidden="1">
      <c r="A142" s="4">
        <v>46021.0</v>
      </c>
      <c r="B142" s="2" t="s">
        <v>221</v>
      </c>
      <c r="C142" s="2" t="s">
        <v>222</v>
      </c>
      <c r="D142" s="2" t="s">
        <v>159</v>
      </c>
      <c r="E142" s="2">
        <v>0.0</v>
      </c>
      <c r="F142" s="2">
        <v>5.0</v>
      </c>
      <c r="G142" s="2">
        <v>5.0</v>
      </c>
      <c r="H142" s="8">
        <f t="shared" si="8"/>
        <v>0</v>
      </c>
      <c r="I142" s="8" t="b">
        <v>0</v>
      </c>
      <c r="J142" s="2" t="s">
        <v>160</v>
      </c>
      <c r="K142" s="12">
        <f t="shared" si="17"/>
        <v>46036</v>
      </c>
      <c r="L142" s="12">
        <f t="shared" si="18"/>
        <v>46051</v>
      </c>
    </row>
    <row r="143" hidden="1">
      <c r="A143" s="4">
        <v>46134.0</v>
      </c>
      <c r="B143" s="2" t="s">
        <v>901</v>
      </c>
      <c r="C143" s="2" t="s">
        <v>902</v>
      </c>
      <c r="D143" s="2" t="s">
        <v>159</v>
      </c>
      <c r="E143" s="2" t="s">
        <v>745</v>
      </c>
      <c r="F143" s="2">
        <v>45.0</v>
      </c>
      <c r="G143" s="2">
        <v>45.0</v>
      </c>
      <c r="H143" s="8">
        <f t="shared" si="8"/>
        <v>0</v>
      </c>
      <c r="I143" s="2" t="b">
        <v>1</v>
      </c>
      <c r="J143" s="2" t="s">
        <v>160</v>
      </c>
      <c r="K143" s="12">
        <f t="shared" si="17"/>
        <v>46149</v>
      </c>
      <c r="L143" s="12">
        <f t="shared" si="18"/>
        <v>46164</v>
      </c>
    </row>
    <row r="144" hidden="1">
      <c r="A144" s="4">
        <v>46124.0</v>
      </c>
      <c r="B144" s="2" t="s">
        <v>903</v>
      </c>
      <c r="C144" s="2" t="s">
        <v>904</v>
      </c>
      <c r="D144" s="2" t="s">
        <v>159</v>
      </c>
      <c r="E144" s="2" t="s">
        <v>745</v>
      </c>
      <c r="F144" s="2">
        <v>25.0</v>
      </c>
      <c r="G144" s="2">
        <v>25.0</v>
      </c>
      <c r="H144" s="8">
        <f t="shared" si="8"/>
        <v>0</v>
      </c>
      <c r="I144" s="2" t="b">
        <v>1</v>
      </c>
      <c r="J144" s="2" t="s">
        <v>160</v>
      </c>
      <c r="K144" s="12">
        <f t="shared" si="17"/>
        <v>46139</v>
      </c>
      <c r="L144" s="12">
        <f t="shared" si="18"/>
        <v>46154</v>
      </c>
      <c r="M144" s="2" t="b">
        <v>0</v>
      </c>
    </row>
    <row r="145" hidden="1">
      <c r="A145" s="4">
        <v>46124.0</v>
      </c>
      <c r="B145" s="2" t="s">
        <v>903</v>
      </c>
      <c r="C145" s="2" t="s">
        <v>905</v>
      </c>
      <c r="D145" s="2" t="s">
        <v>159</v>
      </c>
      <c r="E145" s="2" t="s">
        <v>745</v>
      </c>
      <c r="F145" s="2">
        <v>20.0</v>
      </c>
      <c r="G145" s="2">
        <v>20.0</v>
      </c>
      <c r="H145" s="8">
        <f t="shared" si="8"/>
        <v>0</v>
      </c>
      <c r="I145" s="2" t="b">
        <v>1</v>
      </c>
      <c r="J145" s="2" t="s">
        <v>160</v>
      </c>
      <c r="K145" s="12">
        <f t="shared" si="17"/>
        <v>46139</v>
      </c>
      <c r="L145" s="12">
        <f t="shared" si="18"/>
        <v>46154</v>
      </c>
      <c r="M145" s="2" t="b">
        <v>0</v>
      </c>
    </row>
    <row r="146" hidden="1">
      <c r="A146" s="4">
        <v>46124.0</v>
      </c>
      <c r="B146" s="2" t="s">
        <v>903</v>
      </c>
      <c r="C146" s="2" t="s">
        <v>906</v>
      </c>
      <c r="D146" s="2" t="s">
        <v>159</v>
      </c>
      <c r="E146" s="2" t="s">
        <v>745</v>
      </c>
      <c r="F146" s="2">
        <v>15.0</v>
      </c>
      <c r="G146" s="2">
        <v>15.0</v>
      </c>
      <c r="H146" s="8">
        <f t="shared" si="8"/>
        <v>0</v>
      </c>
      <c r="I146" s="2" t="b">
        <v>1</v>
      </c>
      <c r="J146" s="2" t="s">
        <v>160</v>
      </c>
      <c r="K146" s="12">
        <f t="shared" si="17"/>
        <v>46139</v>
      </c>
      <c r="L146" s="12">
        <f t="shared" si="18"/>
        <v>46154</v>
      </c>
      <c r="M146" s="2" t="b">
        <v>0</v>
      </c>
    </row>
    <row r="147" hidden="1">
      <c r="A147" s="4">
        <v>46124.0</v>
      </c>
      <c r="B147" s="2" t="s">
        <v>903</v>
      </c>
      <c r="C147" s="2" t="s">
        <v>907</v>
      </c>
      <c r="D147" s="2" t="s">
        <v>159</v>
      </c>
      <c r="E147" s="2" t="s">
        <v>745</v>
      </c>
      <c r="F147" s="2">
        <v>15.0</v>
      </c>
      <c r="G147" s="2">
        <v>15.0</v>
      </c>
      <c r="H147" s="8">
        <f t="shared" si="8"/>
        <v>0</v>
      </c>
      <c r="I147" s="2" t="b">
        <v>1</v>
      </c>
      <c r="J147" s="2" t="s">
        <v>160</v>
      </c>
      <c r="K147" s="12">
        <f t="shared" si="17"/>
        <v>46139</v>
      </c>
      <c r="L147" s="12">
        <f t="shared" si="18"/>
        <v>46154</v>
      </c>
      <c r="M147" s="2" t="b">
        <v>0</v>
      </c>
    </row>
    <row r="148" hidden="1">
      <c r="A148" s="4">
        <v>46124.0</v>
      </c>
      <c r="B148" s="2" t="s">
        <v>903</v>
      </c>
      <c r="C148" s="2" t="s">
        <v>908</v>
      </c>
      <c r="D148" s="2" t="s">
        <v>159</v>
      </c>
      <c r="E148" s="2" t="s">
        <v>745</v>
      </c>
      <c r="F148" s="2">
        <v>85.0</v>
      </c>
      <c r="G148" s="2">
        <v>85.0</v>
      </c>
      <c r="H148" s="8">
        <f t="shared" si="8"/>
        <v>0</v>
      </c>
      <c r="I148" s="2" t="b">
        <v>1</v>
      </c>
      <c r="J148" s="2" t="s">
        <v>160</v>
      </c>
      <c r="K148" s="12">
        <f t="shared" si="17"/>
        <v>46139</v>
      </c>
      <c r="L148" s="12">
        <f t="shared" si="18"/>
        <v>46154</v>
      </c>
      <c r="M148" s="2" t="b">
        <v>0</v>
      </c>
    </row>
    <row r="149" hidden="1">
      <c r="A149" s="4">
        <v>46124.0</v>
      </c>
      <c r="B149" s="2" t="s">
        <v>903</v>
      </c>
      <c r="C149" s="2" t="s">
        <v>909</v>
      </c>
      <c r="D149" s="2" t="s">
        <v>159</v>
      </c>
      <c r="E149" s="2" t="s">
        <v>745</v>
      </c>
      <c r="F149" s="2">
        <v>25.0</v>
      </c>
      <c r="G149" s="2">
        <v>25.0</v>
      </c>
      <c r="H149" s="8">
        <f t="shared" si="8"/>
        <v>0</v>
      </c>
      <c r="I149" s="2" t="b">
        <v>1</v>
      </c>
      <c r="J149" s="2" t="s">
        <v>160</v>
      </c>
      <c r="K149" s="12">
        <f t="shared" si="17"/>
        <v>46139</v>
      </c>
      <c r="L149" s="12">
        <f t="shared" si="18"/>
        <v>46154</v>
      </c>
      <c r="M149" s="2" t="b">
        <v>0</v>
      </c>
    </row>
    <row r="150" hidden="1">
      <c r="A150" s="4">
        <v>46021.0</v>
      </c>
      <c r="B150" s="2" t="s">
        <v>223</v>
      </c>
      <c r="C150" s="2" t="s">
        <v>260</v>
      </c>
      <c r="D150" s="2" t="s">
        <v>159</v>
      </c>
      <c r="E150" s="2">
        <v>0.0</v>
      </c>
      <c r="F150" s="2">
        <v>5.0</v>
      </c>
      <c r="G150" s="2">
        <v>5.0</v>
      </c>
      <c r="H150" s="8">
        <f t="shared" si="8"/>
        <v>0</v>
      </c>
      <c r="I150" s="2" t="b">
        <v>1</v>
      </c>
      <c r="J150" s="2" t="s">
        <v>160</v>
      </c>
      <c r="K150" s="12">
        <f t="shared" si="17"/>
        <v>46036</v>
      </c>
      <c r="L150" s="12">
        <f t="shared" si="18"/>
        <v>46051</v>
      </c>
    </row>
    <row r="151" hidden="1">
      <c r="A151" s="4">
        <v>46021.0</v>
      </c>
      <c r="B151" s="2" t="s">
        <v>223</v>
      </c>
      <c r="C151" s="2" t="s">
        <v>224</v>
      </c>
      <c r="D151" s="2" t="s">
        <v>159</v>
      </c>
      <c r="E151" s="2">
        <v>0.0</v>
      </c>
      <c r="F151" s="2">
        <v>5.0</v>
      </c>
      <c r="G151" s="2">
        <v>5.0</v>
      </c>
      <c r="H151" s="8">
        <f t="shared" si="8"/>
        <v>0</v>
      </c>
      <c r="I151" s="8" t="b">
        <v>0</v>
      </c>
      <c r="J151" s="2" t="s">
        <v>160</v>
      </c>
      <c r="K151" s="12">
        <f t="shared" si="17"/>
        <v>46036</v>
      </c>
      <c r="L151" s="12">
        <f t="shared" si="18"/>
        <v>46051</v>
      </c>
    </row>
    <row r="152" hidden="1">
      <c r="A152" s="4">
        <v>46021.0</v>
      </c>
      <c r="B152" s="2" t="s">
        <v>223</v>
      </c>
      <c r="C152" s="2" t="s">
        <v>242</v>
      </c>
      <c r="D152" s="2" t="s">
        <v>159</v>
      </c>
      <c r="E152" s="2">
        <v>0.0</v>
      </c>
      <c r="F152" s="2">
        <v>5.0</v>
      </c>
      <c r="G152" s="2">
        <v>5.0</v>
      </c>
      <c r="H152" s="8">
        <f t="shared" si="8"/>
        <v>0</v>
      </c>
      <c r="I152" s="8" t="b">
        <v>0</v>
      </c>
      <c r="J152" s="2" t="s">
        <v>160</v>
      </c>
      <c r="K152" s="12">
        <f t="shared" si="17"/>
        <v>46036</v>
      </c>
      <c r="L152" s="12">
        <f t="shared" si="18"/>
        <v>46051</v>
      </c>
    </row>
    <row r="153" hidden="1">
      <c r="A153" s="4">
        <v>46021.0</v>
      </c>
      <c r="B153" s="2" t="s">
        <v>223</v>
      </c>
      <c r="C153" s="2" t="s">
        <v>257</v>
      </c>
      <c r="D153" s="2" t="s">
        <v>159</v>
      </c>
      <c r="E153" s="2">
        <v>0.0</v>
      </c>
      <c r="F153" s="2">
        <v>7.0</v>
      </c>
      <c r="G153" s="2">
        <v>7.0</v>
      </c>
      <c r="H153" s="8">
        <f t="shared" si="8"/>
        <v>0</v>
      </c>
      <c r="I153" s="8" t="b">
        <v>0</v>
      </c>
      <c r="J153" s="2" t="s">
        <v>160</v>
      </c>
      <c r="K153" s="12">
        <f t="shared" si="17"/>
        <v>46036</v>
      </c>
      <c r="L153" s="12">
        <f t="shared" si="18"/>
        <v>46051</v>
      </c>
    </row>
    <row r="154" hidden="1">
      <c r="A154" s="4">
        <v>46021.0</v>
      </c>
      <c r="B154" s="2" t="s">
        <v>223</v>
      </c>
      <c r="C154" s="2" t="s">
        <v>241</v>
      </c>
      <c r="D154" s="2" t="s">
        <v>159</v>
      </c>
      <c r="E154" s="2">
        <v>0.0</v>
      </c>
      <c r="F154" s="2">
        <v>6.0</v>
      </c>
      <c r="G154" s="2">
        <v>6.0</v>
      </c>
      <c r="H154" s="8">
        <f t="shared" si="8"/>
        <v>0</v>
      </c>
      <c r="I154" s="8" t="b">
        <v>0</v>
      </c>
      <c r="J154" s="2" t="s">
        <v>160</v>
      </c>
      <c r="K154" s="12">
        <f t="shared" si="17"/>
        <v>46036</v>
      </c>
      <c r="L154" s="12">
        <f t="shared" si="18"/>
        <v>46051</v>
      </c>
    </row>
    <row r="155" hidden="1">
      <c r="A155" s="4">
        <v>46021.0</v>
      </c>
      <c r="B155" s="2" t="s">
        <v>223</v>
      </c>
      <c r="C155" s="2" t="s">
        <v>245</v>
      </c>
      <c r="D155" s="2" t="s">
        <v>159</v>
      </c>
      <c r="E155" s="2">
        <v>0.0</v>
      </c>
      <c r="F155" s="2">
        <v>7.0</v>
      </c>
      <c r="G155" s="2">
        <v>7.0</v>
      </c>
      <c r="H155" s="8">
        <f t="shared" si="8"/>
        <v>0</v>
      </c>
      <c r="I155" s="8" t="b">
        <v>0</v>
      </c>
      <c r="J155" s="2" t="s">
        <v>160</v>
      </c>
      <c r="K155" s="12">
        <f t="shared" si="17"/>
        <v>46036</v>
      </c>
      <c r="L155" s="12">
        <f t="shared" si="18"/>
        <v>46051</v>
      </c>
    </row>
    <row r="156" hidden="1">
      <c r="A156" s="4">
        <v>46023.0</v>
      </c>
      <c r="B156" s="2" t="s">
        <v>766</v>
      </c>
      <c r="C156" s="2" t="s">
        <v>910</v>
      </c>
      <c r="D156" s="2" t="s">
        <v>136</v>
      </c>
      <c r="E156" s="2">
        <v>539.0</v>
      </c>
      <c r="F156" s="2">
        <v>65.0</v>
      </c>
      <c r="G156" s="2">
        <v>0.0</v>
      </c>
      <c r="H156" s="8">
        <f t="shared" si="8"/>
        <v>65</v>
      </c>
      <c r="I156" s="2" t="b">
        <v>0</v>
      </c>
      <c r="J156" s="2" t="s">
        <v>160</v>
      </c>
    </row>
    <row r="157" hidden="1">
      <c r="A157" s="4">
        <v>46021.0</v>
      </c>
      <c r="B157" s="2" t="s">
        <v>223</v>
      </c>
      <c r="C157" s="2" t="s">
        <v>259</v>
      </c>
      <c r="D157" s="2" t="s">
        <v>159</v>
      </c>
      <c r="E157" s="2">
        <v>0.0</v>
      </c>
      <c r="F157" s="2">
        <v>6.0</v>
      </c>
      <c r="G157" s="2">
        <v>6.0</v>
      </c>
      <c r="H157" s="8">
        <f t="shared" si="8"/>
        <v>0</v>
      </c>
      <c r="I157" s="8" t="b">
        <v>0</v>
      </c>
      <c r="J157" s="2" t="s">
        <v>160</v>
      </c>
      <c r="K157" s="12">
        <f t="shared" ref="K157:K200" si="19">A157+15</f>
        <v>46036</v>
      </c>
      <c r="L157" s="12">
        <f t="shared" ref="L157:L200" si="20">A157+30</f>
        <v>46051</v>
      </c>
    </row>
    <row r="158" hidden="1">
      <c r="A158" s="4">
        <v>45954.0</v>
      </c>
      <c r="B158" s="2" t="s">
        <v>261</v>
      </c>
      <c r="C158" s="2" t="s">
        <v>262</v>
      </c>
      <c r="D158" s="2" t="s">
        <v>115</v>
      </c>
      <c r="E158" s="2">
        <v>0.0</v>
      </c>
      <c r="F158" s="2">
        <v>40.0</v>
      </c>
      <c r="G158" s="2">
        <v>40.0</v>
      </c>
      <c r="H158" s="8">
        <f t="shared" si="8"/>
        <v>0</v>
      </c>
      <c r="I158" s="2" t="b">
        <v>1</v>
      </c>
      <c r="J158" s="2" t="s">
        <v>160</v>
      </c>
      <c r="K158" s="12">
        <f t="shared" si="19"/>
        <v>45969</v>
      </c>
      <c r="L158" s="12">
        <f t="shared" si="20"/>
        <v>45984</v>
      </c>
      <c r="M158" s="2" t="s">
        <v>911</v>
      </c>
    </row>
    <row r="159" hidden="1">
      <c r="A159" s="4">
        <v>46044.0</v>
      </c>
      <c r="B159" s="2" t="s">
        <v>912</v>
      </c>
      <c r="C159" s="2" t="s">
        <v>913</v>
      </c>
      <c r="D159" s="2" t="s">
        <v>159</v>
      </c>
      <c r="E159" s="2">
        <v>0.0</v>
      </c>
      <c r="F159" s="2">
        <v>85.0</v>
      </c>
      <c r="G159" s="2">
        <v>85.0</v>
      </c>
      <c r="H159" s="8">
        <f t="shared" si="8"/>
        <v>0</v>
      </c>
      <c r="I159" s="2" t="b">
        <v>1</v>
      </c>
      <c r="J159" s="2" t="s">
        <v>160</v>
      </c>
      <c r="K159" s="12">
        <f t="shared" si="19"/>
        <v>46059</v>
      </c>
      <c r="L159" s="12">
        <f t="shared" si="20"/>
        <v>46074</v>
      </c>
    </row>
    <row r="160" hidden="1">
      <c r="A160" s="4">
        <v>46124.0</v>
      </c>
      <c r="B160" s="2" t="s">
        <v>914</v>
      </c>
      <c r="C160" s="2" t="s">
        <v>915</v>
      </c>
      <c r="D160" s="2" t="s">
        <v>159</v>
      </c>
      <c r="E160" s="2" t="s">
        <v>745</v>
      </c>
      <c r="F160" s="2">
        <v>25.0</v>
      </c>
      <c r="G160" s="2">
        <v>25.0</v>
      </c>
      <c r="H160" s="8">
        <f t="shared" si="8"/>
        <v>0</v>
      </c>
      <c r="I160" s="2" t="b">
        <v>1</v>
      </c>
      <c r="J160" s="2" t="s">
        <v>160</v>
      </c>
      <c r="K160" s="12">
        <f t="shared" si="19"/>
        <v>46139</v>
      </c>
      <c r="L160" s="12">
        <f t="shared" si="20"/>
        <v>46154</v>
      </c>
      <c r="M160" s="2" t="b">
        <v>0</v>
      </c>
    </row>
    <row r="161" hidden="1">
      <c r="A161" s="4">
        <v>46124.0</v>
      </c>
      <c r="B161" s="2" t="s">
        <v>914</v>
      </c>
      <c r="C161" s="2" t="s">
        <v>916</v>
      </c>
      <c r="D161" s="2" t="s">
        <v>159</v>
      </c>
      <c r="E161" s="2" t="s">
        <v>745</v>
      </c>
      <c r="F161" s="2">
        <v>28.0</v>
      </c>
      <c r="G161" s="2">
        <v>0.0</v>
      </c>
      <c r="H161" s="8">
        <f t="shared" si="8"/>
        <v>28</v>
      </c>
      <c r="I161" s="2" t="b">
        <v>1</v>
      </c>
      <c r="J161" s="2" t="s">
        <v>160</v>
      </c>
      <c r="K161" s="12">
        <f t="shared" si="19"/>
        <v>46139</v>
      </c>
      <c r="L161" s="12">
        <f t="shared" si="20"/>
        <v>46154</v>
      </c>
      <c r="M161" s="2" t="b">
        <v>1</v>
      </c>
    </row>
    <row r="162" hidden="1">
      <c r="A162" s="4">
        <v>46124.0</v>
      </c>
      <c r="B162" s="2" t="s">
        <v>914</v>
      </c>
      <c r="C162" s="2" t="s">
        <v>917</v>
      </c>
      <c r="D162" s="2" t="s">
        <v>159</v>
      </c>
      <c r="E162" s="2" t="s">
        <v>745</v>
      </c>
      <c r="F162" s="2">
        <v>25.0</v>
      </c>
      <c r="G162" s="2">
        <v>25.0</v>
      </c>
      <c r="H162" s="8">
        <f t="shared" si="8"/>
        <v>0</v>
      </c>
      <c r="I162" s="2" t="b">
        <v>1</v>
      </c>
      <c r="J162" s="2" t="s">
        <v>160</v>
      </c>
      <c r="K162" s="12">
        <f t="shared" si="19"/>
        <v>46139</v>
      </c>
      <c r="L162" s="12">
        <f t="shared" si="20"/>
        <v>46154</v>
      </c>
      <c r="M162" s="2" t="b">
        <v>0</v>
      </c>
    </row>
    <row r="163" hidden="1">
      <c r="A163" s="4">
        <v>46124.0</v>
      </c>
      <c r="B163" s="2" t="s">
        <v>914</v>
      </c>
      <c r="C163" s="2" t="s">
        <v>918</v>
      </c>
      <c r="D163" s="2" t="s">
        <v>159</v>
      </c>
      <c r="E163" s="2" t="s">
        <v>745</v>
      </c>
      <c r="F163" s="2">
        <v>20.0</v>
      </c>
      <c r="G163" s="2">
        <v>15.0</v>
      </c>
      <c r="H163" s="8">
        <f t="shared" si="8"/>
        <v>5</v>
      </c>
      <c r="I163" s="2" t="b">
        <v>1</v>
      </c>
      <c r="J163" s="2" t="s">
        <v>160</v>
      </c>
      <c r="K163" s="12">
        <f t="shared" si="19"/>
        <v>46139</v>
      </c>
      <c r="L163" s="12">
        <f t="shared" si="20"/>
        <v>46154</v>
      </c>
      <c r="M163" s="2" t="b">
        <v>1</v>
      </c>
    </row>
    <row r="164" hidden="1">
      <c r="A164" s="4">
        <v>46124.0</v>
      </c>
      <c r="B164" s="2" t="s">
        <v>914</v>
      </c>
      <c r="C164" s="2" t="s">
        <v>919</v>
      </c>
      <c r="D164" s="2" t="s">
        <v>159</v>
      </c>
      <c r="E164" s="2" t="s">
        <v>745</v>
      </c>
      <c r="F164" s="2">
        <v>80.0</v>
      </c>
      <c r="G164" s="2">
        <v>80.0</v>
      </c>
      <c r="H164" s="8">
        <f t="shared" si="8"/>
        <v>0</v>
      </c>
      <c r="I164" s="2" t="b">
        <v>1</v>
      </c>
      <c r="J164" s="2" t="s">
        <v>160</v>
      </c>
      <c r="K164" s="12">
        <f t="shared" si="19"/>
        <v>46139</v>
      </c>
      <c r="L164" s="12">
        <f t="shared" si="20"/>
        <v>46154</v>
      </c>
      <c r="M164" s="2" t="b">
        <v>0</v>
      </c>
    </row>
    <row r="165" hidden="1">
      <c r="A165" s="4">
        <v>46124.0</v>
      </c>
      <c r="B165" s="2" t="s">
        <v>914</v>
      </c>
      <c r="C165" s="2" t="s">
        <v>920</v>
      </c>
      <c r="D165" s="2" t="s">
        <v>159</v>
      </c>
      <c r="E165" s="2" t="s">
        <v>745</v>
      </c>
      <c r="F165" s="2">
        <v>20.0</v>
      </c>
      <c r="G165" s="2">
        <v>0.0</v>
      </c>
      <c r="H165" s="8">
        <f t="shared" si="8"/>
        <v>20</v>
      </c>
      <c r="I165" s="2" t="b">
        <v>1</v>
      </c>
      <c r="J165" s="2" t="s">
        <v>160</v>
      </c>
      <c r="K165" s="12">
        <f t="shared" si="19"/>
        <v>46139</v>
      </c>
      <c r="L165" s="12">
        <f t="shared" si="20"/>
        <v>46154</v>
      </c>
      <c r="M165" s="2" t="b">
        <v>0</v>
      </c>
    </row>
    <row r="166" hidden="1">
      <c r="A166" s="4">
        <v>46090.0</v>
      </c>
      <c r="B166" s="2" t="s">
        <v>921</v>
      </c>
      <c r="C166" s="2" t="s">
        <v>428</v>
      </c>
      <c r="D166" s="2" t="s">
        <v>159</v>
      </c>
      <c r="E166" s="2">
        <v>0.0</v>
      </c>
      <c r="F166" s="2">
        <v>75.0</v>
      </c>
      <c r="G166" s="2">
        <v>75.0</v>
      </c>
      <c r="H166" s="8">
        <f t="shared" si="8"/>
        <v>0</v>
      </c>
      <c r="I166" s="2" t="b">
        <v>1</v>
      </c>
      <c r="J166" s="2" t="s">
        <v>160</v>
      </c>
      <c r="K166" s="12">
        <f t="shared" si="19"/>
        <v>46105</v>
      </c>
      <c r="L166" s="12">
        <f t="shared" si="20"/>
        <v>46120</v>
      </c>
    </row>
    <row r="167" hidden="1">
      <c r="A167" s="4">
        <v>46045.0</v>
      </c>
      <c r="B167" s="2" t="s">
        <v>228</v>
      </c>
      <c r="C167" s="2" t="s">
        <v>922</v>
      </c>
      <c r="D167" s="2" t="s">
        <v>159</v>
      </c>
      <c r="E167" s="2">
        <v>0.0</v>
      </c>
      <c r="F167" s="2">
        <v>50.0</v>
      </c>
      <c r="G167" s="2">
        <v>50.0</v>
      </c>
      <c r="H167" s="8">
        <f t="shared" si="8"/>
        <v>0</v>
      </c>
      <c r="I167" s="2" t="b">
        <v>1</v>
      </c>
      <c r="J167" s="2" t="s">
        <v>160</v>
      </c>
      <c r="K167" s="12">
        <f t="shared" si="19"/>
        <v>46060</v>
      </c>
      <c r="L167" s="12">
        <f t="shared" si="20"/>
        <v>46075</v>
      </c>
      <c r="O167" s="2" t="s">
        <v>901</v>
      </c>
    </row>
    <row r="168" hidden="1">
      <c r="A168" s="4">
        <v>46045.0</v>
      </c>
      <c r="B168" s="2" t="s">
        <v>228</v>
      </c>
      <c r="C168" s="2" t="s">
        <v>923</v>
      </c>
      <c r="D168" s="2" t="s">
        <v>159</v>
      </c>
      <c r="E168" s="2">
        <v>0.0</v>
      </c>
      <c r="F168" s="2">
        <v>20.0</v>
      </c>
      <c r="G168" s="2">
        <v>20.0</v>
      </c>
      <c r="H168" s="8">
        <f t="shared" si="8"/>
        <v>0</v>
      </c>
      <c r="I168" s="2" t="b">
        <v>1</v>
      </c>
      <c r="J168" s="2" t="s">
        <v>160</v>
      </c>
      <c r="K168" s="12">
        <f t="shared" si="19"/>
        <v>46060</v>
      </c>
      <c r="L168" s="12">
        <f t="shared" si="20"/>
        <v>46075</v>
      </c>
      <c r="O168" s="2" t="s">
        <v>180</v>
      </c>
    </row>
    <row r="169" hidden="1">
      <c r="A169" s="4">
        <v>46045.0</v>
      </c>
      <c r="B169" s="2" t="s">
        <v>228</v>
      </c>
      <c r="C169" s="2" t="s">
        <v>924</v>
      </c>
      <c r="D169" s="2" t="s">
        <v>159</v>
      </c>
      <c r="E169" s="2">
        <v>0.0</v>
      </c>
      <c r="F169" s="2">
        <v>75.0</v>
      </c>
      <c r="G169" s="2">
        <v>75.0</v>
      </c>
      <c r="H169" s="8">
        <f t="shared" si="8"/>
        <v>0</v>
      </c>
      <c r="I169" s="2" t="b">
        <v>1</v>
      </c>
      <c r="J169" s="2" t="s">
        <v>160</v>
      </c>
      <c r="K169" s="12">
        <f t="shared" si="19"/>
        <v>46060</v>
      </c>
      <c r="L169" s="12">
        <f t="shared" si="20"/>
        <v>46075</v>
      </c>
      <c r="O169" s="2" t="s">
        <v>125</v>
      </c>
    </row>
    <row r="170" hidden="1">
      <c r="A170" s="4">
        <v>46058.0</v>
      </c>
      <c r="B170" s="2" t="s">
        <v>228</v>
      </c>
      <c r="C170" s="2" t="s">
        <v>300</v>
      </c>
      <c r="D170" s="2" t="s">
        <v>159</v>
      </c>
      <c r="E170" s="2">
        <v>0.0</v>
      </c>
      <c r="F170" s="2">
        <v>45.0</v>
      </c>
      <c r="G170" s="2">
        <v>45.0</v>
      </c>
      <c r="H170" s="8">
        <f t="shared" si="8"/>
        <v>0</v>
      </c>
      <c r="I170" s="2" t="b">
        <v>1</v>
      </c>
      <c r="J170" s="2" t="s">
        <v>160</v>
      </c>
      <c r="K170" s="12">
        <f t="shared" si="19"/>
        <v>46073</v>
      </c>
      <c r="L170" s="12">
        <f t="shared" si="20"/>
        <v>46088</v>
      </c>
      <c r="O170" s="2" t="s">
        <v>366</v>
      </c>
    </row>
    <row r="171" hidden="1">
      <c r="A171" s="4">
        <v>46058.0</v>
      </c>
      <c r="B171" s="2" t="s">
        <v>228</v>
      </c>
      <c r="C171" s="2" t="s">
        <v>925</v>
      </c>
      <c r="D171" s="2" t="s">
        <v>159</v>
      </c>
      <c r="E171" s="2">
        <v>0.0</v>
      </c>
      <c r="F171" s="2">
        <v>35.0</v>
      </c>
      <c r="G171" s="2">
        <v>35.0</v>
      </c>
      <c r="H171" s="8">
        <f t="shared" si="8"/>
        <v>0</v>
      </c>
      <c r="I171" s="2" t="b">
        <v>1</v>
      </c>
      <c r="J171" s="2" t="s">
        <v>160</v>
      </c>
      <c r="K171" s="12">
        <f t="shared" si="19"/>
        <v>46073</v>
      </c>
      <c r="L171" s="12">
        <f t="shared" si="20"/>
        <v>46088</v>
      </c>
      <c r="O171" s="2" t="s">
        <v>926</v>
      </c>
    </row>
    <row r="172" hidden="1">
      <c r="A172" s="4">
        <v>46058.0</v>
      </c>
      <c r="B172" s="2" t="s">
        <v>228</v>
      </c>
      <c r="C172" s="2" t="s">
        <v>927</v>
      </c>
      <c r="D172" s="2" t="s">
        <v>159</v>
      </c>
      <c r="E172" s="2">
        <v>0.0</v>
      </c>
      <c r="F172" s="2">
        <v>35.0</v>
      </c>
      <c r="G172" s="2">
        <v>35.0</v>
      </c>
      <c r="H172" s="8">
        <f t="shared" si="8"/>
        <v>0</v>
      </c>
      <c r="I172" s="2" t="b">
        <v>1</v>
      </c>
      <c r="J172" s="2" t="s">
        <v>160</v>
      </c>
      <c r="K172" s="12">
        <f t="shared" si="19"/>
        <v>46073</v>
      </c>
      <c r="L172" s="12">
        <f t="shared" si="20"/>
        <v>46088</v>
      </c>
      <c r="O172" s="2" t="s">
        <v>928</v>
      </c>
    </row>
    <row r="173" hidden="1">
      <c r="A173" s="4">
        <v>46058.0</v>
      </c>
      <c r="B173" s="2" t="s">
        <v>228</v>
      </c>
      <c r="C173" s="2" t="s">
        <v>929</v>
      </c>
      <c r="D173" s="2" t="s">
        <v>159</v>
      </c>
      <c r="E173" s="2">
        <v>0.0</v>
      </c>
      <c r="F173" s="2">
        <v>40.0</v>
      </c>
      <c r="G173" s="2">
        <v>40.0</v>
      </c>
      <c r="H173" s="8">
        <f t="shared" si="8"/>
        <v>0</v>
      </c>
      <c r="I173" s="2" t="b">
        <v>1</v>
      </c>
      <c r="J173" s="2" t="s">
        <v>160</v>
      </c>
      <c r="K173" s="12">
        <f t="shared" si="19"/>
        <v>46073</v>
      </c>
      <c r="L173" s="12">
        <f t="shared" si="20"/>
        <v>46088</v>
      </c>
      <c r="O173" s="2" t="s">
        <v>930</v>
      </c>
    </row>
    <row r="174" hidden="1">
      <c r="A174" s="4">
        <v>46060.0</v>
      </c>
      <c r="B174" s="2" t="s">
        <v>931</v>
      </c>
      <c r="C174" s="2" t="s">
        <v>932</v>
      </c>
      <c r="D174" s="2" t="s">
        <v>159</v>
      </c>
      <c r="E174" s="2">
        <v>0.0</v>
      </c>
      <c r="F174" s="2">
        <v>41.0</v>
      </c>
      <c r="G174" s="2">
        <v>41.0</v>
      </c>
      <c r="H174" s="8">
        <f t="shared" si="8"/>
        <v>0</v>
      </c>
      <c r="I174" s="2" t="b">
        <v>1</v>
      </c>
      <c r="J174" s="2" t="s">
        <v>160</v>
      </c>
      <c r="K174" s="12">
        <f t="shared" si="19"/>
        <v>46075</v>
      </c>
      <c r="L174" s="12">
        <f t="shared" si="20"/>
        <v>46090</v>
      </c>
      <c r="O174" s="2" t="s">
        <v>933</v>
      </c>
    </row>
    <row r="175" hidden="1">
      <c r="A175" s="4">
        <v>46060.0</v>
      </c>
      <c r="B175" s="2" t="s">
        <v>934</v>
      </c>
      <c r="C175" s="2" t="s">
        <v>935</v>
      </c>
      <c r="D175" s="2" t="s">
        <v>159</v>
      </c>
      <c r="E175" s="2">
        <v>0.0</v>
      </c>
      <c r="F175" s="2">
        <v>41.0</v>
      </c>
      <c r="G175" s="2">
        <v>41.0</v>
      </c>
      <c r="H175" s="8">
        <f t="shared" si="8"/>
        <v>0</v>
      </c>
      <c r="I175" s="2" t="b">
        <v>1</v>
      </c>
      <c r="J175" s="2" t="s">
        <v>160</v>
      </c>
      <c r="K175" s="12">
        <f t="shared" si="19"/>
        <v>46075</v>
      </c>
      <c r="L175" s="12">
        <f t="shared" si="20"/>
        <v>46090</v>
      </c>
      <c r="O175" s="2" t="s">
        <v>936</v>
      </c>
    </row>
    <row r="176" hidden="1">
      <c r="A176" s="4">
        <v>46060.0</v>
      </c>
      <c r="B176" s="2" t="s">
        <v>934</v>
      </c>
      <c r="C176" s="2" t="s">
        <v>937</v>
      </c>
      <c r="D176" s="2" t="s">
        <v>159</v>
      </c>
      <c r="E176" s="2">
        <v>0.0</v>
      </c>
      <c r="F176" s="2">
        <v>1.0</v>
      </c>
      <c r="G176" s="2">
        <v>1.0</v>
      </c>
      <c r="H176" s="8">
        <f t="shared" si="8"/>
        <v>0</v>
      </c>
      <c r="I176" s="2" t="b">
        <v>1</v>
      </c>
      <c r="J176" s="2" t="s">
        <v>160</v>
      </c>
      <c r="K176" s="12">
        <f t="shared" si="19"/>
        <v>46075</v>
      </c>
      <c r="L176" s="12">
        <f t="shared" si="20"/>
        <v>46090</v>
      </c>
    </row>
    <row r="177" hidden="1">
      <c r="A177" s="4">
        <v>46059.0</v>
      </c>
      <c r="B177" s="2" t="s">
        <v>938</v>
      </c>
      <c r="C177" s="2" t="s">
        <v>939</v>
      </c>
      <c r="D177" s="2" t="s">
        <v>159</v>
      </c>
      <c r="E177" s="2">
        <v>0.0</v>
      </c>
      <c r="F177" s="2">
        <v>40.0</v>
      </c>
      <c r="G177" s="2">
        <v>40.0</v>
      </c>
      <c r="H177" s="8">
        <f t="shared" si="8"/>
        <v>0</v>
      </c>
      <c r="I177" s="2" t="b">
        <v>1</v>
      </c>
      <c r="J177" s="2" t="s">
        <v>160</v>
      </c>
      <c r="K177" s="12">
        <f t="shared" si="19"/>
        <v>46074</v>
      </c>
      <c r="L177" s="12">
        <f t="shared" si="20"/>
        <v>46089</v>
      </c>
    </row>
    <row r="178" hidden="1">
      <c r="A178" s="4">
        <v>46059.0</v>
      </c>
      <c r="B178" s="2" t="s">
        <v>938</v>
      </c>
      <c r="C178" s="2" t="s">
        <v>560</v>
      </c>
      <c r="D178" s="2" t="s">
        <v>159</v>
      </c>
      <c r="E178" s="2">
        <v>0.0</v>
      </c>
      <c r="F178" s="2">
        <v>40.0</v>
      </c>
      <c r="G178" s="2">
        <v>40.0</v>
      </c>
      <c r="H178" s="8">
        <f t="shared" si="8"/>
        <v>0</v>
      </c>
      <c r="I178" s="2" t="b">
        <v>1</v>
      </c>
      <c r="J178" s="2" t="s">
        <v>160</v>
      </c>
      <c r="K178" s="12">
        <f t="shared" si="19"/>
        <v>46074</v>
      </c>
      <c r="L178" s="12">
        <f t="shared" si="20"/>
        <v>46089</v>
      </c>
    </row>
    <row r="179" hidden="1">
      <c r="A179" s="4">
        <v>46059.0</v>
      </c>
      <c r="B179" s="2" t="s">
        <v>938</v>
      </c>
      <c r="C179" s="2" t="s">
        <v>940</v>
      </c>
      <c r="D179" s="2" t="s">
        <v>159</v>
      </c>
      <c r="E179" s="2">
        <v>0.0</v>
      </c>
      <c r="F179" s="2">
        <v>60.0</v>
      </c>
      <c r="G179" s="2">
        <v>60.0</v>
      </c>
      <c r="H179" s="8">
        <f t="shared" si="8"/>
        <v>0</v>
      </c>
      <c r="I179" s="2" t="b">
        <v>1</v>
      </c>
      <c r="J179" s="2" t="s">
        <v>160</v>
      </c>
      <c r="K179" s="12">
        <f t="shared" si="19"/>
        <v>46074</v>
      </c>
      <c r="L179" s="12">
        <f t="shared" si="20"/>
        <v>46089</v>
      </c>
    </row>
    <row r="180" hidden="1">
      <c r="A180" s="4">
        <v>46059.0</v>
      </c>
      <c r="B180" s="2" t="s">
        <v>938</v>
      </c>
      <c r="C180" s="2" t="s">
        <v>941</v>
      </c>
      <c r="D180" s="2" t="s">
        <v>115</v>
      </c>
      <c r="E180" s="2">
        <v>0.0</v>
      </c>
      <c r="F180" s="2">
        <v>70.0</v>
      </c>
      <c r="G180" s="2">
        <v>70.0</v>
      </c>
      <c r="H180" s="8">
        <f t="shared" si="8"/>
        <v>0</v>
      </c>
      <c r="I180" s="2" t="b">
        <v>1</v>
      </c>
      <c r="J180" s="2" t="s">
        <v>160</v>
      </c>
      <c r="K180" s="12">
        <f t="shared" si="19"/>
        <v>46074</v>
      </c>
      <c r="L180" s="12">
        <f t="shared" si="20"/>
        <v>46089</v>
      </c>
    </row>
    <row r="181" hidden="1">
      <c r="A181" s="4">
        <v>46062.0</v>
      </c>
      <c r="B181" s="2" t="s">
        <v>938</v>
      </c>
      <c r="C181" s="2" t="s">
        <v>942</v>
      </c>
      <c r="D181" s="2" t="s">
        <v>159</v>
      </c>
      <c r="E181" s="2">
        <v>0.0</v>
      </c>
      <c r="F181" s="2">
        <v>85.0</v>
      </c>
      <c r="G181" s="2">
        <v>85.0</v>
      </c>
      <c r="H181" s="8">
        <f t="shared" si="8"/>
        <v>0</v>
      </c>
      <c r="I181" s="2" t="b">
        <v>1</v>
      </c>
      <c r="J181" s="2" t="s">
        <v>160</v>
      </c>
      <c r="K181" s="12">
        <f t="shared" si="19"/>
        <v>46077</v>
      </c>
      <c r="L181" s="12">
        <f t="shared" si="20"/>
        <v>46092</v>
      </c>
    </row>
    <row r="182" hidden="1">
      <c r="A182" s="4">
        <v>46064.0</v>
      </c>
      <c r="B182" s="2" t="s">
        <v>938</v>
      </c>
      <c r="C182" s="2" t="s">
        <v>943</v>
      </c>
      <c r="D182" s="2" t="s">
        <v>159</v>
      </c>
      <c r="E182" s="2">
        <v>0.0</v>
      </c>
      <c r="F182" s="2">
        <v>60.0</v>
      </c>
      <c r="G182" s="2">
        <v>60.0</v>
      </c>
      <c r="H182" s="8">
        <f t="shared" si="8"/>
        <v>0</v>
      </c>
      <c r="I182" s="2" t="b">
        <v>1</v>
      </c>
      <c r="J182" s="2" t="s">
        <v>160</v>
      </c>
      <c r="K182" s="12">
        <f t="shared" si="19"/>
        <v>46079</v>
      </c>
      <c r="L182" s="12">
        <f t="shared" si="20"/>
        <v>46094</v>
      </c>
    </row>
    <row r="183" hidden="1">
      <c r="A183" s="4">
        <v>46154.0</v>
      </c>
      <c r="B183" s="2" t="s">
        <v>944</v>
      </c>
      <c r="C183" s="2" t="s">
        <v>945</v>
      </c>
      <c r="D183" s="2" t="s">
        <v>159</v>
      </c>
      <c r="E183" s="2">
        <v>0.0</v>
      </c>
      <c r="F183" s="2">
        <v>75.0</v>
      </c>
      <c r="G183" s="2">
        <v>10.0</v>
      </c>
      <c r="H183" s="8">
        <f t="shared" si="8"/>
        <v>65</v>
      </c>
      <c r="I183" s="8" t="b">
        <v>0</v>
      </c>
      <c r="J183" s="2" t="s">
        <v>160</v>
      </c>
      <c r="K183" s="12">
        <f t="shared" si="19"/>
        <v>46169</v>
      </c>
      <c r="L183" s="12">
        <f t="shared" si="20"/>
        <v>46184</v>
      </c>
    </row>
    <row r="184" hidden="1">
      <c r="A184" s="4">
        <v>46112.0</v>
      </c>
      <c r="B184" s="2" t="s">
        <v>946</v>
      </c>
      <c r="C184" s="2" t="s">
        <v>947</v>
      </c>
      <c r="D184" s="2" t="s">
        <v>159</v>
      </c>
      <c r="E184" s="2">
        <v>0.0</v>
      </c>
      <c r="F184" s="2">
        <v>30.0</v>
      </c>
      <c r="G184" s="2">
        <v>30.0</v>
      </c>
      <c r="H184" s="8">
        <f t="shared" si="8"/>
        <v>0</v>
      </c>
      <c r="I184" s="2" t="b">
        <v>1</v>
      </c>
      <c r="J184" s="2" t="s">
        <v>160</v>
      </c>
      <c r="K184" s="12">
        <f t="shared" si="19"/>
        <v>46127</v>
      </c>
      <c r="L184" s="12">
        <f t="shared" si="20"/>
        <v>46142</v>
      </c>
      <c r="M184" s="8" t="b">
        <v>0</v>
      </c>
    </row>
    <row r="185" hidden="1">
      <c r="A185" s="4">
        <v>46039.0</v>
      </c>
      <c r="B185" s="2" t="s">
        <v>948</v>
      </c>
      <c r="C185" s="2" t="s">
        <v>949</v>
      </c>
      <c r="D185" s="2" t="s">
        <v>159</v>
      </c>
      <c r="E185" s="2">
        <v>0.0</v>
      </c>
      <c r="F185" s="2">
        <v>55.0</v>
      </c>
      <c r="G185" s="2">
        <v>55.0</v>
      </c>
      <c r="H185" s="8">
        <f t="shared" si="8"/>
        <v>0</v>
      </c>
      <c r="I185" s="2" t="b">
        <v>1</v>
      </c>
      <c r="J185" s="2" t="s">
        <v>160</v>
      </c>
      <c r="K185" s="12">
        <f t="shared" si="19"/>
        <v>46054</v>
      </c>
      <c r="L185" s="12">
        <f t="shared" si="20"/>
        <v>46069</v>
      </c>
    </row>
    <row r="186" hidden="1">
      <c r="A186" s="4">
        <v>46052.0</v>
      </c>
      <c r="B186" s="2" t="s">
        <v>950</v>
      </c>
      <c r="C186" s="2" t="s">
        <v>951</v>
      </c>
      <c r="D186" s="2" t="s">
        <v>159</v>
      </c>
      <c r="E186" s="2">
        <v>0.0</v>
      </c>
      <c r="F186" s="2">
        <v>65.0</v>
      </c>
      <c r="G186" s="2">
        <v>65.0</v>
      </c>
      <c r="H186" s="8">
        <f t="shared" si="8"/>
        <v>0</v>
      </c>
      <c r="I186" s="2" t="b">
        <v>1</v>
      </c>
      <c r="J186" s="2" t="s">
        <v>160</v>
      </c>
      <c r="K186" s="12">
        <f t="shared" si="19"/>
        <v>46067</v>
      </c>
      <c r="L186" s="12">
        <f t="shared" si="20"/>
        <v>46082</v>
      </c>
    </row>
    <row r="187" hidden="1">
      <c r="A187" s="4">
        <v>46104.0</v>
      </c>
      <c r="B187" s="2" t="s">
        <v>952</v>
      </c>
      <c r="C187" s="2" t="s">
        <v>953</v>
      </c>
      <c r="D187" s="2" t="s">
        <v>159</v>
      </c>
      <c r="E187" s="2">
        <v>0.0</v>
      </c>
      <c r="F187" s="2">
        <v>115.0</v>
      </c>
      <c r="G187" s="2">
        <v>115.0</v>
      </c>
      <c r="H187" s="8">
        <f t="shared" si="8"/>
        <v>0</v>
      </c>
      <c r="I187" s="2" t="b">
        <v>1</v>
      </c>
      <c r="J187" s="2" t="s">
        <v>160</v>
      </c>
      <c r="K187" s="12">
        <f t="shared" si="19"/>
        <v>46119</v>
      </c>
      <c r="L187" s="12">
        <f t="shared" si="20"/>
        <v>46134</v>
      </c>
    </row>
    <row r="188" hidden="1">
      <c r="A188" s="4">
        <v>46102.0</v>
      </c>
      <c r="B188" s="2" t="s">
        <v>954</v>
      </c>
      <c r="C188" s="2" t="s">
        <v>955</v>
      </c>
      <c r="D188" s="2" t="s">
        <v>159</v>
      </c>
      <c r="E188" s="2">
        <v>0.0</v>
      </c>
      <c r="F188" s="2">
        <v>50.0</v>
      </c>
      <c r="G188" s="2">
        <v>50.0</v>
      </c>
      <c r="H188" s="8">
        <f t="shared" si="8"/>
        <v>0</v>
      </c>
      <c r="I188" s="2" t="b">
        <v>1</v>
      </c>
      <c r="J188" s="2" t="s">
        <v>160</v>
      </c>
      <c r="K188" s="12">
        <f t="shared" si="19"/>
        <v>46117</v>
      </c>
      <c r="L188" s="12">
        <f t="shared" si="20"/>
        <v>46132</v>
      </c>
    </row>
    <row r="189" hidden="1">
      <c r="A189" s="4">
        <v>46102.0</v>
      </c>
      <c r="B189" s="2" t="s">
        <v>956</v>
      </c>
      <c r="C189" s="2" t="s">
        <v>957</v>
      </c>
      <c r="D189" s="2" t="s">
        <v>159</v>
      </c>
      <c r="E189" s="2">
        <v>0.0</v>
      </c>
      <c r="F189" s="2">
        <v>15.0</v>
      </c>
      <c r="G189" s="2">
        <v>15.0</v>
      </c>
      <c r="H189" s="8">
        <f t="shared" si="8"/>
        <v>0</v>
      </c>
      <c r="I189" s="2" t="b">
        <v>1</v>
      </c>
      <c r="J189" s="2" t="s">
        <v>160</v>
      </c>
      <c r="K189" s="12">
        <f t="shared" si="19"/>
        <v>46117</v>
      </c>
      <c r="L189" s="12">
        <f t="shared" si="20"/>
        <v>46132</v>
      </c>
    </row>
    <row r="190" hidden="1">
      <c r="A190" s="4">
        <v>46102.0</v>
      </c>
      <c r="B190" s="2" t="s">
        <v>956</v>
      </c>
      <c r="C190" s="2" t="s">
        <v>958</v>
      </c>
      <c r="D190" s="2" t="s">
        <v>159</v>
      </c>
      <c r="E190" s="2">
        <v>0.0</v>
      </c>
      <c r="F190" s="2">
        <v>35.0</v>
      </c>
      <c r="G190" s="2">
        <v>35.0</v>
      </c>
      <c r="H190" s="8">
        <f t="shared" si="8"/>
        <v>0</v>
      </c>
      <c r="I190" s="2" t="b">
        <v>1</v>
      </c>
      <c r="J190" s="2" t="s">
        <v>160</v>
      </c>
      <c r="K190" s="12">
        <f t="shared" si="19"/>
        <v>46117</v>
      </c>
      <c r="L190" s="12">
        <f t="shared" si="20"/>
        <v>46132</v>
      </c>
    </row>
    <row r="191" hidden="1">
      <c r="A191" s="4">
        <v>46112.0</v>
      </c>
      <c r="B191" s="2" t="s">
        <v>956</v>
      </c>
      <c r="C191" s="2" t="s">
        <v>959</v>
      </c>
      <c r="D191" s="2" t="s">
        <v>159</v>
      </c>
      <c r="E191" s="2">
        <v>0.0</v>
      </c>
      <c r="F191" s="2">
        <v>48.0</v>
      </c>
      <c r="G191" s="2">
        <v>48.0</v>
      </c>
      <c r="H191" s="8">
        <f t="shared" si="8"/>
        <v>0</v>
      </c>
      <c r="I191" s="2" t="b">
        <v>1</v>
      </c>
      <c r="J191" s="2" t="s">
        <v>160</v>
      </c>
      <c r="K191" s="12">
        <f t="shared" si="19"/>
        <v>46127</v>
      </c>
      <c r="L191" s="12">
        <f t="shared" si="20"/>
        <v>46142</v>
      </c>
    </row>
    <row r="192" hidden="1">
      <c r="A192" s="4">
        <v>46112.0</v>
      </c>
      <c r="B192" s="2" t="s">
        <v>956</v>
      </c>
      <c r="C192" s="2" t="s">
        <v>960</v>
      </c>
      <c r="D192" s="2" t="s">
        <v>159</v>
      </c>
      <c r="E192" s="2">
        <v>0.0</v>
      </c>
      <c r="F192" s="2">
        <v>40.0</v>
      </c>
      <c r="G192" s="2">
        <v>40.0</v>
      </c>
      <c r="H192" s="8">
        <f t="shared" si="8"/>
        <v>0</v>
      </c>
      <c r="I192" s="2" t="b">
        <v>1</v>
      </c>
      <c r="J192" s="2" t="s">
        <v>160</v>
      </c>
      <c r="K192" s="12">
        <f t="shared" si="19"/>
        <v>46127</v>
      </c>
      <c r="L192" s="12">
        <f t="shared" si="20"/>
        <v>46142</v>
      </c>
    </row>
    <row r="193" hidden="1">
      <c r="A193" s="4">
        <v>46112.0</v>
      </c>
      <c r="B193" s="2" t="s">
        <v>956</v>
      </c>
      <c r="C193" s="2" t="s">
        <v>961</v>
      </c>
      <c r="D193" s="2" t="s">
        <v>159</v>
      </c>
      <c r="E193" s="2">
        <v>0.0</v>
      </c>
      <c r="F193" s="2">
        <v>10.0</v>
      </c>
      <c r="G193" s="2">
        <v>10.0</v>
      </c>
      <c r="H193" s="8">
        <f t="shared" si="8"/>
        <v>0</v>
      </c>
      <c r="I193" s="2" t="b">
        <v>1</v>
      </c>
      <c r="J193" s="2" t="s">
        <v>160</v>
      </c>
      <c r="K193" s="12">
        <f t="shared" si="19"/>
        <v>46127</v>
      </c>
      <c r="L193" s="12">
        <f t="shared" si="20"/>
        <v>46142</v>
      </c>
    </row>
    <row r="194" hidden="1">
      <c r="A194" s="4">
        <v>46112.0</v>
      </c>
      <c r="B194" s="2" t="s">
        <v>956</v>
      </c>
      <c r="C194" s="2" t="s">
        <v>962</v>
      </c>
      <c r="D194" s="2" t="s">
        <v>159</v>
      </c>
      <c r="E194" s="2">
        <v>0.0</v>
      </c>
      <c r="F194" s="2">
        <v>15.0</v>
      </c>
      <c r="G194" s="2">
        <v>15.0</v>
      </c>
      <c r="H194" s="8">
        <f t="shared" si="8"/>
        <v>0</v>
      </c>
      <c r="I194" s="2" t="b">
        <v>1</v>
      </c>
      <c r="J194" s="2" t="s">
        <v>160</v>
      </c>
      <c r="K194" s="12">
        <f t="shared" si="19"/>
        <v>46127</v>
      </c>
      <c r="L194" s="12">
        <f t="shared" si="20"/>
        <v>46142</v>
      </c>
    </row>
    <row r="195" hidden="1">
      <c r="A195" s="4">
        <v>46112.0</v>
      </c>
      <c r="B195" s="2" t="s">
        <v>956</v>
      </c>
      <c r="C195" s="2" t="s">
        <v>963</v>
      </c>
      <c r="D195" s="2" t="s">
        <v>159</v>
      </c>
      <c r="E195" s="2">
        <v>0.0</v>
      </c>
      <c r="F195" s="2">
        <v>30.0</v>
      </c>
      <c r="G195" s="2">
        <v>30.0</v>
      </c>
      <c r="H195" s="8">
        <f t="shared" si="8"/>
        <v>0</v>
      </c>
      <c r="I195" s="2" t="b">
        <v>1</v>
      </c>
      <c r="J195" s="2" t="s">
        <v>160</v>
      </c>
      <c r="K195" s="12">
        <f t="shared" si="19"/>
        <v>46127</v>
      </c>
      <c r="L195" s="12">
        <f t="shared" si="20"/>
        <v>46142</v>
      </c>
    </row>
    <row r="196" hidden="1">
      <c r="A196" s="4">
        <v>46112.0</v>
      </c>
      <c r="B196" s="2" t="s">
        <v>956</v>
      </c>
      <c r="C196" s="2" t="s">
        <v>964</v>
      </c>
      <c r="D196" s="2" t="s">
        <v>159</v>
      </c>
      <c r="E196" s="2">
        <v>0.0</v>
      </c>
      <c r="F196" s="2">
        <v>20.0</v>
      </c>
      <c r="G196" s="2">
        <v>20.0</v>
      </c>
      <c r="H196" s="8">
        <f t="shared" si="8"/>
        <v>0</v>
      </c>
      <c r="I196" s="2" t="b">
        <v>1</v>
      </c>
      <c r="J196" s="2" t="s">
        <v>160</v>
      </c>
      <c r="K196" s="12">
        <f t="shared" si="19"/>
        <v>46127</v>
      </c>
      <c r="L196" s="12">
        <f t="shared" si="20"/>
        <v>46142</v>
      </c>
    </row>
    <row r="197" hidden="1">
      <c r="A197" s="4">
        <v>46124.0</v>
      </c>
      <c r="B197" s="2" t="s">
        <v>956</v>
      </c>
      <c r="C197" s="2" t="s">
        <v>577</v>
      </c>
      <c r="D197" s="2" t="s">
        <v>159</v>
      </c>
      <c r="E197" s="2" t="s">
        <v>745</v>
      </c>
      <c r="F197" s="2">
        <v>25.0</v>
      </c>
      <c r="G197" s="2">
        <v>25.0</v>
      </c>
      <c r="H197" s="8">
        <f t="shared" si="8"/>
        <v>0</v>
      </c>
      <c r="I197" s="2" t="b">
        <v>1</v>
      </c>
      <c r="J197" s="2" t="s">
        <v>160</v>
      </c>
      <c r="K197" s="12">
        <f t="shared" si="19"/>
        <v>46139</v>
      </c>
      <c r="L197" s="12">
        <f t="shared" si="20"/>
        <v>46154</v>
      </c>
      <c r="M197" s="2" t="b">
        <v>0</v>
      </c>
    </row>
    <row r="198" hidden="1">
      <c r="A198" s="4">
        <v>46124.0</v>
      </c>
      <c r="B198" s="2" t="s">
        <v>956</v>
      </c>
      <c r="C198" s="2" t="s">
        <v>876</v>
      </c>
      <c r="D198" s="2" t="s">
        <v>159</v>
      </c>
      <c r="E198" s="2" t="s">
        <v>745</v>
      </c>
      <c r="F198" s="2">
        <v>25.0</v>
      </c>
      <c r="G198" s="2">
        <v>25.0</v>
      </c>
      <c r="H198" s="8">
        <f t="shared" si="8"/>
        <v>0</v>
      </c>
      <c r="I198" s="2" t="b">
        <v>1</v>
      </c>
      <c r="J198" s="2" t="s">
        <v>160</v>
      </c>
      <c r="K198" s="12">
        <f t="shared" si="19"/>
        <v>46139</v>
      </c>
      <c r="L198" s="12">
        <f t="shared" si="20"/>
        <v>46154</v>
      </c>
      <c r="M198" s="2" t="b">
        <v>0</v>
      </c>
    </row>
    <row r="199" hidden="1">
      <c r="A199" s="4">
        <v>46124.0</v>
      </c>
      <c r="B199" s="2" t="s">
        <v>956</v>
      </c>
      <c r="C199" s="2" t="s">
        <v>624</v>
      </c>
      <c r="D199" s="2" t="s">
        <v>159</v>
      </c>
      <c r="E199" s="2" t="s">
        <v>745</v>
      </c>
      <c r="F199" s="2">
        <v>20.0</v>
      </c>
      <c r="G199" s="2">
        <v>20.0</v>
      </c>
      <c r="H199" s="8">
        <f t="shared" si="8"/>
        <v>0</v>
      </c>
      <c r="I199" s="2" t="b">
        <v>1</v>
      </c>
      <c r="J199" s="2" t="s">
        <v>160</v>
      </c>
      <c r="K199" s="12">
        <f t="shared" si="19"/>
        <v>46139</v>
      </c>
      <c r="L199" s="12">
        <f t="shared" si="20"/>
        <v>46154</v>
      </c>
      <c r="M199" s="2" t="b">
        <v>0</v>
      </c>
    </row>
    <row r="200" hidden="1">
      <c r="A200" s="4">
        <v>46124.0</v>
      </c>
      <c r="B200" s="2" t="s">
        <v>956</v>
      </c>
      <c r="C200" s="2" t="s">
        <v>965</v>
      </c>
      <c r="D200" s="2" t="s">
        <v>159</v>
      </c>
      <c r="E200" s="2" t="s">
        <v>745</v>
      </c>
      <c r="F200" s="2">
        <v>35.0</v>
      </c>
      <c r="G200" s="2">
        <v>35.0</v>
      </c>
      <c r="H200" s="8">
        <f t="shared" si="8"/>
        <v>0</v>
      </c>
      <c r="I200" s="2" t="b">
        <v>1</v>
      </c>
      <c r="J200" s="2" t="s">
        <v>160</v>
      </c>
      <c r="K200" s="12">
        <f t="shared" si="19"/>
        <v>46139</v>
      </c>
      <c r="L200" s="12">
        <f t="shared" si="20"/>
        <v>46154</v>
      </c>
      <c r="M200" s="2" t="b">
        <v>0</v>
      </c>
    </row>
    <row r="201" hidden="1">
      <c r="A201" s="4">
        <v>46133.0</v>
      </c>
      <c r="B201" s="2" t="s">
        <v>956</v>
      </c>
      <c r="C201" s="2" t="s">
        <v>966</v>
      </c>
      <c r="D201" s="2" t="s">
        <v>159</v>
      </c>
      <c r="E201" s="2" t="s">
        <v>745</v>
      </c>
      <c r="F201" s="2">
        <v>20.0</v>
      </c>
      <c r="G201" s="2">
        <v>0.0</v>
      </c>
      <c r="H201" s="8">
        <f t="shared" si="8"/>
        <v>20</v>
      </c>
      <c r="I201" s="8" t="b">
        <v>0</v>
      </c>
      <c r="J201" s="2"/>
    </row>
    <row r="202" hidden="1">
      <c r="A202" s="4">
        <v>46134.0</v>
      </c>
      <c r="B202" s="2" t="s">
        <v>956</v>
      </c>
      <c r="C202" s="2" t="s">
        <v>967</v>
      </c>
      <c r="D202" s="2" t="s">
        <v>159</v>
      </c>
      <c r="E202" s="2" t="s">
        <v>745</v>
      </c>
      <c r="F202" s="2">
        <v>10.0</v>
      </c>
      <c r="G202" s="2">
        <v>0.0</v>
      </c>
      <c r="H202" s="8">
        <f t="shared" si="8"/>
        <v>10</v>
      </c>
      <c r="I202" s="8" t="b">
        <v>0</v>
      </c>
      <c r="J202" s="2" t="s">
        <v>160</v>
      </c>
      <c r="K202" s="12">
        <f t="shared" ref="K202:K630" si="21">A202+15</f>
        <v>46149</v>
      </c>
      <c r="L202" s="12">
        <f t="shared" ref="L202:L630" si="22">A202+30</f>
        <v>46164</v>
      </c>
    </row>
    <row r="203" hidden="1">
      <c r="A203" s="4">
        <v>46134.0</v>
      </c>
      <c r="B203" s="2" t="s">
        <v>956</v>
      </c>
      <c r="C203" s="2" t="s">
        <v>968</v>
      </c>
      <c r="D203" s="2" t="s">
        <v>159</v>
      </c>
      <c r="E203" s="2" t="s">
        <v>745</v>
      </c>
      <c r="F203" s="2">
        <v>8.0</v>
      </c>
      <c r="G203" s="2">
        <v>0.0</v>
      </c>
      <c r="H203" s="8">
        <f t="shared" si="8"/>
        <v>8</v>
      </c>
      <c r="I203" s="8" t="b">
        <v>0</v>
      </c>
      <c r="J203" s="2" t="s">
        <v>160</v>
      </c>
      <c r="K203" s="12">
        <f t="shared" si="21"/>
        <v>46149</v>
      </c>
      <c r="L203" s="12">
        <f t="shared" si="22"/>
        <v>46164</v>
      </c>
    </row>
    <row r="204" hidden="1">
      <c r="A204" s="4">
        <v>46102.0</v>
      </c>
      <c r="B204" s="2" t="s">
        <v>969</v>
      </c>
      <c r="C204" s="2" t="s">
        <v>970</v>
      </c>
      <c r="D204" s="2" t="s">
        <v>159</v>
      </c>
      <c r="E204" s="2">
        <v>0.0</v>
      </c>
      <c r="F204" s="2">
        <v>95.0</v>
      </c>
      <c r="G204" s="2">
        <v>95.0</v>
      </c>
      <c r="H204" s="8">
        <f t="shared" si="8"/>
        <v>0</v>
      </c>
      <c r="I204" s="2" t="b">
        <v>1</v>
      </c>
      <c r="J204" s="2" t="s">
        <v>160</v>
      </c>
      <c r="K204" s="12">
        <f t="shared" si="21"/>
        <v>46117</v>
      </c>
      <c r="L204" s="12">
        <f t="shared" si="22"/>
        <v>46132</v>
      </c>
    </row>
    <row r="205" hidden="1">
      <c r="A205" s="4">
        <v>45969.0</v>
      </c>
      <c r="B205" s="2" t="s">
        <v>286</v>
      </c>
      <c r="C205" s="2" t="s">
        <v>288</v>
      </c>
      <c r="D205" s="2" t="s">
        <v>159</v>
      </c>
      <c r="E205" s="2">
        <v>0.0</v>
      </c>
      <c r="F205" s="2">
        <v>16.0</v>
      </c>
      <c r="G205" s="2">
        <v>16.0</v>
      </c>
      <c r="H205" s="8">
        <f t="shared" si="8"/>
        <v>0</v>
      </c>
      <c r="I205" s="2" t="b">
        <v>1</v>
      </c>
      <c r="J205" s="2" t="s">
        <v>160</v>
      </c>
      <c r="K205" s="12">
        <f t="shared" si="21"/>
        <v>45984</v>
      </c>
      <c r="L205" s="12">
        <f t="shared" si="22"/>
        <v>45999</v>
      </c>
    </row>
    <row r="206" hidden="1">
      <c r="A206" s="4">
        <v>45969.0</v>
      </c>
      <c r="B206" s="2" t="s">
        <v>286</v>
      </c>
      <c r="C206" s="2" t="s">
        <v>110</v>
      </c>
      <c r="D206" s="2" t="s">
        <v>159</v>
      </c>
      <c r="E206" s="2">
        <v>0.0</v>
      </c>
      <c r="F206" s="2">
        <v>9.0</v>
      </c>
      <c r="G206" s="2">
        <v>9.0</v>
      </c>
      <c r="H206" s="8">
        <f t="shared" si="8"/>
        <v>0</v>
      </c>
      <c r="I206" s="2" t="b">
        <v>1</v>
      </c>
      <c r="J206" s="2" t="s">
        <v>160</v>
      </c>
      <c r="K206" s="12">
        <f t="shared" si="21"/>
        <v>45984</v>
      </c>
      <c r="L206" s="12">
        <f t="shared" si="22"/>
        <v>45999</v>
      </c>
    </row>
    <row r="207" hidden="1">
      <c r="A207" s="4">
        <v>45969.0</v>
      </c>
      <c r="B207" s="2" t="s">
        <v>286</v>
      </c>
      <c r="C207" s="2" t="s">
        <v>287</v>
      </c>
      <c r="D207" s="2" t="s">
        <v>159</v>
      </c>
      <c r="E207" s="2">
        <v>0.0</v>
      </c>
      <c r="F207" s="2">
        <v>55.0</v>
      </c>
      <c r="G207" s="2">
        <v>55.0</v>
      </c>
      <c r="H207" s="8">
        <f t="shared" si="8"/>
        <v>0</v>
      </c>
      <c r="I207" s="2" t="b">
        <v>1</v>
      </c>
      <c r="J207" s="2" t="s">
        <v>160</v>
      </c>
      <c r="K207" s="12">
        <f t="shared" si="21"/>
        <v>45984</v>
      </c>
      <c r="L207" s="12">
        <f t="shared" si="22"/>
        <v>45999</v>
      </c>
    </row>
    <row r="208" hidden="1">
      <c r="A208" s="4">
        <v>45969.0</v>
      </c>
      <c r="B208" s="2" t="s">
        <v>286</v>
      </c>
      <c r="C208" s="2" t="s">
        <v>110</v>
      </c>
      <c r="D208" s="2" t="s">
        <v>159</v>
      </c>
      <c r="E208" s="2">
        <v>0.0</v>
      </c>
      <c r="F208" s="2">
        <v>9.0</v>
      </c>
      <c r="G208" s="2">
        <v>9.0</v>
      </c>
      <c r="H208" s="8">
        <f t="shared" si="8"/>
        <v>0</v>
      </c>
      <c r="I208" s="2" t="b">
        <v>1</v>
      </c>
      <c r="J208" s="2" t="s">
        <v>160</v>
      </c>
      <c r="K208" s="12">
        <f t="shared" si="21"/>
        <v>45984</v>
      </c>
      <c r="L208" s="12">
        <f t="shared" si="22"/>
        <v>45999</v>
      </c>
    </row>
    <row r="209" hidden="1">
      <c r="A209" s="4">
        <v>45969.0</v>
      </c>
      <c r="B209" s="2" t="s">
        <v>286</v>
      </c>
      <c r="C209" s="2" t="s">
        <v>289</v>
      </c>
      <c r="D209" s="2" t="s">
        <v>159</v>
      </c>
      <c r="E209" s="2">
        <v>0.0</v>
      </c>
      <c r="F209" s="2">
        <v>40.0</v>
      </c>
      <c r="G209" s="2">
        <v>40.0</v>
      </c>
      <c r="H209" s="8">
        <f t="shared" si="8"/>
        <v>0</v>
      </c>
      <c r="I209" s="2" t="b">
        <v>1</v>
      </c>
      <c r="J209" s="2" t="s">
        <v>160</v>
      </c>
      <c r="K209" s="12">
        <f t="shared" si="21"/>
        <v>45984</v>
      </c>
      <c r="L209" s="12">
        <f t="shared" si="22"/>
        <v>45999</v>
      </c>
    </row>
    <row r="210" hidden="1">
      <c r="A210" s="4">
        <v>46088.0</v>
      </c>
      <c r="B210" s="2" t="s">
        <v>971</v>
      </c>
      <c r="C210" s="2" t="s">
        <v>371</v>
      </c>
      <c r="D210" s="2" t="s">
        <v>159</v>
      </c>
      <c r="E210" s="2">
        <v>0.0</v>
      </c>
      <c r="F210" s="2">
        <v>40.0</v>
      </c>
      <c r="G210" s="2">
        <v>40.0</v>
      </c>
      <c r="H210" s="8">
        <f t="shared" si="8"/>
        <v>0</v>
      </c>
      <c r="I210" s="2" t="b">
        <v>0</v>
      </c>
      <c r="J210" s="2" t="s">
        <v>160</v>
      </c>
      <c r="K210" s="12">
        <f t="shared" si="21"/>
        <v>46103</v>
      </c>
      <c r="L210" s="12">
        <f t="shared" si="22"/>
        <v>46118</v>
      </c>
    </row>
    <row r="211" hidden="1">
      <c r="A211" s="4">
        <v>46146.0</v>
      </c>
      <c r="B211" s="2" t="s">
        <v>972</v>
      </c>
      <c r="C211" s="2" t="s">
        <v>973</v>
      </c>
      <c r="D211" s="2" t="s">
        <v>159</v>
      </c>
      <c r="E211" s="2">
        <v>0.0</v>
      </c>
      <c r="F211" s="2">
        <v>50.0</v>
      </c>
      <c r="G211" s="2">
        <v>50.0</v>
      </c>
      <c r="H211" s="8">
        <f t="shared" si="8"/>
        <v>0</v>
      </c>
      <c r="I211" s="8" t="b">
        <v>0</v>
      </c>
      <c r="J211" s="2" t="s">
        <v>160</v>
      </c>
      <c r="K211" s="12">
        <f t="shared" si="21"/>
        <v>46161</v>
      </c>
      <c r="L211" s="12">
        <f t="shared" si="22"/>
        <v>46176</v>
      </c>
      <c r="M211" s="8">
        <f>K211-L211</f>
        <v>-15</v>
      </c>
    </row>
    <row r="212" hidden="1">
      <c r="A212" s="4">
        <v>46190.0</v>
      </c>
      <c r="B212" s="2" t="s">
        <v>974</v>
      </c>
      <c r="C212" s="2" t="s">
        <v>520</v>
      </c>
      <c r="D212" s="2" t="s">
        <v>159</v>
      </c>
      <c r="E212" s="2" t="s">
        <v>138</v>
      </c>
      <c r="F212" s="2">
        <v>45.0</v>
      </c>
      <c r="G212" s="2">
        <v>0.0</v>
      </c>
      <c r="H212" s="8">
        <f t="shared" si="8"/>
        <v>45</v>
      </c>
      <c r="I212" s="2" t="b">
        <v>0</v>
      </c>
      <c r="J212" s="2" t="s">
        <v>160</v>
      </c>
      <c r="K212" s="12">
        <f t="shared" si="21"/>
        <v>46205</v>
      </c>
      <c r="L212" s="12">
        <f t="shared" si="22"/>
        <v>46220</v>
      </c>
    </row>
    <row r="213" hidden="1">
      <c r="A213" s="4">
        <v>46190.0</v>
      </c>
      <c r="B213" s="2" t="s">
        <v>974</v>
      </c>
      <c r="C213" s="2" t="s">
        <v>975</v>
      </c>
      <c r="D213" s="2" t="s">
        <v>159</v>
      </c>
      <c r="E213" s="2" t="s">
        <v>138</v>
      </c>
      <c r="F213" s="2">
        <v>26.0</v>
      </c>
      <c r="G213" s="2">
        <v>0.0</v>
      </c>
      <c r="H213" s="8">
        <f t="shared" si="8"/>
        <v>26</v>
      </c>
      <c r="I213" s="2" t="b">
        <v>0</v>
      </c>
      <c r="J213" s="2" t="s">
        <v>160</v>
      </c>
      <c r="K213" s="12">
        <f t="shared" si="21"/>
        <v>46205</v>
      </c>
      <c r="L213" s="12">
        <f t="shared" si="22"/>
        <v>46220</v>
      </c>
    </row>
    <row r="214" hidden="1">
      <c r="A214" s="4">
        <v>46190.0</v>
      </c>
      <c r="B214" s="2" t="s">
        <v>974</v>
      </c>
      <c r="C214" s="2" t="s">
        <v>976</v>
      </c>
      <c r="D214" s="2" t="s">
        <v>159</v>
      </c>
      <c r="E214" s="2" t="s">
        <v>138</v>
      </c>
      <c r="F214" s="2">
        <v>56.0</v>
      </c>
      <c r="G214" s="2">
        <v>0.0</v>
      </c>
      <c r="H214" s="8">
        <f t="shared" si="8"/>
        <v>56</v>
      </c>
      <c r="I214" s="2" t="b">
        <v>0</v>
      </c>
      <c r="J214" s="2" t="s">
        <v>160</v>
      </c>
      <c r="K214" s="12">
        <f t="shared" si="21"/>
        <v>46205</v>
      </c>
      <c r="L214" s="12">
        <f t="shared" si="22"/>
        <v>46220</v>
      </c>
    </row>
    <row r="215" hidden="1">
      <c r="A215" s="4">
        <v>46060.0</v>
      </c>
      <c r="B215" s="2" t="s">
        <v>199</v>
      </c>
      <c r="C215" s="2" t="s">
        <v>977</v>
      </c>
      <c r="D215" s="2" t="s">
        <v>159</v>
      </c>
      <c r="E215" s="2">
        <v>0.0</v>
      </c>
      <c r="F215" s="2">
        <v>14.0</v>
      </c>
      <c r="G215" s="2">
        <v>14.0</v>
      </c>
      <c r="H215" s="8">
        <f t="shared" si="8"/>
        <v>0</v>
      </c>
      <c r="I215" s="2" t="b">
        <v>0</v>
      </c>
      <c r="J215" s="2" t="s">
        <v>160</v>
      </c>
      <c r="K215" s="12">
        <f t="shared" si="21"/>
        <v>46075</v>
      </c>
      <c r="L215" s="12">
        <f t="shared" si="22"/>
        <v>46090</v>
      </c>
    </row>
    <row r="216" hidden="1">
      <c r="A216" s="4">
        <v>45935.0</v>
      </c>
      <c r="B216" s="2" t="s">
        <v>292</v>
      </c>
      <c r="C216" s="2" t="s">
        <v>293</v>
      </c>
      <c r="D216" s="2" t="s">
        <v>115</v>
      </c>
      <c r="E216" s="2">
        <v>167.0</v>
      </c>
      <c r="F216" s="2">
        <v>105.0</v>
      </c>
      <c r="G216" s="2">
        <v>105.0</v>
      </c>
      <c r="H216" s="8">
        <f t="shared" si="8"/>
        <v>0</v>
      </c>
      <c r="I216" s="2" t="b">
        <v>1</v>
      </c>
      <c r="J216" s="2" t="s">
        <v>160</v>
      </c>
      <c r="K216" s="12">
        <f t="shared" si="21"/>
        <v>45950</v>
      </c>
      <c r="L216" s="12">
        <f t="shared" si="22"/>
        <v>45965</v>
      </c>
    </row>
    <row r="217" hidden="1">
      <c r="A217" s="4">
        <v>45929.0</v>
      </c>
      <c r="B217" s="2" t="s">
        <v>180</v>
      </c>
      <c r="C217" s="2" t="s">
        <v>305</v>
      </c>
      <c r="D217" s="2" t="s">
        <v>113</v>
      </c>
      <c r="E217" s="2">
        <v>0.0</v>
      </c>
      <c r="F217" s="2">
        <v>45.0</v>
      </c>
      <c r="G217" s="2">
        <v>45.0</v>
      </c>
      <c r="H217" s="8">
        <f t="shared" si="8"/>
        <v>0</v>
      </c>
      <c r="I217" s="2" t="b">
        <v>1</v>
      </c>
      <c r="J217" s="2" t="s">
        <v>160</v>
      </c>
      <c r="K217" s="12">
        <f t="shared" si="21"/>
        <v>45944</v>
      </c>
      <c r="L217" s="12">
        <f t="shared" si="22"/>
        <v>45959</v>
      </c>
    </row>
    <row r="218" hidden="1">
      <c r="A218" s="4">
        <v>45943.0</v>
      </c>
      <c r="B218" s="2" t="s">
        <v>180</v>
      </c>
      <c r="C218" s="2" t="s">
        <v>307</v>
      </c>
      <c r="D218" s="2" t="s">
        <v>115</v>
      </c>
      <c r="E218" s="2">
        <v>174.0</v>
      </c>
      <c r="F218" s="2">
        <v>65.0</v>
      </c>
      <c r="G218" s="2">
        <v>65.0</v>
      </c>
      <c r="H218" s="8">
        <f t="shared" si="8"/>
        <v>0</v>
      </c>
      <c r="I218" s="2" t="b">
        <v>1</v>
      </c>
      <c r="J218" s="2" t="s">
        <v>160</v>
      </c>
      <c r="K218" s="12">
        <f t="shared" si="21"/>
        <v>45958</v>
      </c>
      <c r="L218" s="12">
        <f t="shared" si="22"/>
        <v>45973</v>
      </c>
    </row>
    <row r="219" hidden="1">
      <c r="A219" s="4">
        <v>46068.0</v>
      </c>
      <c r="B219" s="2" t="s">
        <v>180</v>
      </c>
      <c r="C219" s="2" t="s">
        <v>978</v>
      </c>
      <c r="D219" s="2" t="s">
        <v>163</v>
      </c>
      <c r="E219" s="2" t="s">
        <v>798</v>
      </c>
      <c r="F219" s="2">
        <v>75.0</v>
      </c>
      <c r="G219" s="2">
        <v>75.0</v>
      </c>
      <c r="H219" s="8">
        <f t="shared" si="8"/>
        <v>0</v>
      </c>
      <c r="I219" s="2" t="b">
        <v>1</v>
      </c>
      <c r="J219" s="2" t="s">
        <v>160</v>
      </c>
      <c r="K219" s="12">
        <f t="shared" si="21"/>
        <v>46083</v>
      </c>
      <c r="L219" s="12">
        <f t="shared" si="22"/>
        <v>46098</v>
      </c>
    </row>
    <row r="220" hidden="1">
      <c r="A220" s="4">
        <v>46094.0</v>
      </c>
      <c r="B220" s="2" t="s">
        <v>180</v>
      </c>
      <c r="C220" s="2" t="s">
        <v>979</v>
      </c>
      <c r="D220" s="2" t="s">
        <v>159</v>
      </c>
      <c r="E220" s="2">
        <v>0.0</v>
      </c>
      <c r="F220" s="2">
        <v>30.0</v>
      </c>
      <c r="G220" s="2">
        <v>30.0</v>
      </c>
      <c r="H220" s="8">
        <f t="shared" si="8"/>
        <v>0</v>
      </c>
      <c r="I220" s="2" t="b">
        <v>1</v>
      </c>
      <c r="J220" s="2" t="s">
        <v>160</v>
      </c>
      <c r="K220" s="12">
        <f t="shared" si="21"/>
        <v>46109</v>
      </c>
      <c r="L220" s="12">
        <f t="shared" si="22"/>
        <v>46124</v>
      </c>
    </row>
    <row r="221" hidden="1">
      <c r="A221" s="4">
        <v>46102.0</v>
      </c>
      <c r="B221" s="2" t="s">
        <v>180</v>
      </c>
      <c r="C221" s="2" t="s">
        <v>980</v>
      </c>
      <c r="D221" s="2" t="s">
        <v>159</v>
      </c>
      <c r="E221" s="2">
        <v>0.0</v>
      </c>
      <c r="F221" s="2">
        <v>10.0</v>
      </c>
      <c r="G221" s="2">
        <v>10.0</v>
      </c>
      <c r="H221" s="8">
        <f t="shared" si="8"/>
        <v>0</v>
      </c>
      <c r="I221" s="2" t="b">
        <v>1</v>
      </c>
      <c r="J221" s="2" t="s">
        <v>160</v>
      </c>
      <c r="K221" s="12">
        <f t="shared" si="21"/>
        <v>46117</v>
      </c>
      <c r="L221" s="12">
        <f t="shared" si="22"/>
        <v>46132</v>
      </c>
    </row>
    <row r="222" hidden="1">
      <c r="A222" s="4">
        <v>46102.0</v>
      </c>
      <c r="B222" s="2" t="s">
        <v>180</v>
      </c>
      <c r="C222" s="2" t="s">
        <v>981</v>
      </c>
      <c r="D222" s="2" t="s">
        <v>159</v>
      </c>
      <c r="E222" s="2">
        <v>0.0</v>
      </c>
      <c r="F222" s="2">
        <v>5.0</v>
      </c>
      <c r="G222" s="2">
        <v>5.0</v>
      </c>
      <c r="H222" s="8">
        <f t="shared" si="8"/>
        <v>0</v>
      </c>
      <c r="I222" s="2" t="b">
        <v>1</v>
      </c>
      <c r="J222" s="2" t="s">
        <v>160</v>
      </c>
      <c r="K222" s="12">
        <f t="shared" si="21"/>
        <v>46117</v>
      </c>
      <c r="L222" s="12">
        <f t="shared" si="22"/>
        <v>46132</v>
      </c>
    </row>
    <row r="223" hidden="1">
      <c r="A223" s="4">
        <v>46102.0</v>
      </c>
      <c r="B223" s="2" t="s">
        <v>180</v>
      </c>
      <c r="C223" s="2" t="s">
        <v>982</v>
      </c>
      <c r="D223" s="2" t="s">
        <v>159</v>
      </c>
      <c r="E223" s="2">
        <v>0.0</v>
      </c>
      <c r="F223" s="2">
        <v>10.0</v>
      </c>
      <c r="G223" s="2">
        <v>10.0</v>
      </c>
      <c r="H223" s="8">
        <f t="shared" si="8"/>
        <v>0</v>
      </c>
      <c r="I223" s="2" t="b">
        <v>1</v>
      </c>
      <c r="J223" s="2" t="s">
        <v>160</v>
      </c>
      <c r="K223" s="12">
        <f t="shared" si="21"/>
        <v>46117</v>
      </c>
      <c r="L223" s="12">
        <f t="shared" si="22"/>
        <v>46132</v>
      </c>
    </row>
    <row r="224" hidden="1">
      <c r="A224" s="4">
        <v>46102.0</v>
      </c>
      <c r="B224" s="2" t="s">
        <v>180</v>
      </c>
      <c r="C224" s="2" t="s">
        <v>983</v>
      </c>
      <c r="D224" s="2" t="s">
        <v>159</v>
      </c>
      <c r="E224" s="2">
        <v>0.0</v>
      </c>
      <c r="F224" s="2">
        <v>15.0</v>
      </c>
      <c r="G224" s="2">
        <v>15.0</v>
      </c>
      <c r="H224" s="8">
        <f t="shared" si="8"/>
        <v>0</v>
      </c>
      <c r="I224" s="2" t="b">
        <v>1</v>
      </c>
      <c r="J224" s="2" t="s">
        <v>160</v>
      </c>
      <c r="K224" s="12">
        <f t="shared" si="21"/>
        <v>46117</v>
      </c>
      <c r="L224" s="12">
        <f t="shared" si="22"/>
        <v>46132</v>
      </c>
    </row>
    <row r="225" hidden="1">
      <c r="A225" s="4">
        <v>46102.0</v>
      </c>
      <c r="B225" s="2" t="s">
        <v>180</v>
      </c>
      <c r="C225" s="2" t="s">
        <v>984</v>
      </c>
      <c r="D225" s="2" t="s">
        <v>159</v>
      </c>
      <c r="E225" s="2">
        <v>0.0</v>
      </c>
      <c r="F225" s="2">
        <v>5.0</v>
      </c>
      <c r="G225" s="2">
        <v>5.0</v>
      </c>
      <c r="H225" s="8">
        <f t="shared" si="8"/>
        <v>0</v>
      </c>
      <c r="I225" s="2" t="b">
        <v>1</v>
      </c>
      <c r="J225" s="2" t="s">
        <v>160</v>
      </c>
      <c r="K225" s="12">
        <f t="shared" si="21"/>
        <v>46117</v>
      </c>
      <c r="L225" s="12">
        <f t="shared" si="22"/>
        <v>46132</v>
      </c>
    </row>
    <row r="226" hidden="1">
      <c r="A226" s="4">
        <v>46102.0</v>
      </c>
      <c r="B226" s="2" t="s">
        <v>985</v>
      </c>
      <c r="C226" s="2" t="s">
        <v>986</v>
      </c>
      <c r="D226" s="2" t="s">
        <v>159</v>
      </c>
      <c r="E226" s="2">
        <v>0.0</v>
      </c>
      <c r="F226" s="2">
        <v>15.0</v>
      </c>
      <c r="G226" s="2">
        <v>15.0</v>
      </c>
      <c r="H226" s="8">
        <f t="shared" si="8"/>
        <v>0</v>
      </c>
      <c r="I226" s="2" t="b">
        <v>1</v>
      </c>
      <c r="J226" s="2" t="s">
        <v>160</v>
      </c>
      <c r="K226" s="12">
        <f t="shared" si="21"/>
        <v>46117</v>
      </c>
      <c r="L226" s="12">
        <f t="shared" si="22"/>
        <v>46132</v>
      </c>
    </row>
    <row r="227" hidden="1">
      <c r="A227" s="4">
        <v>46100.0</v>
      </c>
      <c r="B227" s="2" t="s">
        <v>601</v>
      </c>
      <c r="C227" s="2" t="s">
        <v>987</v>
      </c>
      <c r="D227" s="2" t="s">
        <v>159</v>
      </c>
      <c r="E227" s="2">
        <v>0.0</v>
      </c>
      <c r="F227" s="2">
        <v>130.0</v>
      </c>
      <c r="G227" s="2">
        <v>130.0</v>
      </c>
      <c r="H227" s="8">
        <f t="shared" si="8"/>
        <v>0</v>
      </c>
      <c r="I227" s="2" t="b">
        <v>1</v>
      </c>
      <c r="J227" s="2" t="s">
        <v>160</v>
      </c>
      <c r="K227" s="12">
        <f t="shared" si="21"/>
        <v>46115</v>
      </c>
      <c r="L227" s="12">
        <f t="shared" si="22"/>
        <v>46130</v>
      </c>
    </row>
    <row r="228" hidden="1">
      <c r="A228" s="4">
        <v>45988.0</v>
      </c>
      <c r="B228" s="2" t="s">
        <v>125</v>
      </c>
      <c r="C228" s="2" t="s">
        <v>310</v>
      </c>
      <c r="D228" s="2" t="s">
        <v>159</v>
      </c>
      <c r="E228" s="2">
        <v>0.0</v>
      </c>
      <c r="F228" s="2">
        <v>55.0</v>
      </c>
      <c r="G228" s="2">
        <v>55.0</v>
      </c>
      <c r="H228" s="8">
        <f t="shared" si="8"/>
        <v>0</v>
      </c>
      <c r="I228" s="2" t="b">
        <v>1</v>
      </c>
      <c r="J228" s="2" t="s">
        <v>160</v>
      </c>
      <c r="K228" s="12">
        <f t="shared" si="21"/>
        <v>46003</v>
      </c>
      <c r="L228" s="12">
        <f t="shared" si="22"/>
        <v>46018</v>
      </c>
    </row>
    <row r="229" hidden="1">
      <c r="A229" s="4">
        <v>46091.0</v>
      </c>
      <c r="B229" s="2" t="s">
        <v>988</v>
      </c>
      <c r="C229" s="2" t="s">
        <v>989</v>
      </c>
      <c r="D229" s="2" t="s">
        <v>159</v>
      </c>
      <c r="E229" s="2">
        <v>0.0</v>
      </c>
      <c r="F229" s="2">
        <v>60.0</v>
      </c>
      <c r="G229" s="2">
        <v>60.0</v>
      </c>
      <c r="H229" s="8">
        <f t="shared" si="8"/>
        <v>0</v>
      </c>
      <c r="I229" s="8" t="b">
        <v>0</v>
      </c>
      <c r="J229" s="2" t="s">
        <v>160</v>
      </c>
      <c r="K229" s="12">
        <f t="shared" si="21"/>
        <v>46106</v>
      </c>
      <c r="L229" s="12">
        <f t="shared" si="22"/>
        <v>46121</v>
      </c>
    </row>
    <row r="230" hidden="1">
      <c r="A230" s="4">
        <v>46125.0</v>
      </c>
      <c r="B230" s="2" t="s">
        <v>988</v>
      </c>
      <c r="C230" s="2" t="s">
        <v>990</v>
      </c>
      <c r="D230" s="2" t="s">
        <v>159</v>
      </c>
      <c r="E230" s="2" t="s">
        <v>745</v>
      </c>
      <c r="F230" s="2">
        <v>15.0</v>
      </c>
      <c r="G230" s="2">
        <v>15.0</v>
      </c>
      <c r="H230" s="8">
        <f t="shared" si="8"/>
        <v>0</v>
      </c>
      <c r="I230" s="8" t="b">
        <v>0</v>
      </c>
      <c r="J230" s="2" t="s">
        <v>160</v>
      </c>
      <c r="K230" s="12">
        <f t="shared" si="21"/>
        <v>46140</v>
      </c>
      <c r="L230" s="12">
        <f t="shared" si="22"/>
        <v>46155</v>
      </c>
    </row>
    <row r="231" hidden="1">
      <c r="A231" s="4">
        <v>46125.0</v>
      </c>
      <c r="B231" s="2" t="s">
        <v>988</v>
      </c>
      <c r="C231" s="2" t="s">
        <v>991</v>
      </c>
      <c r="D231" s="2" t="s">
        <v>159</v>
      </c>
      <c r="E231" s="2" t="s">
        <v>745</v>
      </c>
      <c r="F231" s="2">
        <v>20.0</v>
      </c>
      <c r="G231" s="2">
        <v>20.0</v>
      </c>
      <c r="H231" s="8">
        <f t="shared" si="8"/>
        <v>0</v>
      </c>
      <c r="I231" s="8" t="b">
        <v>0</v>
      </c>
      <c r="J231" s="2" t="s">
        <v>160</v>
      </c>
      <c r="K231" s="12">
        <f t="shared" si="21"/>
        <v>46140</v>
      </c>
      <c r="L231" s="12">
        <f t="shared" si="22"/>
        <v>46155</v>
      </c>
    </row>
    <row r="232" hidden="1">
      <c r="A232" s="4">
        <v>46143.0</v>
      </c>
      <c r="B232" s="2" t="s">
        <v>988</v>
      </c>
      <c r="C232" s="2" t="s">
        <v>992</v>
      </c>
      <c r="D232" s="2" t="s">
        <v>159</v>
      </c>
      <c r="E232" s="2">
        <v>0.0</v>
      </c>
      <c r="F232" s="2">
        <v>55.0</v>
      </c>
      <c r="G232" s="2">
        <v>55.0</v>
      </c>
      <c r="H232" s="8">
        <f t="shared" si="8"/>
        <v>0</v>
      </c>
      <c r="I232" s="8" t="b">
        <v>0</v>
      </c>
      <c r="J232" s="2" t="s">
        <v>160</v>
      </c>
      <c r="K232" s="12">
        <f t="shared" si="21"/>
        <v>46158</v>
      </c>
      <c r="L232" s="12">
        <f t="shared" si="22"/>
        <v>46173</v>
      </c>
    </row>
    <row r="233" hidden="1">
      <c r="A233" s="4">
        <v>46143.0</v>
      </c>
      <c r="B233" s="2" t="s">
        <v>988</v>
      </c>
      <c r="C233" s="2" t="s">
        <v>993</v>
      </c>
      <c r="D233" s="2" t="s">
        <v>159</v>
      </c>
      <c r="E233" s="2">
        <v>0.0</v>
      </c>
      <c r="F233" s="2">
        <v>45.0</v>
      </c>
      <c r="G233" s="2">
        <v>45.0</v>
      </c>
      <c r="H233" s="8">
        <f t="shared" si="8"/>
        <v>0</v>
      </c>
      <c r="I233" s="8" t="b">
        <v>0</v>
      </c>
      <c r="J233" s="2" t="s">
        <v>160</v>
      </c>
      <c r="K233" s="12">
        <f t="shared" si="21"/>
        <v>46158</v>
      </c>
      <c r="L233" s="12">
        <f t="shared" si="22"/>
        <v>46173</v>
      </c>
    </row>
    <row r="234" hidden="1">
      <c r="A234" s="4">
        <v>46143.0</v>
      </c>
      <c r="B234" s="2" t="s">
        <v>988</v>
      </c>
      <c r="C234" s="2" t="s">
        <v>994</v>
      </c>
      <c r="D234" s="2" t="s">
        <v>159</v>
      </c>
      <c r="E234" s="2">
        <v>0.0</v>
      </c>
      <c r="F234" s="2">
        <v>50.0</v>
      </c>
      <c r="G234" s="2">
        <v>13.0</v>
      </c>
      <c r="H234" s="8">
        <f t="shared" si="8"/>
        <v>37</v>
      </c>
      <c r="I234" s="8" t="b">
        <v>0</v>
      </c>
      <c r="J234" s="2" t="s">
        <v>160</v>
      </c>
      <c r="K234" s="12">
        <f t="shared" si="21"/>
        <v>46158</v>
      </c>
      <c r="L234" s="12">
        <f t="shared" si="22"/>
        <v>46173</v>
      </c>
    </row>
    <row r="235" hidden="1">
      <c r="A235" s="4">
        <v>46145.0</v>
      </c>
      <c r="B235" s="2" t="s">
        <v>988</v>
      </c>
      <c r="C235" s="2" t="s">
        <v>995</v>
      </c>
      <c r="D235" s="2" t="s">
        <v>159</v>
      </c>
      <c r="E235" s="2">
        <v>0.0</v>
      </c>
      <c r="F235" s="2">
        <v>190.0</v>
      </c>
      <c r="G235" s="2">
        <v>0.0</v>
      </c>
      <c r="H235" s="8">
        <f t="shared" si="8"/>
        <v>190</v>
      </c>
      <c r="I235" s="8" t="b">
        <v>0</v>
      </c>
      <c r="J235" s="2" t="s">
        <v>160</v>
      </c>
      <c r="K235" s="12">
        <f t="shared" si="21"/>
        <v>46160</v>
      </c>
      <c r="L235" s="12">
        <f t="shared" si="22"/>
        <v>46175</v>
      </c>
    </row>
    <row r="236" hidden="1">
      <c r="A236" s="4">
        <v>46146.0</v>
      </c>
      <c r="B236" s="2" t="s">
        <v>988</v>
      </c>
      <c r="C236" s="2" t="s">
        <v>996</v>
      </c>
      <c r="D236" s="2" t="s">
        <v>159</v>
      </c>
      <c r="E236" s="2">
        <v>0.0</v>
      </c>
      <c r="F236" s="2">
        <v>50.0</v>
      </c>
      <c r="G236" s="2">
        <v>0.0</v>
      </c>
      <c r="H236" s="8">
        <f t="shared" si="8"/>
        <v>50</v>
      </c>
      <c r="I236" s="8" t="b">
        <v>0</v>
      </c>
      <c r="J236" s="2" t="s">
        <v>160</v>
      </c>
      <c r="K236" s="12">
        <f t="shared" si="21"/>
        <v>46161</v>
      </c>
      <c r="L236" s="12">
        <f t="shared" si="22"/>
        <v>46176</v>
      </c>
    </row>
    <row r="237" hidden="1">
      <c r="A237" s="4">
        <v>46146.0</v>
      </c>
      <c r="B237" s="2" t="s">
        <v>988</v>
      </c>
      <c r="C237" s="2" t="s">
        <v>997</v>
      </c>
      <c r="D237" s="2" t="s">
        <v>159</v>
      </c>
      <c r="E237" s="2">
        <v>0.0</v>
      </c>
      <c r="F237" s="2">
        <v>55.0</v>
      </c>
      <c r="G237" s="2">
        <v>0.0</v>
      </c>
      <c r="H237" s="8">
        <f t="shared" si="8"/>
        <v>55</v>
      </c>
      <c r="I237" s="8" t="b">
        <v>0</v>
      </c>
      <c r="J237" s="2" t="s">
        <v>160</v>
      </c>
      <c r="K237" s="12">
        <f t="shared" si="21"/>
        <v>46161</v>
      </c>
      <c r="L237" s="12">
        <f t="shared" si="22"/>
        <v>46176</v>
      </c>
    </row>
    <row r="238" hidden="1">
      <c r="A238" s="4">
        <v>46147.0</v>
      </c>
      <c r="B238" s="2" t="s">
        <v>988</v>
      </c>
      <c r="C238" s="2" t="s">
        <v>998</v>
      </c>
      <c r="D238" s="2" t="s">
        <v>159</v>
      </c>
      <c r="E238" s="2">
        <v>0.0</v>
      </c>
      <c r="F238" s="2">
        <v>41.0</v>
      </c>
      <c r="G238" s="2">
        <v>0.0</v>
      </c>
      <c r="H238" s="8">
        <f t="shared" si="8"/>
        <v>41</v>
      </c>
      <c r="I238" s="8" t="b">
        <v>0</v>
      </c>
      <c r="J238" s="2" t="s">
        <v>160</v>
      </c>
      <c r="K238" s="12">
        <f t="shared" si="21"/>
        <v>46162</v>
      </c>
      <c r="L238" s="12">
        <f t="shared" si="22"/>
        <v>46177</v>
      </c>
    </row>
    <row r="239" hidden="1">
      <c r="A239" s="4">
        <v>46147.0</v>
      </c>
      <c r="B239" s="2" t="s">
        <v>988</v>
      </c>
      <c r="C239" s="2" t="s">
        <v>999</v>
      </c>
      <c r="D239" s="2" t="s">
        <v>159</v>
      </c>
      <c r="E239" s="2">
        <v>0.0</v>
      </c>
      <c r="F239" s="2">
        <v>41.0</v>
      </c>
      <c r="G239" s="2">
        <v>0.0</v>
      </c>
      <c r="H239" s="8">
        <f t="shared" si="8"/>
        <v>41</v>
      </c>
      <c r="I239" s="8" t="b">
        <v>0</v>
      </c>
      <c r="J239" s="2" t="s">
        <v>160</v>
      </c>
      <c r="K239" s="12">
        <f t="shared" si="21"/>
        <v>46162</v>
      </c>
      <c r="L239" s="12">
        <f t="shared" si="22"/>
        <v>46177</v>
      </c>
    </row>
    <row r="240" hidden="1">
      <c r="A240" s="4">
        <v>46147.0</v>
      </c>
      <c r="B240" s="2" t="s">
        <v>988</v>
      </c>
      <c r="C240" s="2" t="s">
        <v>1000</v>
      </c>
      <c r="D240" s="2" t="s">
        <v>159</v>
      </c>
      <c r="E240" s="2">
        <v>0.0</v>
      </c>
      <c r="F240" s="2">
        <v>35.0</v>
      </c>
      <c r="G240" s="2">
        <v>0.0</v>
      </c>
      <c r="H240" s="8">
        <f t="shared" si="8"/>
        <v>35</v>
      </c>
      <c r="I240" s="8" t="b">
        <v>0</v>
      </c>
      <c r="J240" s="2" t="s">
        <v>160</v>
      </c>
      <c r="K240" s="12">
        <f t="shared" si="21"/>
        <v>46162</v>
      </c>
      <c r="L240" s="12">
        <f t="shared" si="22"/>
        <v>46177</v>
      </c>
    </row>
    <row r="241" hidden="1">
      <c r="A241" s="4">
        <v>46147.0</v>
      </c>
      <c r="B241" s="2" t="s">
        <v>988</v>
      </c>
      <c r="C241" s="2" t="s">
        <v>1001</v>
      </c>
      <c r="D241" s="2" t="s">
        <v>159</v>
      </c>
      <c r="E241" s="2">
        <v>0.0</v>
      </c>
      <c r="F241" s="2">
        <v>35.0</v>
      </c>
      <c r="G241" s="2">
        <v>0.0</v>
      </c>
      <c r="H241" s="8">
        <f t="shared" si="8"/>
        <v>35</v>
      </c>
      <c r="I241" s="8" t="b">
        <v>0</v>
      </c>
      <c r="J241" s="2" t="s">
        <v>160</v>
      </c>
      <c r="K241" s="12">
        <f t="shared" si="21"/>
        <v>46162</v>
      </c>
      <c r="L241" s="12">
        <f t="shared" si="22"/>
        <v>46177</v>
      </c>
    </row>
    <row r="242" hidden="1">
      <c r="A242" s="4">
        <v>46152.0</v>
      </c>
      <c r="B242" s="2" t="s">
        <v>988</v>
      </c>
      <c r="C242" s="2" t="s">
        <v>1002</v>
      </c>
      <c r="D242" s="2" t="s">
        <v>159</v>
      </c>
      <c r="E242" s="2">
        <v>0.0</v>
      </c>
      <c r="F242" s="2">
        <v>40.0</v>
      </c>
      <c r="G242" s="2">
        <v>0.0</v>
      </c>
      <c r="H242" s="8">
        <f t="shared" si="8"/>
        <v>40</v>
      </c>
      <c r="I242" s="8" t="b">
        <v>0</v>
      </c>
      <c r="J242" s="2" t="s">
        <v>160</v>
      </c>
      <c r="K242" s="12">
        <f t="shared" si="21"/>
        <v>46167</v>
      </c>
      <c r="L242" s="12">
        <f t="shared" si="22"/>
        <v>46182</v>
      </c>
    </row>
    <row r="243" hidden="1">
      <c r="A243" s="4">
        <v>46153.0</v>
      </c>
      <c r="B243" s="2" t="s">
        <v>988</v>
      </c>
      <c r="C243" s="2" t="s">
        <v>1003</v>
      </c>
      <c r="D243" s="2" t="s">
        <v>159</v>
      </c>
      <c r="E243" s="2">
        <v>0.0</v>
      </c>
      <c r="F243" s="2">
        <v>60.0</v>
      </c>
      <c r="G243" s="2">
        <v>0.0</v>
      </c>
      <c r="H243" s="8">
        <f t="shared" si="8"/>
        <v>60</v>
      </c>
      <c r="I243" s="8" t="b">
        <v>0</v>
      </c>
      <c r="J243" s="2" t="s">
        <v>160</v>
      </c>
      <c r="K243" s="12">
        <f t="shared" si="21"/>
        <v>46168</v>
      </c>
      <c r="L243" s="12">
        <f t="shared" si="22"/>
        <v>46183</v>
      </c>
    </row>
    <row r="244" hidden="1">
      <c r="A244" s="4">
        <v>46156.0</v>
      </c>
      <c r="B244" s="2" t="s">
        <v>988</v>
      </c>
      <c r="C244" s="2" t="s">
        <v>1004</v>
      </c>
      <c r="D244" s="2" t="s">
        <v>159</v>
      </c>
      <c r="E244" s="2">
        <v>0.0</v>
      </c>
      <c r="F244" s="2">
        <v>9.0</v>
      </c>
      <c r="G244" s="2">
        <v>0.0</v>
      </c>
      <c r="H244" s="8">
        <f t="shared" si="8"/>
        <v>9</v>
      </c>
      <c r="I244" s="8" t="b">
        <v>0</v>
      </c>
      <c r="J244" s="2" t="s">
        <v>160</v>
      </c>
      <c r="K244" s="12">
        <f t="shared" si="21"/>
        <v>46171</v>
      </c>
      <c r="L244" s="12">
        <f t="shared" si="22"/>
        <v>46186</v>
      </c>
    </row>
    <row r="245" hidden="1">
      <c r="A245" s="4">
        <v>46159.0</v>
      </c>
      <c r="B245" s="2" t="s">
        <v>988</v>
      </c>
      <c r="C245" s="2" t="s">
        <v>1005</v>
      </c>
      <c r="D245" s="2" t="s">
        <v>159</v>
      </c>
      <c r="E245" s="2" t="s">
        <v>138</v>
      </c>
      <c r="F245" s="2">
        <v>90.0</v>
      </c>
      <c r="G245" s="2">
        <v>0.0</v>
      </c>
      <c r="H245" s="8">
        <f t="shared" si="8"/>
        <v>90</v>
      </c>
      <c r="I245" s="8" t="b">
        <v>0</v>
      </c>
      <c r="J245" s="2" t="s">
        <v>160</v>
      </c>
      <c r="K245" s="12">
        <f t="shared" si="21"/>
        <v>46174</v>
      </c>
      <c r="L245" s="12">
        <f t="shared" si="22"/>
        <v>46189</v>
      </c>
    </row>
    <row r="246" hidden="1">
      <c r="A246" s="4">
        <v>46166.0</v>
      </c>
      <c r="B246" s="2" t="s">
        <v>988</v>
      </c>
      <c r="C246" s="2" t="s">
        <v>1006</v>
      </c>
      <c r="D246" s="2" t="s">
        <v>159</v>
      </c>
      <c r="E246" s="2" t="s">
        <v>0</v>
      </c>
      <c r="F246" s="2">
        <v>60.0</v>
      </c>
      <c r="G246" s="2">
        <v>0.0</v>
      </c>
      <c r="H246" s="8">
        <f t="shared" si="8"/>
        <v>60</v>
      </c>
      <c r="I246" s="8" t="b">
        <v>0</v>
      </c>
      <c r="J246" s="2" t="s">
        <v>160</v>
      </c>
      <c r="K246" s="12">
        <f t="shared" si="21"/>
        <v>46181</v>
      </c>
      <c r="L246" s="12">
        <f t="shared" si="22"/>
        <v>46196</v>
      </c>
    </row>
    <row r="247" hidden="1">
      <c r="A247" s="4">
        <v>46166.0</v>
      </c>
      <c r="B247" s="2" t="s">
        <v>988</v>
      </c>
      <c r="C247" s="2" t="s">
        <v>1007</v>
      </c>
      <c r="D247" s="2" t="s">
        <v>159</v>
      </c>
      <c r="E247" s="2" t="s">
        <v>0</v>
      </c>
      <c r="F247" s="2">
        <v>60.0</v>
      </c>
      <c r="G247" s="2">
        <v>0.0</v>
      </c>
      <c r="H247" s="8">
        <f t="shared" si="8"/>
        <v>60</v>
      </c>
      <c r="I247" s="8" t="b">
        <v>0</v>
      </c>
      <c r="J247" s="2" t="s">
        <v>160</v>
      </c>
      <c r="K247" s="12">
        <f t="shared" si="21"/>
        <v>46181</v>
      </c>
      <c r="L247" s="12">
        <f t="shared" si="22"/>
        <v>46196</v>
      </c>
    </row>
    <row r="248" hidden="1">
      <c r="A248" s="4">
        <v>46166.0</v>
      </c>
      <c r="B248" s="2" t="s">
        <v>988</v>
      </c>
      <c r="C248" s="2" t="s">
        <v>1008</v>
      </c>
      <c r="D248" s="2" t="s">
        <v>159</v>
      </c>
      <c r="E248" s="2" t="s">
        <v>0</v>
      </c>
      <c r="F248" s="2">
        <v>60.0</v>
      </c>
      <c r="G248" s="2">
        <v>0.0</v>
      </c>
      <c r="H248" s="8">
        <f t="shared" si="8"/>
        <v>60</v>
      </c>
      <c r="I248" s="8" t="b">
        <v>0</v>
      </c>
      <c r="J248" s="2" t="s">
        <v>160</v>
      </c>
      <c r="K248" s="12">
        <f t="shared" si="21"/>
        <v>46181</v>
      </c>
      <c r="L248" s="12">
        <f t="shared" si="22"/>
        <v>46196</v>
      </c>
    </row>
    <row r="249" hidden="1">
      <c r="A249" s="4">
        <v>46166.0</v>
      </c>
      <c r="B249" s="2" t="s">
        <v>988</v>
      </c>
      <c r="C249" s="2" t="s">
        <v>1009</v>
      </c>
      <c r="D249" s="2" t="s">
        <v>159</v>
      </c>
      <c r="E249" s="2" t="s">
        <v>138</v>
      </c>
      <c r="F249" s="2">
        <v>46.0</v>
      </c>
      <c r="G249" s="2">
        <v>0.0</v>
      </c>
      <c r="H249" s="8">
        <f t="shared" si="8"/>
        <v>46</v>
      </c>
      <c r="I249" s="8" t="b">
        <v>0</v>
      </c>
      <c r="J249" s="2" t="s">
        <v>160</v>
      </c>
      <c r="K249" s="12">
        <f t="shared" si="21"/>
        <v>46181</v>
      </c>
      <c r="L249" s="12">
        <f t="shared" si="22"/>
        <v>46196</v>
      </c>
    </row>
    <row r="250" hidden="1">
      <c r="A250" s="4">
        <v>46166.0</v>
      </c>
      <c r="B250" s="2" t="s">
        <v>988</v>
      </c>
      <c r="C250" s="2" t="s">
        <v>1010</v>
      </c>
      <c r="D250" s="2" t="s">
        <v>159</v>
      </c>
      <c r="E250" s="2" t="s">
        <v>138</v>
      </c>
      <c r="F250" s="2">
        <v>38.0</v>
      </c>
      <c r="G250" s="2">
        <v>0.0</v>
      </c>
      <c r="H250" s="8">
        <f t="shared" si="8"/>
        <v>38</v>
      </c>
      <c r="I250" s="8" t="b">
        <v>0</v>
      </c>
      <c r="J250" s="2" t="s">
        <v>160</v>
      </c>
      <c r="K250" s="12">
        <f t="shared" si="21"/>
        <v>46181</v>
      </c>
      <c r="L250" s="12">
        <f t="shared" si="22"/>
        <v>46196</v>
      </c>
    </row>
    <row r="251" hidden="1">
      <c r="A251" s="4">
        <v>46166.0</v>
      </c>
      <c r="B251" s="2" t="s">
        <v>988</v>
      </c>
      <c r="C251" s="2" t="s">
        <v>1011</v>
      </c>
      <c r="D251" s="2" t="s">
        <v>159</v>
      </c>
      <c r="E251" s="2" t="s">
        <v>138</v>
      </c>
      <c r="F251" s="2">
        <v>45.0</v>
      </c>
      <c r="G251" s="2">
        <v>0.0</v>
      </c>
      <c r="H251" s="8">
        <f t="shared" si="8"/>
        <v>45</v>
      </c>
      <c r="I251" s="8" t="b">
        <v>0</v>
      </c>
      <c r="J251" s="2" t="s">
        <v>160</v>
      </c>
      <c r="K251" s="12">
        <f t="shared" si="21"/>
        <v>46181</v>
      </c>
      <c r="L251" s="12">
        <f t="shared" si="22"/>
        <v>46196</v>
      </c>
    </row>
    <row r="252" hidden="1">
      <c r="A252" s="4">
        <v>46166.0</v>
      </c>
      <c r="B252" s="2" t="s">
        <v>988</v>
      </c>
      <c r="C252" s="2" t="s">
        <v>1012</v>
      </c>
      <c r="D252" s="2" t="s">
        <v>159</v>
      </c>
      <c r="E252" s="2" t="s">
        <v>138</v>
      </c>
      <c r="F252" s="2">
        <v>43.0</v>
      </c>
      <c r="G252" s="2">
        <v>0.0</v>
      </c>
      <c r="H252" s="8">
        <f t="shared" si="8"/>
        <v>43</v>
      </c>
      <c r="I252" s="8" t="b">
        <v>0</v>
      </c>
      <c r="J252" s="2" t="s">
        <v>160</v>
      </c>
      <c r="K252" s="12">
        <f t="shared" si="21"/>
        <v>46181</v>
      </c>
      <c r="L252" s="12">
        <f t="shared" si="22"/>
        <v>46196</v>
      </c>
    </row>
    <row r="253" hidden="1">
      <c r="A253" s="4">
        <v>46166.0</v>
      </c>
      <c r="B253" s="2" t="s">
        <v>988</v>
      </c>
      <c r="C253" s="2" t="s">
        <v>1013</v>
      </c>
      <c r="D253" s="2" t="s">
        <v>159</v>
      </c>
      <c r="E253" s="2" t="s">
        <v>138</v>
      </c>
      <c r="F253" s="2">
        <v>42.0</v>
      </c>
      <c r="G253" s="2">
        <v>0.0</v>
      </c>
      <c r="H253" s="8">
        <f t="shared" si="8"/>
        <v>42</v>
      </c>
      <c r="I253" s="8" t="b">
        <v>0</v>
      </c>
      <c r="J253" s="2" t="s">
        <v>160</v>
      </c>
      <c r="K253" s="12">
        <f t="shared" si="21"/>
        <v>46181</v>
      </c>
      <c r="L253" s="12">
        <f t="shared" si="22"/>
        <v>46196</v>
      </c>
    </row>
    <row r="254" hidden="1">
      <c r="A254" s="4">
        <v>46166.0</v>
      </c>
      <c r="B254" s="2" t="s">
        <v>988</v>
      </c>
      <c r="C254" s="2" t="s">
        <v>1014</v>
      </c>
      <c r="D254" s="2" t="s">
        <v>159</v>
      </c>
      <c r="E254" s="2" t="s">
        <v>138</v>
      </c>
      <c r="F254" s="2">
        <v>55.0</v>
      </c>
      <c r="G254" s="2">
        <v>0.0</v>
      </c>
      <c r="H254" s="8">
        <f t="shared" si="8"/>
        <v>55</v>
      </c>
      <c r="I254" s="8" t="b">
        <v>0</v>
      </c>
      <c r="J254" s="2" t="s">
        <v>160</v>
      </c>
      <c r="K254" s="12">
        <f t="shared" si="21"/>
        <v>46181</v>
      </c>
      <c r="L254" s="12">
        <f t="shared" si="22"/>
        <v>46196</v>
      </c>
    </row>
    <row r="255" hidden="1">
      <c r="A255" s="4">
        <v>46166.0</v>
      </c>
      <c r="B255" s="2" t="s">
        <v>988</v>
      </c>
      <c r="C255" s="2" t="s">
        <v>1015</v>
      </c>
      <c r="D255" s="2" t="s">
        <v>159</v>
      </c>
      <c r="E255" s="2" t="s">
        <v>0</v>
      </c>
      <c r="F255" s="2">
        <v>80.0</v>
      </c>
      <c r="G255" s="2">
        <v>0.0</v>
      </c>
      <c r="H255" s="8">
        <f t="shared" si="8"/>
        <v>80</v>
      </c>
      <c r="I255" s="8" t="b">
        <v>0</v>
      </c>
      <c r="J255" s="2" t="s">
        <v>160</v>
      </c>
      <c r="K255" s="12">
        <f t="shared" si="21"/>
        <v>46181</v>
      </c>
      <c r="L255" s="12">
        <f t="shared" si="22"/>
        <v>46196</v>
      </c>
    </row>
    <row r="256" hidden="1">
      <c r="A256" s="4">
        <v>46166.0</v>
      </c>
      <c r="B256" s="2" t="s">
        <v>988</v>
      </c>
      <c r="C256" s="2" t="s">
        <v>1016</v>
      </c>
      <c r="D256" s="2" t="s">
        <v>159</v>
      </c>
      <c r="E256" s="2" t="s">
        <v>0</v>
      </c>
      <c r="F256" s="2">
        <v>70.0</v>
      </c>
      <c r="G256" s="2">
        <v>0.0</v>
      </c>
      <c r="H256" s="8">
        <f t="shared" si="8"/>
        <v>70</v>
      </c>
      <c r="I256" s="8" t="b">
        <v>0</v>
      </c>
      <c r="J256" s="2" t="s">
        <v>160</v>
      </c>
      <c r="K256" s="12">
        <f t="shared" si="21"/>
        <v>46181</v>
      </c>
      <c r="L256" s="12">
        <f t="shared" si="22"/>
        <v>46196</v>
      </c>
    </row>
    <row r="257" hidden="1">
      <c r="A257" s="4">
        <v>46166.0</v>
      </c>
      <c r="B257" s="2" t="s">
        <v>988</v>
      </c>
      <c r="C257" s="2" t="s">
        <v>1017</v>
      </c>
      <c r="D257" s="2" t="s">
        <v>159</v>
      </c>
      <c r="E257" s="2" t="s">
        <v>0</v>
      </c>
      <c r="F257" s="2">
        <v>62.0</v>
      </c>
      <c r="G257" s="2">
        <v>0.0</v>
      </c>
      <c r="H257" s="8">
        <f t="shared" si="8"/>
        <v>62</v>
      </c>
      <c r="I257" s="8" t="b">
        <v>0</v>
      </c>
      <c r="J257" s="2" t="s">
        <v>160</v>
      </c>
      <c r="K257" s="12">
        <f t="shared" si="21"/>
        <v>46181</v>
      </c>
      <c r="L257" s="12">
        <f t="shared" si="22"/>
        <v>46196</v>
      </c>
    </row>
    <row r="258" hidden="1">
      <c r="A258" s="4">
        <v>46166.0</v>
      </c>
      <c r="B258" s="2" t="s">
        <v>988</v>
      </c>
      <c r="C258" s="2" t="s">
        <v>1018</v>
      </c>
      <c r="D258" s="2" t="s">
        <v>159</v>
      </c>
      <c r="E258" s="2" t="s">
        <v>0</v>
      </c>
      <c r="F258" s="2">
        <v>60.0</v>
      </c>
      <c r="G258" s="2">
        <v>0.0</v>
      </c>
      <c r="H258" s="8">
        <f t="shared" si="8"/>
        <v>60</v>
      </c>
      <c r="I258" s="8" t="b">
        <v>0</v>
      </c>
      <c r="J258" s="2" t="s">
        <v>160</v>
      </c>
      <c r="K258" s="12">
        <f t="shared" si="21"/>
        <v>46181</v>
      </c>
      <c r="L258" s="12">
        <f t="shared" si="22"/>
        <v>46196</v>
      </c>
    </row>
    <row r="259" hidden="1">
      <c r="A259" s="4">
        <v>46169.0</v>
      </c>
      <c r="B259" s="2" t="s">
        <v>988</v>
      </c>
      <c r="C259" s="2" t="s">
        <v>1019</v>
      </c>
      <c r="D259" s="2" t="s">
        <v>159</v>
      </c>
      <c r="E259" s="2" t="s">
        <v>0</v>
      </c>
      <c r="F259" s="2">
        <v>60.0</v>
      </c>
      <c r="G259" s="2">
        <v>0.0</v>
      </c>
      <c r="H259" s="8">
        <f t="shared" si="8"/>
        <v>60</v>
      </c>
      <c r="I259" s="8" t="b">
        <v>0</v>
      </c>
      <c r="J259" s="2" t="s">
        <v>160</v>
      </c>
      <c r="K259" s="12">
        <f t="shared" si="21"/>
        <v>46184</v>
      </c>
      <c r="L259" s="12">
        <f t="shared" si="22"/>
        <v>46199</v>
      </c>
    </row>
    <row r="260" hidden="1">
      <c r="A260" s="4">
        <v>46181.0</v>
      </c>
      <c r="B260" s="2" t="s">
        <v>988</v>
      </c>
      <c r="C260" s="2" t="s">
        <v>1020</v>
      </c>
      <c r="D260" s="2" t="s">
        <v>159</v>
      </c>
      <c r="E260" s="2" t="s">
        <v>0</v>
      </c>
      <c r="F260" s="2">
        <v>120.0</v>
      </c>
      <c r="G260" s="2">
        <v>0.0</v>
      </c>
      <c r="H260" s="8">
        <f t="shared" si="8"/>
        <v>120</v>
      </c>
      <c r="I260" s="2" t="b">
        <v>0</v>
      </c>
      <c r="J260" s="2" t="s">
        <v>160</v>
      </c>
      <c r="K260" s="12">
        <f t="shared" si="21"/>
        <v>46196</v>
      </c>
      <c r="L260" s="12">
        <f t="shared" si="22"/>
        <v>46211</v>
      </c>
    </row>
    <row r="261" hidden="1">
      <c r="A261" s="4">
        <v>46185.0</v>
      </c>
      <c r="B261" s="2" t="s">
        <v>988</v>
      </c>
      <c r="C261" s="2" t="s">
        <v>1021</v>
      </c>
      <c r="D261" s="2" t="s">
        <v>159</v>
      </c>
      <c r="E261" s="2" t="s">
        <v>0</v>
      </c>
      <c r="F261" s="2">
        <v>300.0</v>
      </c>
      <c r="G261" s="2">
        <v>0.0</v>
      </c>
      <c r="H261" s="8">
        <f t="shared" si="8"/>
        <v>300</v>
      </c>
      <c r="I261" s="2" t="b">
        <v>0</v>
      </c>
      <c r="J261" s="2" t="s">
        <v>160</v>
      </c>
      <c r="K261" s="12">
        <f t="shared" si="21"/>
        <v>46200</v>
      </c>
      <c r="L261" s="12">
        <f t="shared" si="22"/>
        <v>46215</v>
      </c>
    </row>
    <row r="262" hidden="1">
      <c r="A262" s="4">
        <v>46143.0</v>
      </c>
      <c r="B262" s="2" t="s">
        <v>1022</v>
      </c>
      <c r="C262" s="2" t="s">
        <v>1023</v>
      </c>
      <c r="D262" s="2" t="s">
        <v>159</v>
      </c>
      <c r="E262" s="2">
        <v>0.0</v>
      </c>
      <c r="F262" s="2">
        <v>115.0</v>
      </c>
      <c r="G262" s="2">
        <v>0.0</v>
      </c>
      <c r="H262" s="8">
        <f t="shared" si="8"/>
        <v>115</v>
      </c>
      <c r="I262" s="8" t="b">
        <v>0</v>
      </c>
      <c r="J262" s="2" t="s">
        <v>160</v>
      </c>
      <c r="K262" s="12">
        <f t="shared" si="21"/>
        <v>46158</v>
      </c>
      <c r="L262" s="12">
        <f t="shared" si="22"/>
        <v>46173</v>
      </c>
    </row>
    <row r="263" hidden="1">
      <c r="A263" s="4">
        <v>46041.0</v>
      </c>
      <c r="B263" s="2" t="s">
        <v>1024</v>
      </c>
      <c r="C263" s="2" t="s">
        <v>1025</v>
      </c>
      <c r="D263" s="2" t="s">
        <v>159</v>
      </c>
      <c r="E263" s="2">
        <v>0.0</v>
      </c>
      <c r="F263" s="2">
        <v>45.0</v>
      </c>
      <c r="G263" s="2">
        <v>45.0</v>
      </c>
      <c r="H263" s="8">
        <f t="shared" si="8"/>
        <v>0</v>
      </c>
      <c r="I263" s="2" t="b">
        <v>1</v>
      </c>
      <c r="J263" s="2" t="s">
        <v>160</v>
      </c>
      <c r="K263" s="12">
        <f t="shared" si="21"/>
        <v>46056</v>
      </c>
      <c r="L263" s="12">
        <f t="shared" si="22"/>
        <v>46071</v>
      </c>
    </row>
    <row r="264" hidden="1">
      <c r="A264" s="4">
        <v>45994.0</v>
      </c>
      <c r="B264" s="2" t="s">
        <v>321</v>
      </c>
      <c r="C264" s="2" t="s">
        <v>322</v>
      </c>
      <c r="D264" s="2" t="s">
        <v>159</v>
      </c>
      <c r="E264" s="2">
        <v>0.0</v>
      </c>
      <c r="F264" s="2">
        <v>35.0</v>
      </c>
      <c r="G264" s="2">
        <v>35.0</v>
      </c>
      <c r="H264" s="8">
        <f t="shared" si="8"/>
        <v>0</v>
      </c>
      <c r="I264" s="2" t="b">
        <v>0</v>
      </c>
      <c r="J264" s="2" t="s">
        <v>160</v>
      </c>
      <c r="K264" s="12">
        <f t="shared" si="21"/>
        <v>46009</v>
      </c>
      <c r="L264" s="12">
        <f t="shared" si="22"/>
        <v>46024</v>
      </c>
    </row>
    <row r="265" hidden="1">
      <c r="A265" s="4">
        <v>45994.0</v>
      </c>
      <c r="B265" s="2" t="s">
        <v>321</v>
      </c>
      <c r="C265" s="2" t="s">
        <v>324</v>
      </c>
      <c r="D265" s="2" t="s">
        <v>159</v>
      </c>
      <c r="E265" s="2">
        <v>0.0</v>
      </c>
      <c r="F265" s="2">
        <v>50.0</v>
      </c>
      <c r="G265" s="2">
        <v>50.0</v>
      </c>
      <c r="H265" s="8">
        <f t="shared" si="8"/>
        <v>0</v>
      </c>
      <c r="I265" s="2" t="b">
        <v>0</v>
      </c>
      <c r="J265" s="2" t="s">
        <v>160</v>
      </c>
      <c r="K265" s="12">
        <f t="shared" si="21"/>
        <v>46009</v>
      </c>
      <c r="L265" s="12">
        <f t="shared" si="22"/>
        <v>46024</v>
      </c>
    </row>
    <row r="266" hidden="1">
      <c r="A266" s="4">
        <v>45997.0</v>
      </c>
      <c r="B266" s="2" t="s">
        <v>321</v>
      </c>
      <c r="C266" s="2" t="s">
        <v>1026</v>
      </c>
      <c r="D266" s="2" t="s">
        <v>159</v>
      </c>
      <c r="E266" s="2" t="s">
        <v>1027</v>
      </c>
      <c r="F266" s="2">
        <v>140.0</v>
      </c>
      <c r="G266" s="2">
        <v>140.0</v>
      </c>
      <c r="H266" s="8">
        <f t="shared" si="8"/>
        <v>0</v>
      </c>
      <c r="I266" s="2" t="b">
        <v>0</v>
      </c>
      <c r="J266" s="2" t="s">
        <v>160</v>
      </c>
      <c r="K266" s="12">
        <f t="shared" si="21"/>
        <v>46012</v>
      </c>
      <c r="L266" s="12">
        <f t="shared" si="22"/>
        <v>46027</v>
      </c>
    </row>
    <row r="267" hidden="1">
      <c r="A267" s="4">
        <v>46003.0</v>
      </c>
      <c r="B267" s="2" t="s">
        <v>321</v>
      </c>
      <c r="C267" s="2" t="s">
        <v>329</v>
      </c>
      <c r="D267" s="2" t="s">
        <v>159</v>
      </c>
      <c r="E267" s="2">
        <v>0.0</v>
      </c>
      <c r="F267" s="2">
        <v>75.0</v>
      </c>
      <c r="G267" s="2">
        <v>75.0</v>
      </c>
      <c r="H267" s="8">
        <f t="shared" si="8"/>
        <v>0</v>
      </c>
      <c r="I267" s="2" t="b">
        <v>0</v>
      </c>
      <c r="J267" s="2" t="s">
        <v>160</v>
      </c>
      <c r="K267" s="12">
        <f t="shared" si="21"/>
        <v>46018</v>
      </c>
      <c r="L267" s="12">
        <f t="shared" si="22"/>
        <v>46033</v>
      </c>
    </row>
    <row r="268" hidden="1">
      <c r="A268" s="4">
        <v>46003.0</v>
      </c>
      <c r="B268" s="2" t="s">
        <v>321</v>
      </c>
      <c r="C268" s="2" t="s">
        <v>331</v>
      </c>
      <c r="D268" s="2" t="s">
        <v>159</v>
      </c>
      <c r="E268" s="2">
        <v>0.0</v>
      </c>
      <c r="F268" s="2">
        <v>75.0</v>
      </c>
      <c r="G268" s="2">
        <v>75.0</v>
      </c>
      <c r="H268" s="8">
        <f t="shared" si="8"/>
        <v>0</v>
      </c>
      <c r="I268" s="2" t="b">
        <v>0</v>
      </c>
      <c r="J268" s="2" t="s">
        <v>160</v>
      </c>
      <c r="K268" s="12">
        <f t="shared" si="21"/>
        <v>46018</v>
      </c>
      <c r="L268" s="12">
        <f t="shared" si="22"/>
        <v>46033</v>
      </c>
    </row>
    <row r="269" hidden="1">
      <c r="A269" s="4">
        <v>46056.0</v>
      </c>
      <c r="B269" s="2" t="s">
        <v>321</v>
      </c>
      <c r="C269" s="2" t="s">
        <v>1028</v>
      </c>
      <c r="D269" s="2" t="s">
        <v>159</v>
      </c>
      <c r="E269" s="2">
        <v>0.0</v>
      </c>
      <c r="F269" s="2">
        <v>40.0</v>
      </c>
      <c r="G269" s="2">
        <v>40.0</v>
      </c>
      <c r="H269" s="8">
        <f t="shared" si="8"/>
        <v>0</v>
      </c>
      <c r="I269" s="2" t="b">
        <v>0</v>
      </c>
      <c r="J269" s="2" t="s">
        <v>160</v>
      </c>
      <c r="K269" s="12">
        <f t="shared" si="21"/>
        <v>46071</v>
      </c>
      <c r="L269" s="12">
        <f t="shared" si="22"/>
        <v>46086</v>
      </c>
    </row>
    <row r="270" hidden="1">
      <c r="A270" s="4">
        <v>46056.0</v>
      </c>
      <c r="B270" s="2" t="s">
        <v>321</v>
      </c>
      <c r="C270" s="2" t="s">
        <v>1029</v>
      </c>
      <c r="D270" s="2" t="s">
        <v>159</v>
      </c>
      <c r="E270" s="2">
        <v>0.0</v>
      </c>
      <c r="F270" s="2">
        <v>135.0</v>
      </c>
      <c r="G270" s="2">
        <v>135.0</v>
      </c>
      <c r="H270" s="8">
        <f t="shared" si="8"/>
        <v>0</v>
      </c>
      <c r="I270" s="2" t="b">
        <v>0</v>
      </c>
      <c r="J270" s="2" t="s">
        <v>160</v>
      </c>
      <c r="K270" s="12">
        <f t="shared" si="21"/>
        <v>46071</v>
      </c>
      <c r="L270" s="12">
        <f t="shared" si="22"/>
        <v>46086</v>
      </c>
    </row>
    <row r="271" hidden="1">
      <c r="A271" s="4">
        <v>46085.0</v>
      </c>
      <c r="B271" s="2" t="s">
        <v>321</v>
      </c>
      <c r="C271" s="2" t="s">
        <v>1030</v>
      </c>
      <c r="D271" s="2" t="s">
        <v>159</v>
      </c>
      <c r="E271" s="2">
        <v>0.0</v>
      </c>
      <c r="F271" s="2">
        <v>65.0</v>
      </c>
      <c r="G271" s="2">
        <v>65.0</v>
      </c>
      <c r="H271" s="8">
        <f t="shared" si="8"/>
        <v>0</v>
      </c>
      <c r="I271" s="2" t="b">
        <v>0</v>
      </c>
      <c r="J271" s="2" t="s">
        <v>160</v>
      </c>
      <c r="K271" s="12">
        <f t="shared" si="21"/>
        <v>46100</v>
      </c>
      <c r="L271" s="12">
        <f t="shared" si="22"/>
        <v>46115</v>
      </c>
    </row>
    <row r="272" hidden="1">
      <c r="A272" s="4">
        <v>46085.0</v>
      </c>
      <c r="B272" s="2" t="s">
        <v>321</v>
      </c>
      <c r="C272" s="2" t="s">
        <v>1030</v>
      </c>
      <c r="D272" s="2" t="s">
        <v>159</v>
      </c>
      <c r="E272" s="2">
        <v>0.0</v>
      </c>
      <c r="F272" s="2">
        <v>65.0</v>
      </c>
      <c r="G272" s="2">
        <v>65.0</v>
      </c>
      <c r="H272" s="8">
        <f t="shared" si="8"/>
        <v>0</v>
      </c>
      <c r="I272" s="2" t="b">
        <v>0</v>
      </c>
      <c r="J272" s="2" t="s">
        <v>160</v>
      </c>
      <c r="K272" s="12">
        <f t="shared" si="21"/>
        <v>46100</v>
      </c>
      <c r="L272" s="12">
        <f t="shared" si="22"/>
        <v>46115</v>
      </c>
    </row>
    <row r="273" hidden="1">
      <c r="A273" s="4">
        <v>46100.0</v>
      </c>
      <c r="B273" s="2" t="s">
        <v>1031</v>
      </c>
      <c r="C273" s="2" t="s">
        <v>1032</v>
      </c>
      <c r="D273" s="2" t="s">
        <v>159</v>
      </c>
      <c r="E273" s="2">
        <v>0.0</v>
      </c>
      <c r="F273" s="2">
        <v>80.0</v>
      </c>
      <c r="G273" s="2">
        <v>80.0</v>
      </c>
      <c r="H273" s="8">
        <f t="shared" si="8"/>
        <v>0</v>
      </c>
      <c r="I273" s="2" t="b">
        <v>1</v>
      </c>
      <c r="J273" s="2" t="s">
        <v>160</v>
      </c>
      <c r="K273" s="12">
        <f t="shared" si="21"/>
        <v>46115</v>
      </c>
      <c r="L273" s="12">
        <f t="shared" si="22"/>
        <v>46130</v>
      </c>
    </row>
    <row r="274" hidden="1">
      <c r="A274" s="4">
        <v>45914.0</v>
      </c>
      <c r="B274" s="2" t="s">
        <v>134</v>
      </c>
      <c r="C274" s="2" t="s">
        <v>333</v>
      </c>
      <c r="D274" s="2" t="s">
        <v>91</v>
      </c>
      <c r="E274" s="2">
        <v>0.0</v>
      </c>
      <c r="F274" s="2">
        <v>130.0</v>
      </c>
      <c r="G274" s="2">
        <v>130.0</v>
      </c>
      <c r="H274" s="8">
        <f t="shared" si="8"/>
        <v>0</v>
      </c>
      <c r="I274" s="2" t="b">
        <v>1</v>
      </c>
      <c r="J274" s="2" t="s">
        <v>160</v>
      </c>
      <c r="K274" s="12">
        <f t="shared" si="21"/>
        <v>45929</v>
      </c>
      <c r="L274" s="12">
        <f t="shared" si="22"/>
        <v>45944</v>
      </c>
    </row>
    <row r="275" hidden="1">
      <c r="A275" s="4">
        <v>45914.0</v>
      </c>
      <c r="B275" s="2" t="s">
        <v>134</v>
      </c>
      <c r="C275" s="2" t="s">
        <v>332</v>
      </c>
      <c r="D275" s="2" t="s">
        <v>159</v>
      </c>
      <c r="E275" s="2">
        <v>0.0</v>
      </c>
      <c r="F275" s="2">
        <v>90.0</v>
      </c>
      <c r="G275" s="2">
        <v>90.0</v>
      </c>
      <c r="H275" s="8">
        <f t="shared" si="8"/>
        <v>0</v>
      </c>
      <c r="I275" s="2" t="b">
        <v>1</v>
      </c>
      <c r="J275" s="2" t="s">
        <v>160</v>
      </c>
      <c r="K275" s="12">
        <f t="shared" si="21"/>
        <v>45929</v>
      </c>
      <c r="L275" s="12">
        <f t="shared" si="22"/>
        <v>45944</v>
      </c>
    </row>
    <row r="276" hidden="1">
      <c r="A276" s="4">
        <v>45915.0</v>
      </c>
      <c r="B276" s="2" t="s">
        <v>134</v>
      </c>
      <c r="C276" s="2" t="s">
        <v>334</v>
      </c>
      <c r="D276" s="2" t="s">
        <v>159</v>
      </c>
      <c r="E276" s="2">
        <v>0.0</v>
      </c>
      <c r="F276" s="2">
        <v>21.0</v>
      </c>
      <c r="G276" s="2">
        <v>21.0</v>
      </c>
      <c r="H276" s="8">
        <f t="shared" si="8"/>
        <v>0</v>
      </c>
      <c r="I276" s="2" t="b">
        <v>1</v>
      </c>
      <c r="J276" s="2" t="s">
        <v>160</v>
      </c>
      <c r="K276" s="12">
        <f t="shared" si="21"/>
        <v>45930</v>
      </c>
      <c r="L276" s="12">
        <f t="shared" si="22"/>
        <v>45945</v>
      </c>
    </row>
    <row r="277" hidden="1">
      <c r="A277" s="4">
        <v>45932.0</v>
      </c>
      <c r="B277" s="2" t="s">
        <v>134</v>
      </c>
      <c r="C277" s="2" t="s">
        <v>337</v>
      </c>
      <c r="D277" s="2" t="s">
        <v>115</v>
      </c>
      <c r="E277" s="2">
        <v>165.0</v>
      </c>
      <c r="F277" s="2">
        <v>45.0</v>
      </c>
      <c r="G277" s="2">
        <v>45.0</v>
      </c>
      <c r="H277" s="8">
        <f t="shared" si="8"/>
        <v>0</v>
      </c>
      <c r="I277" s="2" t="b">
        <v>1</v>
      </c>
      <c r="J277" s="2" t="s">
        <v>160</v>
      </c>
      <c r="K277" s="12">
        <f t="shared" si="21"/>
        <v>45947</v>
      </c>
      <c r="L277" s="12">
        <f t="shared" si="22"/>
        <v>45962</v>
      </c>
    </row>
    <row r="278" hidden="1">
      <c r="A278" s="4">
        <v>45932.0</v>
      </c>
      <c r="B278" s="2" t="s">
        <v>134</v>
      </c>
      <c r="C278" s="2" t="s">
        <v>335</v>
      </c>
      <c r="D278" s="2" t="s">
        <v>336</v>
      </c>
      <c r="E278" s="2">
        <v>165.0</v>
      </c>
      <c r="F278" s="2">
        <v>45.0</v>
      </c>
      <c r="G278" s="2">
        <v>45.0</v>
      </c>
      <c r="H278" s="8">
        <f t="shared" si="8"/>
        <v>0</v>
      </c>
      <c r="I278" s="2" t="b">
        <v>1</v>
      </c>
      <c r="J278" s="2" t="s">
        <v>160</v>
      </c>
      <c r="K278" s="12">
        <f t="shared" si="21"/>
        <v>45947</v>
      </c>
      <c r="L278" s="12">
        <f t="shared" si="22"/>
        <v>45962</v>
      </c>
    </row>
    <row r="279" hidden="1">
      <c r="A279" s="4">
        <v>45936.0</v>
      </c>
      <c r="B279" s="2" t="s">
        <v>134</v>
      </c>
      <c r="C279" s="2" t="s">
        <v>352</v>
      </c>
      <c r="D279" s="2" t="s">
        <v>115</v>
      </c>
      <c r="E279" s="2">
        <v>172.0</v>
      </c>
      <c r="F279" s="2">
        <v>260.0</v>
      </c>
      <c r="G279" s="2">
        <v>260.0</v>
      </c>
      <c r="H279" s="8">
        <f t="shared" si="8"/>
        <v>0</v>
      </c>
      <c r="I279" s="2" t="b">
        <v>1</v>
      </c>
      <c r="J279" s="2" t="s">
        <v>160</v>
      </c>
      <c r="K279" s="12">
        <f t="shared" si="21"/>
        <v>45951</v>
      </c>
      <c r="L279" s="12">
        <f t="shared" si="22"/>
        <v>45966</v>
      </c>
    </row>
    <row r="280" hidden="1">
      <c r="A280" s="4">
        <v>45941.0</v>
      </c>
      <c r="B280" s="2" t="s">
        <v>134</v>
      </c>
      <c r="C280" s="2" t="s">
        <v>355</v>
      </c>
      <c r="D280" s="2" t="s">
        <v>159</v>
      </c>
      <c r="E280" s="2">
        <v>0.0</v>
      </c>
      <c r="F280" s="2">
        <v>40.0</v>
      </c>
      <c r="G280" s="2">
        <v>40.0</v>
      </c>
      <c r="H280" s="8">
        <f t="shared" si="8"/>
        <v>0</v>
      </c>
      <c r="I280" s="2" t="b">
        <v>1</v>
      </c>
      <c r="J280" s="2" t="s">
        <v>160</v>
      </c>
      <c r="K280" s="12">
        <f t="shared" si="21"/>
        <v>45956</v>
      </c>
      <c r="L280" s="12">
        <f t="shared" si="22"/>
        <v>45971</v>
      </c>
    </row>
    <row r="281" hidden="1">
      <c r="A281" s="4">
        <v>45951.0</v>
      </c>
      <c r="B281" s="2" t="s">
        <v>134</v>
      </c>
      <c r="C281" s="2" t="s">
        <v>205</v>
      </c>
      <c r="D281" s="2" t="s">
        <v>115</v>
      </c>
      <c r="E281" s="2">
        <v>165.0</v>
      </c>
      <c r="F281" s="2">
        <v>45.0</v>
      </c>
      <c r="G281" s="2">
        <v>45.0</v>
      </c>
      <c r="H281" s="8">
        <f t="shared" si="8"/>
        <v>0</v>
      </c>
      <c r="I281" s="2" t="b">
        <v>1</v>
      </c>
      <c r="J281" s="2" t="s">
        <v>160</v>
      </c>
      <c r="K281" s="12">
        <f t="shared" si="21"/>
        <v>45966</v>
      </c>
      <c r="L281" s="12">
        <f t="shared" si="22"/>
        <v>45981</v>
      </c>
    </row>
    <row r="282" hidden="1">
      <c r="A282" s="4">
        <v>45956.0</v>
      </c>
      <c r="B282" s="2" t="s">
        <v>134</v>
      </c>
      <c r="C282" s="2" t="s">
        <v>360</v>
      </c>
      <c r="D282" s="2" t="s">
        <v>159</v>
      </c>
      <c r="E282" s="2">
        <v>0.0</v>
      </c>
      <c r="F282" s="2">
        <v>38.0</v>
      </c>
      <c r="G282" s="2">
        <v>38.0</v>
      </c>
      <c r="H282" s="8">
        <f t="shared" si="8"/>
        <v>0</v>
      </c>
      <c r="I282" s="2" t="b">
        <v>1</v>
      </c>
      <c r="J282" s="2" t="s">
        <v>160</v>
      </c>
      <c r="K282" s="12">
        <f t="shared" si="21"/>
        <v>45971</v>
      </c>
      <c r="L282" s="12">
        <f t="shared" si="22"/>
        <v>45986</v>
      </c>
    </row>
    <row r="283" hidden="1">
      <c r="A283" s="4">
        <v>45972.0</v>
      </c>
      <c r="B283" s="2" t="s">
        <v>134</v>
      </c>
      <c r="C283" s="2" t="s">
        <v>362</v>
      </c>
      <c r="D283" s="2" t="s">
        <v>159</v>
      </c>
      <c r="E283" s="2">
        <v>0.0</v>
      </c>
      <c r="F283" s="2">
        <v>15.0</v>
      </c>
      <c r="G283" s="2">
        <v>15.0</v>
      </c>
      <c r="H283" s="8">
        <f t="shared" si="8"/>
        <v>0</v>
      </c>
      <c r="I283" s="2" t="b">
        <v>1</v>
      </c>
      <c r="J283" s="2" t="s">
        <v>160</v>
      </c>
      <c r="K283" s="12">
        <f t="shared" si="21"/>
        <v>45987</v>
      </c>
      <c r="L283" s="12">
        <f t="shared" si="22"/>
        <v>46002</v>
      </c>
    </row>
    <row r="284" hidden="1">
      <c r="A284" s="4">
        <v>46087.0</v>
      </c>
      <c r="B284" s="2" t="s">
        <v>1033</v>
      </c>
      <c r="C284" s="2" t="s">
        <v>1034</v>
      </c>
      <c r="D284" s="2" t="s">
        <v>159</v>
      </c>
      <c r="E284" s="2">
        <v>0.0</v>
      </c>
      <c r="F284" s="2">
        <v>75.0</v>
      </c>
      <c r="G284" s="2">
        <v>75.0</v>
      </c>
      <c r="H284" s="8">
        <f t="shared" si="8"/>
        <v>0</v>
      </c>
      <c r="I284" s="2" t="b">
        <v>1</v>
      </c>
      <c r="J284" s="2" t="s">
        <v>160</v>
      </c>
      <c r="K284" s="12">
        <f t="shared" si="21"/>
        <v>46102</v>
      </c>
      <c r="L284" s="12">
        <f t="shared" si="22"/>
        <v>46117</v>
      </c>
    </row>
    <row r="285" hidden="1">
      <c r="A285" s="4">
        <v>46012.0</v>
      </c>
      <c r="B285" s="2" t="s">
        <v>363</v>
      </c>
      <c r="C285" s="2" t="s">
        <v>364</v>
      </c>
      <c r="D285" s="2" t="s">
        <v>159</v>
      </c>
      <c r="E285" s="2">
        <v>0.0</v>
      </c>
      <c r="F285" s="2">
        <v>30.0</v>
      </c>
      <c r="G285" s="2">
        <v>30.0</v>
      </c>
      <c r="H285" s="8">
        <f t="shared" si="8"/>
        <v>0</v>
      </c>
      <c r="I285" s="2" t="b">
        <v>1</v>
      </c>
      <c r="J285" s="2" t="s">
        <v>160</v>
      </c>
      <c r="K285" s="12">
        <f t="shared" si="21"/>
        <v>46027</v>
      </c>
      <c r="L285" s="12">
        <f t="shared" si="22"/>
        <v>46042</v>
      </c>
    </row>
    <row r="286" hidden="1">
      <c r="A286" s="4">
        <v>46140.0</v>
      </c>
      <c r="B286" s="2" t="s">
        <v>1035</v>
      </c>
      <c r="C286" s="2" t="s">
        <v>1036</v>
      </c>
      <c r="D286" s="2" t="s">
        <v>159</v>
      </c>
      <c r="E286" s="2" t="s">
        <v>745</v>
      </c>
      <c r="F286" s="2">
        <v>80.0</v>
      </c>
      <c r="G286" s="2">
        <v>80.0</v>
      </c>
      <c r="H286" s="8">
        <f t="shared" si="8"/>
        <v>0</v>
      </c>
      <c r="I286" s="2" t="b">
        <v>1</v>
      </c>
      <c r="J286" s="2" t="s">
        <v>160</v>
      </c>
      <c r="K286" s="12">
        <f t="shared" si="21"/>
        <v>46155</v>
      </c>
      <c r="L286" s="12">
        <f t="shared" si="22"/>
        <v>46170</v>
      </c>
    </row>
    <row r="287" hidden="1">
      <c r="A287" s="4">
        <v>46140.0</v>
      </c>
      <c r="B287" s="2" t="s">
        <v>1035</v>
      </c>
      <c r="C287" s="2" t="s">
        <v>1037</v>
      </c>
      <c r="D287" s="2" t="s">
        <v>159</v>
      </c>
      <c r="E287" s="2" t="s">
        <v>745</v>
      </c>
      <c r="F287" s="2">
        <v>80.0</v>
      </c>
      <c r="G287" s="2">
        <v>80.0</v>
      </c>
      <c r="H287" s="8">
        <f t="shared" si="8"/>
        <v>0</v>
      </c>
      <c r="I287" s="2" t="b">
        <v>1</v>
      </c>
      <c r="J287" s="2" t="s">
        <v>160</v>
      </c>
      <c r="K287" s="12">
        <f t="shared" si="21"/>
        <v>46155</v>
      </c>
      <c r="L287" s="12">
        <f t="shared" si="22"/>
        <v>46170</v>
      </c>
    </row>
    <row r="288" hidden="1">
      <c r="A288" s="4">
        <v>46140.0</v>
      </c>
      <c r="B288" s="2" t="s">
        <v>1035</v>
      </c>
      <c r="C288" s="2" t="s">
        <v>1038</v>
      </c>
      <c r="D288" s="2" t="s">
        <v>159</v>
      </c>
      <c r="E288" s="2" t="s">
        <v>745</v>
      </c>
      <c r="F288" s="2">
        <v>80.0</v>
      </c>
      <c r="G288" s="2">
        <v>80.0</v>
      </c>
      <c r="H288" s="8">
        <f t="shared" si="8"/>
        <v>0</v>
      </c>
      <c r="I288" s="2" t="b">
        <v>1</v>
      </c>
      <c r="J288" s="2" t="s">
        <v>160</v>
      </c>
      <c r="K288" s="12">
        <f t="shared" si="21"/>
        <v>46155</v>
      </c>
      <c r="L288" s="12">
        <f t="shared" si="22"/>
        <v>46170</v>
      </c>
    </row>
    <row r="289" hidden="1">
      <c r="A289" s="4">
        <v>46190.0</v>
      </c>
      <c r="B289" s="2" t="s">
        <v>1039</v>
      </c>
      <c r="C289" s="2" t="s">
        <v>1040</v>
      </c>
      <c r="D289" s="2" t="s">
        <v>159</v>
      </c>
      <c r="E289" s="2" t="s">
        <v>138</v>
      </c>
      <c r="F289" s="2">
        <v>41.0</v>
      </c>
      <c r="G289" s="2">
        <v>41.0</v>
      </c>
      <c r="H289" s="8">
        <f t="shared" si="8"/>
        <v>0</v>
      </c>
      <c r="I289" s="2" t="b">
        <v>0</v>
      </c>
      <c r="J289" s="2" t="s">
        <v>160</v>
      </c>
      <c r="K289" s="12">
        <f t="shared" si="21"/>
        <v>46205</v>
      </c>
      <c r="L289" s="12">
        <f t="shared" si="22"/>
        <v>46220</v>
      </c>
    </row>
    <row r="290" hidden="1">
      <c r="A290" s="4">
        <v>46181.0</v>
      </c>
      <c r="B290" s="2" t="s">
        <v>1041</v>
      </c>
      <c r="C290" s="2" t="s">
        <v>300</v>
      </c>
      <c r="D290" s="2" t="s">
        <v>159</v>
      </c>
      <c r="E290" s="2" t="s">
        <v>138</v>
      </c>
      <c r="F290" s="2">
        <v>45.0</v>
      </c>
      <c r="G290" s="2">
        <v>10.0</v>
      </c>
      <c r="H290" s="8">
        <f t="shared" si="8"/>
        <v>35</v>
      </c>
      <c r="I290" s="2" t="b">
        <v>0</v>
      </c>
      <c r="J290" s="2" t="s">
        <v>160</v>
      </c>
      <c r="K290" s="12">
        <f t="shared" si="21"/>
        <v>46196</v>
      </c>
      <c r="L290" s="12">
        <f t="shared" si="22"/>
        <v>46211</v>
      </c>
    </row>
    <row r="291" hidden="1">
      <c r="A291" s="4">
        <v>46012.0</v>
      </c>
      <c r="B291" s="2" t="s">
        <v>366</v>
      </c>
      <c r="C291" s="2" t="s">
        <v>367</v>
      </c>
      <c r="D291" s="2" t="s">
        <v>159</v>
      </c>
      <c r="E291" s="2">
        <v>0.0</v>
      </c>
      <c r="F291" s="2">
        <v>90.0</v>
      </c>
      <c r="G291" s="2">
        <v>90.0</v>
      </c>
      <c r="H291" s="8">
        <f t="shared" si="8"/>
        <v>0</v>
      </c>
      <c r="I291" s="2" t="b">
        <v>1</v>
      </c>
      <c r="J291" s="2" t="s">
        <v>160</v>
      </c>
      <c r="K291" s="12">
        <f t="shared" si="21"/>
        <v>46027</v>
      </c>
      <c r="L291" s="12">
        <f t="shared" si="22"/>
        <v>46042</v>
      </c>
    </row>
    <row r="292" hidden="1">
      <c r="A292" s="4">
        <v>46077.0</v>
      </c>
      <c r="B292" s="2" t="s">
        <v>366</v>
      </c>
      <c r="C292" s="2" t="s">
        <v>1042</v>
      </c>
      <c r="D292" s="2" t="s">
        <v>159</v>
      </c>
      <c r="E292" s="2">
        <v>0.0</v>
      </c>
      <c r="F292" s="2">
        <v>50.0</v>
      </c>
      <c r="G292" s="2">
        <v>50.0</v>
      </c>
      <c r="H292" s="8">
        <f t="shared" si="8"/>
        <v>0</v>
      </c>
      <c r="I292" s="2" t="b">
        <v>1</v>
      </c>
      <c r="J292" s="2" t="s">
        <v>160</v>
      </c>
      <c r="K292" s="12">
        <f t="shared" si="21"/>
        <v>46092</v>
      </c>
      <c r="L292" s="12">
        <f t="shared" si="22"/>
        <v>46107</v>
      </c>
    </row>
    <row r="293" hidden="1">
      <c r="A293" s="4">
        <v>46077.0</v>
      </c>
      <c r="B293" s="2" t="s">
        <v>366</v>
      </c>
      <c r="C293" s="2" t="s">
        <v>1043</v>
      </c>
      <c r="D293" s="2" t="s">
        <v>159</v>
      </c>
      <c r="E293" s="2">
        <v>0.0</v>
      </c>
      <c r="F293" s="2">
        <v>50.0</v>
      </c>
      <c r="G293" s="2">
        <v>50.0</v>
      </c>
      <c r="H293" s="8">
        <f t="shared" si="8"/>
        <v>0</v>
      </c>
      <c r="I293" s="2" t="b">
        <v>1</v>
      </c>
      <c r="J293" s="2" t="s">
        <v>160</v>
      </c>
      <c r="K293" s="12">
        <f t="shared" si="21"/>
        <v>46092</v>
      </c>
      <c r="L293" s="12">
        <f t="shared" si="22"/>
        <v>46107</v>
      </c>
    </row>
    <row r="294" hidden="1">
      <c r="A294" s="4">
        <v>46077.0</v>
      </c>
      <c r="B294" s="2" t="s">
        <v>366</v>
      </c>
      <c r="C294" s="2" t="s">
        <v>1044</v>
      </c>
      <c r="D294" s="2" t="s">
        <v>159</v>
      </c>
      <c r="E294" s="2">
        <v>0.0</v>
      </c>
      <c r="F294" s="2">
        <v>48.0</v>
      </c>
      <c r="G294" s="2">
        <v>48.0</v>
      </c>
      <c r="H294" s="8">
        <f t="shared" si="8"/>
        <v>0</v>
      </c>
      <c r="I294" s="2" t="b">
        <v>1</v>
      </c>
      <c r="J294" s="2" t="s">
        <v>160</v>
      </c>
      <c r="K294" s="12">
        <f t="shared" si="21"/>
        <v>46092</v>
      </c>
      <c r="L294" s="12">
        <f t="shared" si="22"/>
        <v>46107</v>
      </c>
    </row>
    <row r="295" hidden="1">
      <c r="A295" s="4">
        <v>46098.0</v>
      </c>
      <c r="B295" s="2" t="s">
        <v>366</v>
      </c>
      <c r="C295" s="2" t="s">
        <v>1045</v>
      </c>
      <c r="D295" s="2" t="s">
        <v>159</v>
      </c>
      <c r="E295" s="2">
        <v>0.0</v>
      </c>
      <c r="F295" s="2">
        <v>65.0</v>
      </c>
      <c r="G295" s="2">
        <v>65.0</v>
      </c>
      <c r="H295" s="8">
        <f t="shared" si="8"/>
        <v>0</v>
      </c>
      <c r="I295" s="2" t="b">
        <v>1</v>
      </c>
      <c r="J295" s="2" t="s">
        <v>160</v>
      </c>
      <c r="K295" s="12">
        <f t="shared" si="21"/>
        <v>46113</v>
      </c>
      <c r="L295" s="12">
        <f t="shared" si="22"/>
        <v>46128</v>
      </c>
    </row>
    <row r="296" hidden="1">
      <c r="A296" s="4">
        <v>46100.0</v>
      </c>
      <c r="B296" s="2" t="s">
        <v>366</v>
      </c>
      <c r="C296" s="2" t="s">
        <v>1046</v>
      </c>
      <c r="D296" s="2" t="s">
        <v>126</v>
      </c>
      <c r="E296" s="2">
        <v>9.0</v>
      </c>
      <c r="F296" s="2">
        <v>230.0</v>
      </c>
      <c r="G296" s="2">
        <v>230.0</v>
      </c>
      <c r="H296" s="8">
        <f t="shared" si="8"/>
        <v>0</v>
      </c>
      <c r="I296" s="2" t="b">
        <v>1</v>
      </c>
      <c r="J296" s="2" t="s">
        <v>160</v>
      </c>
      <c r="K296" s="12">
        <f t="shared" si="21"/>
        <v>46115</v>
      </c>
      <c r="L296" s="12">
        <f t="shared" si="22"/>
        <v>46130</v>
      </c>
    </row>
    <row r="297" hidden="1">
      <c r="A297" s="4">
        <v>46101.0</v>
      </c>
      <c r="B297" s="2" t="s">
        <v>366</v>
      </c>
      <c r="C297" s="2" t="s">
        <v>1047</v>
      </c>
      <c r="D297" s="2" t="s">
        <v>159</v>
      </c>
      <c r="E297" s="2">
        <v>0.0</v>
      </c>
      <c r="F297" s="2">
        <v>65.0</v>
      </c>
      <c r="G297" s="2">
        <v>65.0</v>
      </c>
      <c r="H297" s="8">
        <f t="shared" si="8"/>
        <v>0</v>
      </c>
      <c r="I297" s="2" t="b">
        <v>1</v>
      </c>
      <c r="J297" s="2" t="s">
        <v>160</v>
      </c>
      <c r="K297" s="12">
        <f t="shared" si="21"/>
        <v>46116</v>
      </c>
      <c r="L297" s="12">
        <f t="shared" si="22"/>
        <v>46131</v>
      </c>
    </row>
    <row r="298" hidden="1">
      <c r="A298" s="4">
        <v>46102.0</v>
      </c>
      <c r="B298" s="2" t="s">
        <v>366</v>
      </c>
      <c r="C298" s="2" t="s">
        <v>1048</v>
      </c>
      <c r="D298" s="2" t="s">
        <v>159</v>
      </c>
      <c r="E298" s="2">
        <v>0.0</v>
      </c>
      <c r="F298" s="2">
        <v>30.0</v>
      </c>
      <c r="G298" s="2">
        <v>30.0</v>
      </c>
      <c r="H298" s="8">
        <f t="shared" si="8"/>
        <v>0</v>
      </c>
      <c r="I298" s="2" t="b">
        <v>1</v>
      </c>
      <c r="J298" s="2" t="s">
        <v>160</v>
      </c>
      <c r="K298" s="12">
        <f t="shared" si="21"/>
        <v>46117</v>
      </c>
      <c r="L298" s="12">
        <f t="shared" si="22"/>
        <v>46132</v>
      </c>
    </row>
    <row r="299" hidden="1">
      <c r="A299" s="4">
        <v>46102.0</v>
      </c>
      <c r="B299" s="2" t="s">
        <v>366</v>
      </c>
      <c r="C299" s="2" t="s">
        <v>1049</v>
      </c>
      <c r="D299" s="2" t="s">
        <v>159</v>
      </c>
      <c r="E299" s="2">
        <v>0.0</v>
      </c>
      <c r="F299" s="2">
        <v>30.0</v>
      </c>
      <c r="G299" s="2">
        <v>30.0</v>
      </c>
      <c r="H299" s="8">
        <f t="shared" si="8"/>
        <v>0</v>
      </c>
      <c r="I299" s="2" t="b">
        <v>1</v>
      </c>
      <c r="J299" s="2" t="s">
        <v>160</v>
      </c>
      <c r="K299" s="12">
        <f t="shared" si="21"/>
        <v>46117</v>
      </c>
      <c r="L299" s="12">
        <f t="shared" si="22"/>
        <v>46132</v>
      </c>
    </row>
    <row r="300" hidden="1">
      <c r="A300" s="4">
        <v>46107.0</v>
      </c>
      <c r="B300" s="2" t="s">
        <v>366</v>
      </c>
      <c r="C300" s="2" t="s">
        <v>1050</v>
      </c>
      <c r="D300" s="2" t="s">
        <v>159</v>
      </c>
      <c r="E300" s="2">
        <v>0.0</v>
      </c>
      <c r="F300" s="2">
        <v>15.0</v>
      </c>
      <c r="G300" s="2">
        <v>15.0</v>
      </c>
      <c r="H300" s="8">
        <f t="shared" si="8"/>
        <v>0</v>
      </c>
      <c r="I300" s="2" t="b">
        <v>1</v>
      </c>
      <c r="J300" s="2" t="s">
        <v>160</v>
      </c>
      <c r="K300" s="12">
        <f t="shared" si="21"/>
        <v>46122</v>
      </c>
      <c r="L300" s="12">
        <f t="shared" si="22"/>
        <v>46137</v>
      </c>
    </row>
    <row r="301" hidden="1">
      <c r="A301" s="4">
        <v>46124.0</v>
      </c>
      <c r="B301" s="2" t="s">
        <v>366</v>
      </c>
      <c r="C301" s="2" t="s">
        <v>1051</v>
      </c>
      <c r="D301" s="2" t="s">
        <v>159</v>
      </c>
      <c r="E301" s="2" t="s">
        <v>745</v>
      </c>
      <c r="F301" s="2">
        <v>15.0</v>
      </c>
      <c r="G301" s="2">
        <v>15.0</v>
      </c>
      <c r="H301" s="8">
        <f t="shared" si="8"/>
        <v>0</v>
      </c>
      <c r="I301" s="2" t="b">
        <v>1</v>
      </c>
      <c r="J301" s="2" t="s">
        <v>160</v>
      </c>
      <c r="K301" s="12">
        <f t="shared" si="21"/>
        <v>46139</v>
      </c>
      <c r="L301" s="12">
        <f t="shared" si="22"/>
        <v>46154</v>
      </c>
      <c r="M301" s="2" t="b">
        <v>0</v>
      </c>
    </row>
    <row r="302" hidden="1">
      <c r="A302" s="4">
        <v>46143.0</v>
      </c>
      <c r="B302" s="2" t="s">
        <v>366</v>
      </c>
      <c r="C302" s="2" t="s">
        <v>1052</v>
      </c>
      <c r="D302" s="2" t="s">
        <v>159</v>
      </c>
      <c r="E302" s="2" t="s">
        <v>1053</v>
      </c>
      <c r="F302" s="2">
        <v>50.0</v>
      </c>
      <c r="G302" s="2">
        <v>50.0</v>
      </c>
      <c r="H302" s="8">
        <f t="shared" si="8"/>
        <v>0</v>
      </c>
      <c r="I302" s="2" t="b">
        <v>1</v>
      </c>
      <c r="J302" s="2" t="s">
        <v>160</v>
      </c>
      <c r="K302" s="12">
        <f t="shared" si="21"/>
        <v>46158</v>
      </c>
      <c r="L302" s="12">
        <f t="shared" si="22"/>
        <v>46173</v>
      </c>
      <c r="M302" s="2" t="b">
        <v>0</v>
      </c>
    </row>
    <row r="303" hidden="1">
      <c r="A303" s="4">
        <v>46146.0</v>
      </c>
      <c r="B303" s="2" t="s">
        <v>366</v>
      </c>
      <c r="C303" s="2" t="s">
        <v>1054</v>
      </c>
      <c r="D303" s="2" t="s">
        <v>159</v>
      </c>
      <c r="E303" s="2">
        <v>0.0</v>
      </c>
      <c r="F303" s="2">
        <v>42.0</v>
      </c>
      <c r="G303" s="2">
        <v>42.0</v>
      </c>
      <c r="H303" s="8">
        <f t="shared" si="8"/>
        <v>0</v>
      </c>
      <c r="I303" s="8" t="b">
        <v>0</v>
      </c>
      <c r="J303" s="2" t="s">
        <v>160</v>
      </c>
      <c r="K303" s="12">
        <f t="shared" si="21"/>
        <v>46161</v>
      </c>
      <c r="L303" s="12">
        <f t="shared" si="22"/>
        <v>46176</v>
      </c>
      <c r="M303" s="8">
        <f>K303-L303</f>
        <v>-15</v>
      </c>
    </row>
    <row r="304" hidden="1">
      <c r="A304" s="4">
        <v>46180.0</v>
      </c>
      <c r="B304" s="2" t="s">
        <v>366</v>
      </c>
      <c r="C304" s="2" t="s">
        <v>1055</v>
      </c>
      <c r="D304" s="2" t="s">
        <v>159</v>
      </c>
      <c r="E304" s="2" t="s">
        <v>138</v>
      </c>
      <c r="F304" s="2">
        <v>80.0</v>
      </c>
      <c r="G304" s="2">
        <v>80.0</v>
      </c>
      <c r="H304" s="8">
        <f t="shared" si="8"/>
        <v>0</v>
      </c>
      <c r="I304" s="2" t="b">
        <v>0</v>
      </c>
      <c r="J304" s="2" t="s">
        <v>160</v>
      </c>
      <c r="K304" s="12">
        <f t="shared" si="21"/>
        <v>46195</v>
      </c>
      <c r="L304" s="12">
        <f t="shared" si="22"/>
        <v>46210</v>
      </c>
    </row>
    <row r="305" hidden="1">
      <c r="A305" s="4">
        <v>46190.0</v>
      </c>
      <c r="B305" s="2" t="s">
        <v>366</v>
      </c>
      <c r="C305" s="2" t="s">
        <v>1056</v>
      </c>
      <c r="D305" s="2" t="s">
        <v>159</v>
      </c>
      <c r="E305" s="2" t="s">
        <v>138</v>
      </c>
      <c r="F305" s="2">
        <v>27.0</v>
      </c>
      <c r="G305" s="2">
        <v>27.0</v>
      </c>
      <c r="H305" s="8">
        <f t="shared" si="8"/>
        <v>0</v>
      </c>
      <c r="I305" s="2" t="b">
        <v>0</v>
      </c>
      <c r="J305" s="2" t="s">
        <v>160</v>
      </c>
      <c r="K305" s="12">
        <f t="shared" si="21"/>
        <v>46205</v>
      </c>
      <c r="L305" s="12">
        <f t="shared" si="22"/>
        <v>46220</v>
      </c>
    </row>
    <row r="306" hidden="1">
      <c r="A306" s="4">
        <v>45929.0</v>
      </c>
      <c r="B306" s="2" t="s">
        <v>208</v>
      </c>
      <c r="C306" s="2" t="s">
        <v>374</v>
      </c>
      <c r="D306" s="2" t="s">
        <v>113</v>
      </c>
      <c r="E306" s="2">
        <v>0.0</v>
      </c>
      <c r="F306" s="2">
        <v>60.0</v>
      </c>
      <c r="G306" s="2">
        <v>60.0</v>
      </c>
      <c r="H306" s="8">
        <f t="shared" si="8"/>
        <v>0</v>
      </c>
      <c r="I306" s="2" t="b">
        <v>1</v>
      </c>
      <c r="J306" s="2" t="s">
        <v>160</v>
      </c>
      <c r="K306" s="12">
        <f t="shared" si="21"/>
        <v>45944</v>
      </c>
      <c r="L306" s="12">
        <f t="shared" si="22"/>
        <v>45959</v>
      </c>
    </row>
    <row r="307" hidden="1">
      <c r="A307" s="4">
        <v>45929.0</v>
      </c>
      <c r="B307" s="2" t="s">
        <v>208</v>
      </c>
      <c r="C307" s="2" t="s">
        <v>383</v>
      </c>
      <c r="D307" s="2" t="s">
        <v>113</v>
      </c>
      <c r="E307" s="2">
        <v>0.0</v>
      </c>
      <c r="F307" s="2">
        <v>350.0</v>
      </c>
      <c r="G307" s="2">
        <v>350.0</v>
      </c>
      <c r="H307" s="8">
        <f t="shared" si="8"/>
        <v>0</v>
      </c>
      <c r="I307" s="2" t="b">
        <v>1</v>
      </c>
      <c r="J307" s="2" t="s">
        <v>160</v>
      </c>
      <c r="K307" s="12">
        <f t="shared" si="21"/>
        <v>45944</v>
      </c>
      <c r="L307" s="12">
        <f t="shared" si="22"/>
        <v>45959</v>
      </c>
    </row>
    <row r="308" hidden="1">
      <c r="A308" s="4">
        <v>45929.0</v>
      </c>
      <c r="B308" s="2" t="s">
        <v>208</v>
      </c>
      <c r="C308" s="2" t="s">
        <v>368</v>
      </c>
      <c r="D308" s="2" t="s">
        <v>113</v>
      </c>
      <c r="E308" s="2">
        <v>0.0</v>
      </c>
      <c r="F308" s="2">
        <v>60.0</v>
      </c>
      <c r="G308" s="2">
        <v>60.0</v>
      </c>
      <c r="H308" s="8">
        <f t="shared" si="8"/>
        <v>0</v>
      </c>
      <c r="I308" s="2" t="b">
        <v>1</v>
      </c>
      <c r="J308" s="2" t="s">
        <v>160</v>
      </c>
      <c r="K308" s="12">
        <f t="shared" si="21"/>
        <v>45944</v>
      </c>
      <c r="L308" s="12">
        <f t="shared" si="22"/>
        <v>45959</v>
      </c>
    </row>
    <row r="309" hidden="1">
      <c r="A309" s="4">
        <v>45931.0</v>
      </c>
      <c r="B309" s="2" t="s">
        <v>208</v>
      </c>
      <c r="C309" s="2" t="s">
        <v>384</v>
      </c>
      <c r="D309" s="2" t="s">
        <v>113</v>
      </c>
      <c r="E309" s="2">
        <v>0.0</v>
      </c>
      <c r="F309" s="2">
        <v>60.0</v>
      </c>
      <c r="G309" s="2">
        <v>60.0</v>
      </c>
      <c r="H309" s="8">
        <f t="shared" si="8"/>
        <v>0</v>
      </c>
      <c r="I309" s="2" t="b">
        <v>1</v>
      </c>
      <c r="J309" s="2" t="s">
        <v>160</v>
      </c>
      <c r="K309" s="12">
        <f t="shared" si="21"/>
        <v>45946</v>
      </c>
      <c r="L309" s="12">
        <f t="shared" si="22"/>
        <v>45961</v>
      </c>
    </row>
    <row r="310" hidden="1">
      <c r="A310" s="4">
        <v>45932.0</v>
      </c>
      <c r="B310" s="2" t="s">
        <v>208</v>
      </c>
      <c r="C310" s="2" t="s">
        <v>385</v>
      </c>
      <c r="D310" s="2" t="s">
        <v>113</v>
      </c>
      <c r="E310" s="2">
        <v>0.0</v>
      </c>
      <c r="F310" s="2">
        <v>200.0</v>
      </c>
      <c r="G310" s="2">
        <v>200.0</v>
      </c>
      <c r="H310" s="8">
        <f t="shared" si="8"/>
        <v>0</v>
      </c>
      <c r="I310" s="2" t="b">
        <v>1</v>
      </c>
      <c r="J310" s="2" t="s">
        <v>160</v>
      </c>
      <c r="K310" s="12">
        <f t="shared" si="21"/>
        <v>45947</v>
      </c>
      <c r="L310" s="12">
        <f t="shared" si="22"/>
        <v>45962</v>
      </c>
    </row>
    <row r="311" hidden="1">
      <c r="A311" s="4">
        <v>45954.0</v>
      </c>
      <c r="B311" s="2" t="s">
        <v>208</v>
      </c>
      <c r="C311" s="2" t="s">
        <v>386</v>
      </c>
      <c r="D311" s="2" t="s">
        <v>113</v>
      </c>
      <c r="E311" s="2">
        <v>0.0</v>
      </c>
      <c r="F311" s="2">
        <v>110.0</v>
      </c>
      <c r="G311" s="2">
        <v>110.0</v>
      </c>
      <c r="H311" s="8">
        <f t="shared" si="8"/>
        <v>0</v>
      </c>
      <c r="I311" s="2" t="b">
        <v>1</v>
      </c>
      <c r="J311" s="2" t="s">
        <v>160</v>
      </c>
      <c r="K311" s="12">
        <f t="shared" si="21"/>
        <v>45969</v>
      </c>
      <c r="L311" s="12">
        <f t="shared" si="22"/>
        <v>45984</v>
      </c>
    </row>
    <row r="312" hidden="1">
      <c r="A312" s="254">
        <v>46038.0</v>
      </c>
      <c r="B312" s="2" t="s">
        <v>1057</v>
      </c>
      <c r="C312" s="2" t="s">
        <v>1058</v>
      </c>
      <c r="D312" s="2" t="s">
        <v>159</v>
      </c>
      <c r="E312" s="2">
        <v>0.0</v>
      </c>
      <c r="F312" s="2">
        <v>40.0</v>
      </c>
      <c r="G312" s="2">
        <v>40.0</v>
      </c>
      <c r="H312" s="8">
        <f t="shared" si="8"/>
        <v>0</v>
      </c>
      <c r="I312" s="2" t="b">
        <v>1</v>
      </c>
      <c r="J312" s="2" t="s">
        <v>160</v>
      </c>
      <c r="K312" s="12">
        <f t="shared" si="21"/>
        <v>46053</v>
      </c>
      <c r="L312" s="12">
        <f t="shared" si="22"/>
        <v>46068</v>
      </c>
    </row>
    <row r="313" hidden="1">
      <c r="A313" s="254">
        <v>46038.0</v>
      </c>
      <c r="B313" s="2" t="s">
        <v>1057</v>
      </c>
      <c r="C313" s="2" t="s">
        <v>564</v>
      </c>
      <c r="D313" s="2" t="s">
        <v>159</v>
      </c>
      <c r="E313" s="2">
        <v>0.0</v>
      </c>
      <c r="F313" s="2">
        <v>45.0</v>
      </c>
      <c r="G313" s="2">
        <v>45.0</v>
      </c>
      <c r="H313" s="8">
        <f t="shared" si="8"/>
        <v>0</v>
      </c>
      <c r="I313" s="2" t="b">
        <v>1</v>
      </c>
      <c r="J313" s="2" t="s">
        <v>160</v>
      </c>
      <c r="K313" s="12">
        <f t="shared" si="21"/>
        <v>46053</v>
      </c>
      <c r="L313" s="12">
        <f t="shared" si="22"/>
        <v>46068</v>
      </c>
    </row>
    <row r="314" hidden="1">
      <c r="A314" s="4">
        <v>46138.0</v>
      </c>
      <c r="B314" s="2" t="s">
        <v>926</v>
      </c>
      <c r="C314" s="2" t="s">
        <v>1059</v>
      </c>
      <c r="D314" s="2" t="s">
        <v>159</v>
      </c>
      <c r="E314" s="2" t="s">
        <v>745</v>
      </c>
      <c r="F314" s="2">
        <v>30.0</v>
      </c>
      <c r="G314" s="2">
        <v>30.0</v>
      </c>
      <c r="H314" s="8">
        <f t="shared" si="8"/>
        <v>0</v>
      </c>
      <c r="I314" s="2" t="b">
        <v>1</v>
      </c>
      <c r="J314" s="2" t="s">
        <v>160</v>
      </c>
      <c r="K314" s="12">
        <f t="shared" si="21"/>
        <v>46153</v>
      </c>
      <c r="L314" s="12">
        <f t="shared" si="22"/>
        <v>46168</v>
      </c>
    </row>
    <row r="315" hidden="1">
      <c r="A315" s="4">
        <v>46147.0</v>
      </c>
      <c r="B315" s="2" t="s">
        <v>1060</v>
      </c>
      <c r="C315" s="2" t="s">
        <v>1061</v>
      </c>
      <c r="D315" s="2" t="s">
        <v>159</v>
      </c>
      <c r="E315" s="2">
        <v>0.0</v>
      </c>
      <c r="F315" s="2">
        <v>35.0</v>
      </c>
      <c r="G315" s="2">
        <v>35.0</v>
      </c>
      <c r="H315" s="8">
        <f t="shared" si="8"/>
        <v>0</v>
      </c>
      <c r="I315" s="2" t="b">
        <v>1</v>
      </c>
      <c r="J315" s="2" t="s">
        <v>160</v>
      </c>
      <c r="K315" s="12">
        <f t="shared" si="21"/>
        <v>46162</v>
      </c>
      <c r="L315" s="12">
        <f t="shared" si="22"/>
        <v>46177</v>
      </c>
    </row>
    <row r="316" hidden="1">
      <c r="A316" s="4">
        <v>46143.0</v>
      </c>
      <c r="B316" s="2" t="s">
        <v>936</v>
      </c>
      <c r="C316" s="2" t="s">
        <v>1062</v>
      </c>
      <c r="D316" s="2" t="s">
        <v>159</v>
      </c>
      <c r="E316" s="2" t="s">
        <v>745</v>
      </c>
      <c r="F316" s="2">
        <v>45.0</v>
      </c>
      <c r="G316" s="2">
        <v>45.0</v>
      </c>
      <c r="H316" s="8">
        <f t="shared" si="8"/>
        <v>0</v>
      </c>
      <c r="I316" s="2" t="b">
        <v>1</v>
      </c>
      <c r="J316" s="2" t="s">
        <v>160</v>
      </c>
      <c r="K316" s="12">
        <f t="shared" si="21"/>
        <v>46158</v>
      </c>
      <c r="L316" s="12">
        <f t="shared" si="22"/>
        <v>46173</v>
      </c>
    </row>
    <row r="317" hidden="1">
      <c r="A317" s="4">
        <v>46143.0</v>
      </c>
      <c r="B317" s="2" t="s">
        <v>936</v>
      </c>
      <c r="C317" s="2" t="s">
        <v>1062</v>
      </c>
      <c r="D317" s="2" t="s">
        <v>159</v>
      </c>
      <c r="E317" s="2" t="s">
        <v>745</v>
      </c>
      <c r="F317" s="2">
        <v>55.0</v>
      </c>
      <c r="G317" s="2">
        <v>55.0</v>
      </c>
      <c r="H317" s="8">
        <f t="shared" si="8"/>
        <v>0</v>
      </c>
      <c r="I317" s="2" t="b">
        <v>1</v>
      </c>
      <c r="J317" s="2" t="s">
        <v>160</v>
      </c>
      <c r="K317" s="12">
        <f t="shared" si="21"/>
        <v>46158</v>
      </c>
      <c r="L317" s="12">
        <f t="shared" si="22"/>
        <v>46173</v>
      </c>
    </row>
    <row r="318" hidden="1">
      <c r="A318" s="4">
        <v>46044.0</v>
      </c>
      <c r="B318" s="2" t="s">
        <v>1063</v>
      </c>
      <c r="C318" s="2" t="s">
        <v>1064</v>
      </c>
      <c r="D318" s="2" t="s">
        <v>159</v>
      </c>
      <c r="E318" s="2">
        <v>0.0</v>
      </c>
      <c r="F318" s="2">
        <v>100.0</v>
      </c>
      <c r="G318" s="2">
        <v>100.0</v>
      </c>
      <c r="H318" s="8">
        <f t="shared" si="8"/>
        <v>0</v>
      </c>
      <c r="I318" s="2" t="b">
        <v>1</v>
      </c>
      <c r="J318" s="2" t="s">
        <v>160</v>
      </c>
      <c r="K318" s="12">
        <f t="shared" si="21"/>
        <v>46059</v>
      </c>
      <c r="L318" s="12">
        <f t="shared" si="22"/>
        <v>46074</v>
      </c>
    </row>
    <row r="319" hidden="1">
      <c r="A319" s="4">
        <v>46044.0</v>
      </c>
      <c r="B319" s="2" t="s">
        <v>1063</v>
      </c>
      <c r="C319" s="2" t="s">
        <v>1065</v>
      </c>
      <c r="D319" s="2" t="s">
        <v>159</v>
      </c>
      <c r="E319" s="2">
        <v>0.0</v>
      </c>
      <c r="F319" s="2">
        <v>60.0</v>
      </c>
      <c r="G319" s="2">
        <v>60.0</v>
      </c>
      <c r="H319" s="8">
        <f t="shared" si="8"/>
        <v>0</v>
      </c>
      <c r="I319" s="2" t="b">
        <v>1</v>
      </c>
      <c r="J319" s="2" t="s">
        <v>160</v>
      </c>
      <c r="K319" s="12">
        <f t="shared" si="21"/>
        <v>46059</v>
      </c>
      <c r="L319" s="12">
        <f t="shared" si="22"/>
        <v>46074</v>
      </c>
    </row>
    <row r="320" hidden="1">
      <c r="A320" s="4">
        <v>46044.0</v>
      </c>
      <c r="B320" s="2" t="s">
        <v>1063</v>
      </c>
      <c r="C320" s="2" t="s">
        <v>1066</v>
      </c>
      <c r="D320" s="2" t="s">
        <v>159</v>
      </c>
      <c r="E320" s="2">
        <v>0.0</v>
      </c>
      <c r="F320" s="2">
        <v>40.0</v>
      </c>
      <c r="G320" s="2">
        <v>40.0</v>
      </c>
      <c r="H320" s="8">
        <f t="shared" si="8"/>
        <v>0</v>
      </c>
      <c r="I320" s="2" t="b">
        <v>1</v>
      </c>
      <c r="J320" s="2" t="s">
        <v>160</v>
      </c>
      <c r="K320" s="12">
        <f t="shared" si="21"/>
        <v>46059</v>
      </c>
      <c r="L320" s="12">
        <f t="shared" si="22"/>
        <v>46074</v>
      </c>
    </row>
    <row r="321" hidden="1">
      <c r="A321" s="4">
        <v>46045.0</v>
      </c>
      <c r="B321" s="2" t="s">
        <v>1063</v>
      </c>
      <c r="C321" s="2" t="s">
        <v>1067</v>
      </c>
      <c r="D321" s="2" t="s">
        <v>159</v>
      </c>
      <c r="E321" s="2">
        <v>0.0</v>
      </c>
      <c r="F321" s="2">
        <v>50.0</v>
      </c>
      <c r="G321" s="2">
        <v>50.0</v>
      </c>
      <c r="H321" s="8">
        <f t="shared" si="8"/>
        <v>0</v>
      </c>
      <c r="I321" s="2" t="b">
        <v>1</v>
      </c>
      <c r="J321" s="2" t="s">
        <v>160</v>
      </c>
      <c r="K321" s="12">
        <f t="shared" si="21"/>
        <v>46060</v>
      </c>
      <c r="L321" s="12">
        <f t="shared" si="22"/>
        <v>46075</v>
      </c>
    </row>
    <row r="322" hidden="1">
      <c r="A322" s="254">
        <v>45897.0</v>
      </c>
      <c r="B322" s="8" t="s">
        <v>387</v>
      </c>
      <c r="C322" s="8" t="s">
        <v>388</v>
      </c>
      <c r="D322" s="8" t="s">
        <v>159</v>
      </c>
      <c r="E322" s="2">
        <v>0.0</v>
      </c>
      <c r="F322" s="2">
        <v>1.0</v>
      </c>
      <c r="G322" s="2">
        <v>1.0</v>
      </c>
      <c r="H322" s="8">
        <f t="shared" si="8"/>
        <v>0</v>
      </c>
      <c r="I322" s="2" t="b">
        <v>1</v>
      </c>
      <c r="J322" s="2" t="s">
        <v>160</v>
      </c>
      <c r="K322" s="12">
        <f t="shared" si="21"/>
        <v>45912</v>
      </c>
      <c r="L322" s="12">
        <f t="shared" si="22"/>
        <v>45927</v>
      </c>
    </row>
    <row r="323" hidden="1">
      <c r="A323" s="4">
        <v>46052.0</v>
      </c>
      <c r="B323" s="2" t="s">
        <v>1068</v>
      </c>
      <c r="C323" s="2" t="s">
        <v>1069</v>
      </c>
      <c r="D323" s="2" t="s">
        <v>159</v>
      </c>
      <c r="E323" s="2">
        <v>0.0</v>
      </c>
      <c r="F323" s="2">
        <v>110.0</v>
      </c>
      <c r="G323" s="2">
        <v>110.0</v>
      </c>
      <c r="H323" s="8">
        <f t="shared" si="8"/>
        <v>0</v>
      </c>
      <c r="I323" s="2" t="b">
        <v>1</v>
      </c>
      <c r="J323" s="2" t="s">
        <v>160</v>
      </c>
      <c r="K323" s="12">
        <f t="shared" si="21"/>
        <v>46067</v>
      </c>
      <c r="L323" s="12">
        <f t="shared" si="22"/>
        <v>46082</v>
      </c>
    </row>
    <row r="324" hidden="1">
      <c r="A324" s="4">
        <v>46097.0</v>
      </c>
      <c r="B324" s="2" t="s">
        <v>1070</v>
      </c>
      <c r="C324" s="2" t="s">
        <v>1071</v>
      </c>
      <c r="D324" s="2" t="s">
        <v>159</v>
      </c>
      <c r="E324" s="2">
        <v>0.0</v>
      </c>
      <c r="F324" s="2">
        <v>105.0</v>
      </c>
      <c r="G324" s="2">
        <v>105.0</v>
      </c>
      <c r="H324" s="8">
        <f t="shared" si="8"/>
        <v>0</v>
      </c>
      <c r="I324" s="2" t="b">
        <v>1</v>
      </c>
      <c r="J324" s="2" t="s">
        <v>160</v>
      </c>
      <c r="K324" s="12">
        <f t="shared" si="21"/>
        <v>46112</v>
      </c>
      <c r="L324" s="12">
        <f t="shared" si="22"/>
        <v>46127</v>
      </c>
    </row>
    <row r="325" hidden="1">
      <c r="A325" s="4">
        <v>46097.0</v>
      </c>
      <c r="B325" s="2" t="s">
        <v>1070</v>
      </c>
      <c r="C325" s="2" t="s">
        <v>1072</v>
      </c>
      <c r="D325" s="2" t="s">
        <v>159</v>
      </c>
      <c r="E325" s="2">
        <v>0.0</v>
      </c>
      <c r="F325" s="2">
        <v>500.0</v>
      </c>
      <c r="G325" s="2">
        <v>500.0</v>
      </c>
      <c r="H325" s="8">
        <f t="shared" si="8"/>
        <v>0</v>
      </c>
      <c r="I325" s="2" t="b">
        <v>1</v>
      </c>
      <c r="J325" s="2" t="s">
        <v>160</v>
      </c>
      <c r="K325" s="12">
        <f t="shared" si="21"/>
        <v>46112</v>
      </c>
      <c r="L325" s="12">
        <f t="shared" si="22"/>
        <v>46127</v>
      </c>
    </row>
    <row r="326" hidden="1">
      <c r="A326" s="4">
        <v>46124.0</v>
      </c>
      <c r="B326" s="2" t="s">
        <v>1073</v>
      </c>
      <c r="C326" s="2" t="s">
        <v>1074</v>
      </c>
      <c r="D326" s="2" t="s">
        <v>159</v>
      </c>
      <c r="E326" s="2" t="s">
        <v>745</v>
      </c>
      <c r="F326" s="2">
        <v>55.0</v>
      </c>
      <c r="G326" s="2">
        <v>55.0</v>
      </c>
      <c r="H326" s="8">
        <f t="shared" si="8"/>
        <v>0</v>
      </c>
      <c r="I326" s="2" t="b">
        <v>1</v>
      </c>
      <c r="J326" s="2" t="s">
        <v>160</v>
      </c>
      <c r="K326" s="12">
        <f t="shared" si="21"/>
        <v>46139</v>
      </c>
      <c r="L326" s="12">
        <f t="shared" si="22"/>
        <v>46154</v>
      </c>
      <c r="M326" s="2" t="b">
        <v>0</v>
      </c>
    </row>
    <row r="327" hidden="1">
      <c r="A327" s="4">
        <v>46124.0</v>
      </c>
      <c r="B327" s="2" t="s">
        <v>1073</v>
      </c>
      <c r="C327" s="2" t="s">
        <v>1075</v>
      </c>
      <c r="D327" s="2" t="s">
        <v>159</v>
      </c>
      <c r="E327" s="2" t="s">
        <v>745</v>
      </c>
      <c r="F327" s="2">
        <v>20.0</v>
      </c>
      <c r="G327" s="2">
        <v>20.0</v>
      </c>
      <c r="H327" s="8">
        <f t="shared" si="8"/>
        <v>0</v>
      </c>
      <c r="I327" s="2" t="b">
        <v>1</v>
      </c>
      <c r="J327" s="2" t="s">
        <v>160</v>
      </c>
      <c r="K327" s="12">
        <f t="shared" si="21"/>
        <v>46139</v>
      </c>
      <c r="L327" s="12">
        <f t="shared" si="22"/>
        <v>46154</v>
      </c>
      <c r="M327" s="2" t="b">
        <v>0</v>
      </c>
    </row>
    <row r="328" hidden="1">
      <c r="A328" s="4">
        <v>46124.0</v>
      </c>
      <c r="B328" s="2" t="s">
        <v>1073</v>
      </c>
      <c r="C328" s="2" t="s">
        <v>1076</v>
      </c>
      <c r="D328" s="2" t="s">
        <v>159</v>
      </c>
      <c r="E328" s="2" t="s">
        <v>745</v>
      </c>
      <c r="F328" s="2">
        <v>30.0</v>
      </c>
      <c r="G328" s="2">
        <v>30.0</v>
      </c>
      <c r="H328" s="8">
        <f t="shared" si="8"/>
        <v>0</v>
      </c>
      <c r="I328" s="2" t="b">
        <v>1</v>
      </c>
      <c r="J328" s="2" t="s">
        <v>160</v>
      </c>
      <c r="K328" s="12">
        <f t="shared" si="21"/>
        <v>46139</v>
      </c>
      <c r="L328" s="12">
        <f t="shared" si="22"/>
        <v>46154</v>
      </c>
      <c r="M328" s="2" t="b">
        <v>0</v>
      </c>
    </row>
    <row r="329" hidden="1">
      <c r="A329" s="4">
        <v>46138.0</v>
      </c>
      <c r="B329" s="2" t="s">
        <v>1073</v>
      </c>
      <c r="C329" s="2" t="s">
        <v>1077</v>
      </c>
      <c r="D329" s="2" t="s">
        <v>159</v>
      </c>
      <c r="E329" s="2" t="s">
        <v>745</v>
      </c>
      <c r="F329" s="2">
        <v>50.0</v>
      </c>
      <c r="G329" s="2">
        <v>50.0</v>
      </c>
      <c r="H329" s="8">
        <f t="shared" si="8"/>
        <v>0</v>
      </c>
      <c r="I329" s="2" t="b">
        <v>1</v>
      </c>
      <c r="J329" s="2" t="s">
        <v>160</v>
      </c>
      <c r="K329" s="12">
        <f t="shared" si="21"/>
        <v>46153</v>
      </c>
      <c r="L329" s="12">
        <f t="shared" si="22"/>
        <v>46168</v>
      </c>
    </row>
    <row r="330" hidden="1">
      <c r="A330" s="4">
        <v>46159.0</v>
      </c>
      <c r="B330" s="2" t="s">
        <v>1073</v>
      </c>
      <c r="C330" s="2" t="s">
        <v>1078</v>
      </c>
      <c r="D330" s="2" t="s">
        <v>159</v>
      </c>
      <c r="E330" s="2" t="s">
        <v>0</v>
      </c>
      <c r="F330" s="2">
        <v>65.0</v>
      </c>
      <c r="G330" s="2">
        <v>15.0</v>
      </c>
      <c r="H330" s="8">
        <f t="shared" si="8"/>
        <v>50</v>
      </c>
      <c r="I330" s="8" t="b">
        <v>0</v>
      </c>
      <c r="J330" s="2" t="s">
        <v>160</v>
      </c>
      <c r="K330" s="12">
        <f t="shared" si="21"/>
        <v>46174</v>
      </c>
      <c r="L330" s="12">
        <f t="shared" si="22"/>
        <v>46189</v>
      </c>
    </row>
    <row r="331" hidden="1">
      <c r="A331" s="4">
        <v>46102.0</v>
      </c>
      <c r="B331" s="260" t="s">
        <v>1079</v>
      </c>
      <c r="C331" s="2" t="s">
        <v>1080</v>
      </c>
      <c r="D331" s="2" t="s">
        <v>159</v>
      </c>
      <c r="E331" s="2">
        <v>0.0</v>
      </c>
      <c r="F331" s="2">
        <v>5.0</v>
      </c>
      <c r="G331" s="2">
        <v>5.0</v>
      </c>
      <c r="H331" s="8">
        <f t="shared" si="8"/>
        <v>0</v>
      </c>
      <c r="I331" s="2" t="b">
        <v>0</v>
      </c>
      <c r="J331" s="2" t="s">
        <v>160</v>
      </c>
      <c r="K331" s="12">
        <f t="shared" si="21"/>
        <v>46117</v>
      </c>
      <c r="L331" s="12">
        <f t="shared" si="22"/>
        <v>46132</v>
      </c>
    </row>
    <row r="332" hidden="1">
      <c r="A332" s="4">
        <v>46090.0</v>
      </c>
      <c r="B332" s="2" t="s">
        <v>928</v>
      </c>
      <c r="C332" s="2" t="s">
        <v>1081</v>
      </c>
      <c r="D332" s="2" t="s">
        <v>159</v>
      </c>
      <c r="E332" s="2">
        <v>0.0</v>
      </c>
      <c r="F332" s="2">
        <v>85.0</v>
      </c>
      <c r="G332" s="2">
        <v>85.0</v>
      </c>
      <c r="H332" s="8">
        <f t="shared" si="8"/>
        <v>0</v>
      </c>
      <c r="I332" s="2" t="b">
        <v>1</v>
      </c>
      <c r="J332" s="2" t="s">
        <v>160</v>
      </c>
      <c r="K332" s="12">
        <f t="shared" si="21"/>
        <v>46105</v>
      </c>
      <c r="L332" s="12">
        <f t="shared" si="22"/>
        <v>46120</v>
      </c>
    </row>
    <row r="333" hidden="1">
      <c r="A333" s="4">
        <v>46108.0</v>
      </c>
      <c r="B333" s="2" t="s">
        <v>928</v>
      </c>
      <c r="C333" s="2" t="s">
        <v>1082</v>
      </c>
      <c r="D333" s="2" t="s">
        <v>159</v>
      </c>
      <c r="E333" s="2">
        <v>0.0</v>
      </c>
      <c r="F333" s="2">
        <v>75.0</v>
      </c>
      <c r="G333" s="2">
        <v>75.0</v>
      </c>
      <c r="H333" s="8">
        <f t="shared" si="8"/>
        <v>0</v>
      </c>
      <c r="I333" s="2" t="b">
        <v>1</v>
      </c>
      <c r="J333" s="2" t="s">
        <v>160</v>
      </c>
      <c r="K333" s="12">
        <f t="shared" si="21"/>
        <v>46123</v>
      </c>
      <c r="L333" s="12">
        <f t="shared" si="22"/>
        <v>46138</v>
      </c>
    </row>
    <row r="334" hidden="1">
      <c r="A334" s="4">
        <v>46111.0</v>
      </c>
      <c r="B334" s="2" t="s">
        <v>928</v>
      </c>
      <c r="C334" s="2" t="s">
        <v>1083</v>
      </c>
      <c r="D334" s="2" t="s">
        <v>159</v>
      </c>
      <c r="E334" s="2">
        <v>0.0</v>
      </c>
      <c r="F334" s="2">
        <v>65.0</v>
      </c>
      <c r="G334" s="2">
        <v>65.0</v>
      </c>
      <c r="H334" s="8">
        <f t="shared" si="8"/>
        <v>0</v>
      </c>
      <c r="I334" s="2" t="b">
        <v>1</v>
      </c>
      <c r="J334" s="2" t="s">
        <v>160</v>
      </c>
      <c r="K334" s="12">
        <f t="shared" si="21"/>
        <v>46126</v>
      </c>
      <c r="L334" s="12">
        <f t="shared" si="22"/>
        <v>46141</v>
      </c>
      <c r="M334" s="2" t="b">
        <v>0</v>
      </c>
    </row>
    <row r="335" hidden="1">
      <c r="A335" s="4">
        <v>46111.0</v>
      </c>
      <c r="B335" s="2" t="s">
        <v>928</v>
      </c>
      <c r="C335" s="2" t="s">
        <v>1083</v>
      </c>
      <c r="D335" s="2" t="s">
        <v>159</v>
      </c>
      <c r="E335" s="2">
        <v>0.0</v>
      </c>
      <c r="F335" s="2">
        <v>65.0</v>
      </c>
      <c r="G335" s="2">
        <v>65.0</v>
      </c>
      <c r="H335" s="8">
        <f t="shared" si="8"/>
        <v>0</v>
      </c>
      <c r="I335" s="2" t="b">
        <v>1</v>
      </c>
      <c r="J335" s="2" t="s">
        <v>160</v>
      </c>
      <c r="K335" s="12">
        <f t="shared" si="21"/>
        <v>46126</v>
      </c>
      <c r="L335" s="12">
        <f t="shared" si="22"/>
        <v>46141</v>
      </c>
      <c r="M335" s="2" t="b">
        <v>0</v>
      </c>
    </row>
    <row r="336" hidden="1">
      <c r="A336" s="4">
        <v>46124.0</v>
      </c>
      <c r="B336" s="2" t="s">
        <v>928</v>
      </c>
      <c r="C336" s="2" t="s">
        <v>1084</v>
      </c>
      <c r="D336" s="2" t="s">
        <v>159</v>
      </c>
      <c r="E336" s="2" t="s">
        <v>745</v>
      </c>
      <c r="F336" s="2">
        <v>35.0</v>
      </c>
      <c r="G336" s="2">
        <v>35.0</v>
      </c>
      <c r="H336" s="8">
        <f t="shared" si="8"/>
        <v>0</v>
      </c>
      <c r="I336" s="2" t="b">
        <v>1</v>
      </c>
      <c r="J336" s="2" t="s">
        <v>160</v>
      </c>
      <c r="K336" s="12">
        <f t="shared" si="21"/>
        <v>46139</v>
      </c>
      <c r="L336" s="12">
        <f t="shared" si="22"/>
        <v>46154</v>
      </c>
      <c r="M336" s="2" t="b">
        <v>1</v>
      </c>
    </row>
    <row r="337" hidden="1">
      <c r="A337" s="4">
        <v>46143.0</v>
      </c>
      <c r="B337" s="2" t="s">
        <v>928</v>
      </c>
      <c r="C337" s="2" t="s">
        <v>1085</v>
      </c>
      <c r="D337" s="2" t="s">
        <v>159</v>
      </c>
      <c r="E337" s="2" t="s">
        <v>1053</v>
      </c>
      <c r="F337" s="2">
        <v>60.0</v>
      </c>
      <c r="G337" s="2">
        <v>60.0</v>
      </c>
      <c r="H337" s="8">
        <f t="shared" si="8"/>
        <v>0</v>
      </c>
      <c r="I337" s="2" t="b">
        <v>1</v>
      </c>
      <c r="J337" s="2" t="s">
        <v>160</v>
      </c>
      <c r="K337" s="12">
        <f t="shared" si="21"/>
        <v>46158</v>
      </c>
      <c r="L337" s="12">
        <f t="shared" si="22"/>
        <v>46173</v>
      </c>
      <c r="M337" s="2" t="b">
        <v>0</v>
      </c>
    </row>
    <row r="338" hidden="1">
      <c r="A338" s="4">
        <v>46143.0</v>
      </c>
      <c r="B338" s="2" t="s">
        <v>928</v>
      </c>
      <c r="C338" s="2" t="s">
        <v>1086</v>
      </c>
      <c r="D338" s="2" t="s">
        <v>159</v>
      </c>
      <c r="E338" s="2" t="s">
        <v>110</v>
      </c>
      <c r="F338" s="2">
        <v>50.0</v>
      </c>
      <c r="G338" s="2">
        <v>50.0</v>
      </c>
      <c r="H338" s="8">
        <f t="shared" si="8"/>
        <v>0</v>
      </c>
      <c r="I338" s="2" t="b">
        <v>1</v>
      </c>
      <c r="J338" s="2" t="s">
        <v>160</v>
      </c>
      <c r="K338" s="12">
        <f t="shared" si="21"/>
        <v>46158</v>
      </c>
      <c r="L338" s="12">
        <f t="shared" si="22"/>
        <v>46173</v>
      </c>
      <c r="M338" s="2" t="b">
        <v>0</v>
      </c>
    </row>
    <row r="339" hidden="1">
      <c r="A339" s="4">
        <v>46059.0</v>
      </c>
      <c r="B339" s="2" t="s">
        <v>1087</v>
      </c>
      <c r="C339" s="2" t="s">
        <v>1088</v>
      </c>
      <c r="D339" s="2" t="s">
        <v>159</v>
      </c>
      <c r="E339" s="2">
        <v>0.0</v>
      </c>
      <c r="F339" s="2">
        <v>50.0</v>
      </c>
      <c r="G339" s="2">
        <v>50.0</v>
      </c>
      <c r="H339" s="8">
        <f t="shared" si="8"/>
        <v>0</v>
      </c>
      <c r="I339" s="2" t="b">
        <v>1</v>
      </c>
      <c r="J339" s="2" t="s">
        <v>160</v>
      </c>
      <c r="K339" s="12">
        <f t="shared" si="21"/>
        <v>46074</v>
      </c>
      <c r="L339" s="12">
        <f t="shared" si="22"/>
        <v>46089</v>
      </c>
    </row>
    <row r="340" hidden="1">
      <c r="A340" s="4">
        <v>46059.0</v>
      </c>
      <c r="B340" s="2" t="s">
        <v>1087</v>
      </c>
      <c r="C340" s="2" t="s">
        <v>685</v>
      </c>
      <c r="D340" s="2" t="s">
        <v>159</v>
      </c>
      <c r="E340" s="2">
        <v>0.0</v>
      </c>
      <c r="F340" s="2">
        <v>50.0</v>
      </c>
      <c r="G340" s="2">
        <v>50.0</v>
      </c>
      <c r="H340" s="8">
        <f t="shared" si="8"/>
        <v>0</v>
      </c>
      <c r="I340" s="2" t="b">
        <v>1</v>
      </c>
      <c r="J340" s="2" t="s">
        <v>160</v>
      </c>
      <c r="K340" s="12">
        <f t="shared" si="21"/>
        <v>46074</v>
      </c>
      <c r="L340" s="12">
        <f t="shared" si="22"/>
        <v>46089</v>
      </c>
    </row>
    <row r="341" hidden="1">
      <c r="A341" s="4">
        <v>46059.0</v>
      </c>
      <c r="B341" s="2" t="s">
        <v>1087</v>
      </c>
      <c r="C341" s="2" t="s">
        <v>1089</v>
      </c>
      <c r="D341" s="2" t="s">
        <v>159</v>
      </c>
      <c r="E341" s="2">
        <v>0.0</v>
      </c>
      <c r="F341" s="2">
        <v>30.0</v>
      </c>
      <c r="G341" s="2">
        <v>30.0</v>
      </c>
      <c r="H341" s="8">
        <f t="shared" si="8"/>
        <v>0</v>
      </c>
      <c r="I341" s="2" t="b">
        <v>1</v>
      </c>
      <c r="J341" s="2" t="s">
        <v>160</v>
      </c>
      <c r="K341" s="12">
        <f t="shared" si="21"/>
        <v>46074</v>
      </c>
      <c r="L341" s="12">
        <f t="shared" si="22"/>
        <v>46089</v>
      </c>
    </row>
    <row r="342" hidden="1">
      <c r="A342" s="4">
        <v>46147.0</v>
      </c>
      <c r="B342" s="2" t="s">
        <v>1090</v>
      </c>
      <c r="C342" s="2" t="s">
        <v>1091</v>
      </c>
      <c r="D342" s="2" t="s">
        <v>159</v>
      </c>
      <c r="E342" s="2">
        <v>0.0</v>
      </c>
      <c r="F342" s="2">
        <v>125.0</v>
      </c>
      <c r="G342" s="2">
        <v>125.0</v>
      </c>
      <c r="H342" s="8">
        <f t="shared" si="8"/>
        <v>0</v>
      </c>
      <c r="I342" s="2" t="b">
        <v>1</v>
      </c>
      <c r="J342" s="2" t="s">
        <v>160</v>
      </c>
      <c r="K342" s="12">
        <f t="shared" si="21"/>
        <v>46162</v>
      </c>
      <c r="L342" s="12">
        <f t="shared" si="22"/>
        <v>46177</v>
      </c>
    </row>
    <row r="343" hidden="1">
      <c r="A343" s="4">
        <v>46148.0</v>
      </c>
      <c r="B343" s="2" t="s">
        <v>1090</v>
      </c>
      <c r="C343" s="2" t="s">
        <v>1092</v>
      </c>
      <c r="D343" s="2" t="s">
        <v>159</v>
      </c>
      <c r="E343" s="2">
        <v>0.0</v>
      </c>
      <c r="F343" s="2">
        <v>45.0</v>
      </c>
      <c r="G343" s="2">
        <v>45.0</v>
      </c>
      <c r="H343" s="8">
        <f t="shared" si="8"/>
        <v>0</v>
      </c>
      <c r="I343" s="2" t="b">
        <v>1</v>
      </c>
      <c r="J343" s="2" t="s">
        <v>160</v>
      </c>
      <c r="K343" s="12">
        <f t="shared" si="21"/>
        <v>46163</v>
      </c>
      <c r="L343" s="12">
        <f t="shared" si="22"/>
        <v>46178</v>
      </c>
    </row>
    <row r="344" hidden="1">
      <c r="A344" s="4">
        <v>46149.0</v>
      </c>
      <c r="B344" s="2" t="s">
        <v>1090</v>
      </c>
      <c r="C344" s="2" t="s">
        <v>1093</v>
      </c>
      <c r="D344" s="2" t="s">
        <v>159</v>
      </c>
      <c r="E344" s="2">
        <v>0.0</v>
      </c>
      <c r="F344" s="2">
        <v>25.0</v>
      </c>
      <c r="G344" s="2">
        <v>25.0</v>
      </c>
      <c r="H344" s="8">
        <f t="shared" si="8"/>
        <v>0</v>
      </c>
      <c r="I344" s="2" t="b">
        <v>1</v>
      </c>
      <c r="J344" s="2" t="s">
        <v>160</v>
      </c>
      <c r="K344" s="12">
        <f t="shared" si="21"/>
        <v>46164</v>
      </c>
      <c r="L344" s="12">
        <f t="shared" si="22"/>
        <v>46179</v>
      </c>
    </row>
    <row r="345" hidden="1">
      <c r="A345" s="4">
        <v>46177.0</v>
      </c>
      <c r="B345" s="2" t="s">
        <v>1090</v>
      </c>
      <c r="C345" s="2" t="s">
        <v>1094</v>
      </c>
      <c r="D345" s="2" t="s">
        <v>159</v>
      </c>
      <c r="E345" s="2" t="s">
        <v>138</v>
      </c>
      <c r="F345" s="2">
        <v>30.0</v>
      </c>
      <c r="G345" s="2">
        <v>30.0</v>
      </c>
      <c r="H345" s="8">
        <f t="shared" si="8"/>
        <v>0</v>
      </c>
      <c r="I345" s="2" t="b">
        <v>1</v>
      </c>
      <c r="J345" s="2" t="s">
        <v>160</v>
      </c>
      <c r="K345" s="12">
        <f t="shared" si="21"/>
        <v>46192</v>
      </c>
      <c r="L345" s="12">
        <f t="shared" si="22"/>
        <v>46207</v>
      </c>
    </row>
    <row r="346" hidden="1">
      <c r="A346" s="4">
        <v>46177.0</v>
      </c>
      <c r="B346" s="2" t="s">
        <v>1095</v>
      </c>
      <c r="C346" s="2" t="s">
        <v>1096</v>
      </c>
      <c r="D346" s="2" t="s">
        <v>159</v>
      </c>
      <c r="E346" s="2" t="s">
        <v>138</v>
      </c>
      <c r="F346" s="2">
        <v>110.0</v>
      </c>
      <c r="G346" s="2">
        <v>110.0</v>
      </c>
      <c r="H346" s="8">
        <f t="shared" si="8"/>
        <v>0</v>
      </c>
      <c r="I346" s="2" t="b">
        <v>1</v>
      </c>
      <c r="J346" s="2" t="s">
        <v>160</v>
      </c>
      <c r="K346" s="12">
        <f t="shared" si="21"/>
        <v>46192</v>
      </c>
      <c r="L346" s="12">
        <f t="shared" si="22"/>
        <v>46207</v>
      </c>
    </row>
    <row r="347" hidden="1">
      <c r="A347" s="4">
        <v>46009.0</v>
      </c>
      <c r="B347" s="2" t="s">
        <v>392</v>
      </c>
      <c r="C347" s="2" t="s">
        <v>393</v>
      </c>
      <c r="D347" s="2" t="s">
        <v>159</v>
      </c>
      <c r="E347" s="2">
        <v>0.0</v>
      </c>
      <c r="F347" s="2">
        <v>50.0</v>
      </c>
      <c r="G347" s="2">
        <v>50.0</v>
      </c>
      <c r="H347" s="8">
        <f t="shared" si="8"/>
        <v>0</v>
      </c>
      <c r="I347" s="2" t="b">
        <v>1</v>
      </c>
      <c r="J347" s="2" t="s">
        <v>160</v>
      </c>
      <c r="K347" s="12">
        <f t="shared" si="21"/>
        <v>46024</v>
      </c>
      <c r="L347" s="12">
        <f t="shared" si="22"/>
        <v>46039</v>
      </c>
    </row>
    <row r="348" hidden="1">
      <c r="A348" s="4">
        <v>46010.0</v>
      </c>
      <c r="B348" s="2" t="s">
        <v>392</v>
      </c>
      <c r="C348" s="2" t="s">
        <v>394</v>
      </c>
      <c r="D348" s="2" t="s">
        <v>159</v>
      </c>
      <c r="E348" s="2">
        <v>0.0</v>
      </c>
      <c r="F348" s="2">
        <v>50.0</v>
      </c>
      <c r="G348" s="2">
        <v>50.0</v>
      </c>
      <c r="H348" s="8">
        <f t="shared" si="8"/>
        <v>0</v>
      </c>
      <c r="I348" s="2" t="b">
        <v>1</v>
      </c>
      <c r="J348" s="2" t="s">
        <v>160</v>
      </c>
      <c r="K348" s="12">
        <f t="shared" si="21"/>
        <v>46025</v>
      </c>
      <c r="L348" s="12">
        <f t="shared" si="22"/>
        <v>46040</v>
      </c>
    </row>
    <row r="349" hidden="1">
      <c r="A349" s="4">
        <v>46014.0</v>
      </c>
      <c r="B349" s="2" t="s">
        <v>392</v>
      </c>
      <c r="C349" s="2" t="s">
        <v>396</v>
      </c>
      <c r="D349" s="2" t="s">
        <v>159</v>
      </c>
      <c r="E349" s="2">
        <v>0.0</v>
      </c>
      <c r="F349" s="2">
        <v>45.0</v>
      </c>
      <c r="G349" s="2">
        <v>45.0</v>
      </c>
      <c r="H349" s="8">
        <f t="shared" si="8"/>
        <v>0</v>
      </c>
      <c r="I349" s="2" t="b">
        <v>1</v>
      </c>
      <c r="J349" s="2" t="s">
        <v>160</v>
      </c>
      <c r="K349" s="12">
        <f t="shared" si="21"/>
        <v>46029</v>
      </c>
      <c r="L349" s="12">
        <f t="shared" si="22"/>
        <v>46044</v>
      </c>
    </row>
    <row r="350" hidden="1">
      <c r="A350" s="4">
        <v>46014.0</v>
      </c>
      <c r="B350" s="2" t="s">
        <v>392</v>
      </c>
      <c r="C350" s="2" t="s">
        <v>395</v>
      </c>
      <c r="D350" s="2" t="s">
        <v>159</v>
      </c>
      <c r="E350" s="2">
        <v>0.0</v>
      </c>
      <c r="F350" s="2">
        <v>45.0</v>
      </c>
      <c r="G350" s="2">
        <v>5.0</v>
      </c>
      <c r="H350" s="8">
        <f t="shared" si="8"/>
        <v>40</v>
      </c>
      <c r="I350" s="2" t="b">
        <v>1</v>
      </c>
      <c r="J350" s="2" t="s">
        <v>160</v>
      </c>
      <c r="K350" s="12">
        <f t="shared" si="21"/>
        <v>46029</v>
      </c>
      <c r="L350" s="12">
        <f t="shared" si="22"/>
        <v>46044</v>
      </c>
    </row>
    <row r="351" hidden="1">
      <c r="A351" s="4">
        <v>46181.0</v>
      </c>
      <c r="B351" s="2" t="s">
        <v>1097</v>
      </c>
      <c r="C351" s="2" t="s">
        <v>1098</v>
      </c>
      <c r="D351" s="2" t="s">
        <v>159</v>
      </c>
      <c r="E351" s="2" t="s">
        <v>0</v>
      </c>
      <c r="F351" s="2">
        <v>90.0</v>
      </c>
      <c r="G351" s="2">
        <v>0.0</v>
      </c>
      <c r="H351" s="8">
        <f t="shared" si="8"/>
        <v>90</v>
      </c>
      <c r="I351" s="2" t="b">
        <v>0</v>
      </c>
      <c r="J351" s="2" t="s">
        <v>160</v>
      </c>
      <c r="K351" s="12">
        <f t="shared" si="21"/>
        <v>46196</v>
      </c>
      <c r="L351" s="12">
        <f t="shared" si="22"/>
        <v>46211</v>
      </c>
    </row>
    <row r="352" hidden="1">
      <c r="A352" s="4">
        <v>46090.0</v>
      </c>
      <c r="B352" s="2" t="s">
        <v>423</v>
      </c>
      <c r="C352" s="2" t="s">
        <v>1099</v>
      </c>
      <c r="D352" s="2" t="s">
        <v>159</v>
      </c>
      <c r="E352" s="2">
        <v>0.0</v>
      </c>
      <c r="F352" s="2">
        <v>110.0</v>
      </c>
      <c r="G352" s="2">
        <v>110.0</v>
      </c>
      <c r="H352" s="8">
        <f t="shared" si="8"/>
        <v>0</v>
      </c>
      <c r="I352" s="2" t="b">
        <v>1</v>
      </c>
      <c r="J352" s="2" t="s">
        <v>160</v>
      </c>
      <c r="K352" s="12">
        <f t="shared" si="21"/>
        <v>46105</v>
      </c>
      <c r="L352" s="12">
        <f t="shared" si="22"/>
        <v>46120</v>
      </c>
    </row>
    <row r="353" hidden="1">
      <c r="A353" s="4">
        <v>46143.0</v>
      </c>
      <c r="B353" s="2" t="s">
        <v>1100</v>
      </c>
      <c r="C353" s="2" t="s">
        <v>1101</v>
      </c>
      <c r="D353" s="2" t="s">
        <v>159</v>
      </c>
      <c r="E353" s="2" t="s">
        <v>745</v>
      </c>
      <c r="F353" s="2">
        <v>20.0</v>
      </c>
      <c r="G353" s="2">
        <v>20.0</v>
      </c>
      <c r="H353" s="8">
        <f t="shared" si="8"/>
        <v>0</v>
      </c>
      <c r="I353" s="8" t="b">
        <v>0</v>
      </c>
      <c r="J353" s="2" t="s">
        <v>160</v>
      </c>
      <c r="K353" s="12">
        <f t="shared" si="21"/>
        <v>46158</v>
      </c>
      <c r="L353" s="12">
        <f t="shared" si="22"/>
        <v>46173</v>
      </c>
    </row>
    <row r="354" hidden="1">
      <c r="A354" s="4">
        <v>46147.0</v>
      </c>
      <c r="B354" s="2" t="s">
        <v>1100</v>
      </c>
      <c r="C354" s="2" t="s">
        <v>1102</v>
      </c>
      <c r="D354" s="2" t="s">
        <v>159</v>
      </c>
      <c r="E354" s="2">
        <v>0.0</v>
      </c>
      <c r="F354" s="2">
        <v>38.0</v>
      </c>
      <c r="G354" s="2">
        <v>0.0</v>
      </c>
      <c r="H354" s="8">
        <f t="shared" si="8"/>
        <v>38</v>
      </c>
      <c r="I354" s="8" t="b">
        <v>0</v>
      </c>
      <c r="J354" s="2" t="s">
        <v>160</v>
      </c>
      <c r="K354" s="12">
        <f t="shared" si="21"/>
        <v>46162</v>
      </c>
      <c r="L354" s="12">
        <f t="shared" si="22"/>
        <v>46177</v>
      </c>
    </row>
    <row r="355" hidden="1">
      <c r="A355" s="4">
        <v>46147.0</v>
      </c>
      <c r="B355" s="2" t="s">
        <v>1100</v>
      </c>
      <c r="C355" s="2" t="s">
        <v>1103</v>
      </c>
      <c r="D355" s="2" t="s">
        <v>159</v>
      </c>
      <c r="E355" s="2">
        <v>0.0</v>
      </c>
      <c r="F355" s="2">
        <v>20.0</v>
      </c>
      <c r="G355" s="2">
        <v>20.0</v>
      </c>
      <c r="H355" s="8">
        <f t="shared" si="8"/>
        <v>0</v>
      </c>
      <c r="I355" s="8" t="b">
        <v>0</v>
      </c>
      <c r="J355" s="2" t="s">
        <v>160</v>
      </c>
      <c r="K355" s="12">
        <f t="shared" si="21"/>
        <v>46162</v>
      </c>
      <c r="L355" s="12">
        <f t="shared" si="22"/>
        <v>46177</v>
      </c>
    </row>
    <row r="356" hidden="1">
      <c r="A356" s="4">
        <v>46150.0</v>
      </c>
      <c r="B356" s="2" t="s">
        <v>1100</v>
      </c>
      <c r="C356" s="2" t="s">
        <v>1104</v>
      </c>
      <c r="D356" s="2" t="s">
        <v>159</v>
      </c>
      <c r="E356" s="2">
        <v>0.0</v>
      </c>
      <c r="F356" s="2">
        <v>75.0</v>
      </c>
      <c r="G356" s="2">
        <v>0.0</v>
      </c>
      <c r="H356" s="8">
        <f t="shared" si="8"/>
        <v>75</v>
      </c>
      <c r="I356" s="8" t="b">
        <v>0</v>
      </c>
      <c r="J356" s="2" t="s">
        <v>160</v>
      </c>
      <c r="K356" s="12">
        <f t="shared" si="21"/>
        <v>46165</v>
      </c>
      <c r="L356" s="12">
        <f t="shared" si="22"/>
        <v>46180</v>
      </c>
    </row>
    <row r="357" hidden="1">
      <c r="A357" s="4">
        <v>46183.0</v>
      </c>
      <c r="B357" s="2" t="s">
        <v>1100</v>
      </c>
      <c r="C357" s="2" t="s">
        <v>1105</v>
      </c>
      <c r="D357" s="2" t="s">
        <v>159</v>
      </c>
      <c r="E357" s="2" t="s">
        <v>138</v>
      </c>
      <c r="F357" s="2">
        <v>35.0</v>
      </c>
      <c r="G357" s="2">
        <v>0.0</v>
      </c>
      <c r="H357" s="8">
        <f t="shared" si="8"/>
        <v>35</v>
      </c>
      <c r="I357" s="2" t="b">
        <v>0</v>
      </c>
      <c r="J357" s="2" t="s">
        <v>160</v>
      </c>
      <c r="K357" s="12">
        <f t="shared" si="21"/>
        <v>46198</v>
      </c>
      <c r="L357" s="12">
        <f t="shared" si="22"/>
        <v>46213</v>
      </c>
    </row>
    <row r="358" hidden="1">
      <c r="A358" s="4">
        <v>46187.0</v>
      </c>
      <c r="B358" s="2" t="s">
        <v>1100</v>
      </c>
      <c r="C358" s="2" t="s">
        <v>1106</v>
      </c>
      <c r="D358" s="2" t="s">
        <v>159</v>
      </c>
      <c r="E358" s="2" t="s">
        <v>138</v>
      </c>
      <c r="F358" s="2">
        <v>45.0</v>
      </c>
      <c r="G358" s="2">
        <v>18.0</v>
      </c>
      <c r="H358" s="8">
        <f t="shared" si="8"/>
        <v>27</v>
      </c>
      <c r="I358" s="2" t="b">
        <v>0</v>
      </c>
      <c r="J358" s="2" t="s">
        <v>160</v>
      </c>
      <c r="K358" s="12">
        <f t="shared" si="21"/>
        <v>46202</v>
      </c>
      <c r="L358" s="12">
        <f t="shared" si="22"/>
        <v>46217</v>
      </c>
    </row>
    <row r="359" hidden="1">
      <c r="A359" s="4">
        <v>46190.0</v>
      </c>
      <c r="B359" s="2" t="s">
        <v>1100</v>
      </c>
      <c r="C359" s="2" t="s">
        <v>1107</v>
      </c>
      <c r="D359" s="2" t="s">
        <v>159</v>
      </c>
      <c r="E359" s="2" t="s">
        <v>138</v>
      </c>
      <c r="F359" s="2">
        <v>32.0</v>
      </c>
      <c r="G359" s="2">
        <v>0.0</v>
      </c>
      <c r="H359" s="8">
        <f t="shared" si="8"/>
        <v>32</v>
      </c>
      <c r="I359" s="2" t="b">
        <v>0</v>
      </c>
      <c r="J359" s="2" t="s">
        <v>160</v>
      </c>
      <c r="K359" s="12">
        <f t="shared" si="21"/>
        <v>46205</v>
      </c>
      <c r="L359" s="12">
        <f t="shared" si="22"/>
        <v>46220</v>
      </c>
    </row>
    <row r="360" hidden="1">
      <c r="A360" s="4">
        <v>45966.0</v>
      </c>
      <c r="B360" s="2" t="s">
        <v>216</v>
      </c>
      <c r="C360" s="2" t="s">
        <v>397</v>
      </c>
      <c r="D360" s="2" t="s">
        <v>159</v>
      </c>
      <c r="E360" s="2">
        <v>0.0</v>
      </c>
      <c r="F360" s="2">
        <v>1.0</v>
      </c>
      <c r="G360" s="2">
        <v>1.0</v>
      </c>
      <c r="H360" s="8">
        <f t="shared" si="8"/>
        <v>0</v>
      </c>
      <c r="I360" s="2" t="b">
        <v>0</v>
      </c>
      <c r="J360" s="2" t="s">
        <v>160</v>
      </c>
      <c r="K360" s="12">
        <f t="shared" si="21"/>
        <v>45981</v>
      </c>
      <c r="L360" s="12">
        <f t="shared" si="22"/>
        <v>45996</v>
      </c>
    </row>
    <row r="361" hidden="1">
      <c r="A361" s="4">
        <v>46180.0</v>
      </c>
      <c r="B361" s="2" t="s">
        <v>1108</v>
      </c>
      <c r="C361" s="2" t="s">
        <v>1109</v>
      </c>
      <c r="D361" s="2" t="s">
        <v>159</v>
      </c>
      <c r="E361" s="2" t="s">
        <v>0</v>
      </c>
      <c r="F361" s="2">
        <v>70.0</v>
      </c>
      <c r="G361" s="2">
        <v>70.0</v>
      </c>
      <c r="H361" s="8">
        <f t="shared" si="8"/>
        <v>0</v>
      </c>
      <c r="I361" s="2" t="b">
        <v>0</v>
      </c>
      <c r="J361" s="2" t="s">
        <v>160</v>
      </c>
      <c r="K361" s="12">
        <f t="shared" si="21"/>
        <v>46195</v>
      </c>
      <c r="L361" s="12">
        <f t="shared" si="22"/>
        <v>46210</v>
      </c>
      <c r="P361" s="2" t="s">
        <v>1110</v>
      </c>
    </row>
    <row r="362" hidden="1">
      <c r="A362" s="4">
        <v>46180.0</v>
      </c>
      <c r="B362" s="2" t="s">
        <v>1108</v>
      </c>
      <c r="C362" s="2" t="s">
        <v>1111</v>
      </c>
      <c r="D362" s="2" t="s">
        <v>159</v>
      </c>
      <c r="E362" s="2" t="s">
        <v>0</v>
      </c>
      <c r="F362" s="2">
        <v>75.0</v>
      </c>
      <c r="G362" s="2">
        <v>75.0</v>
      </c>
      <c r="H362" s="8">
        <f t="shared" si="8"/>
        <v>0</v>
      </c>
      <c r="I362" s="2" t="b">
        <v>0</v>
      </c>
      <c r="J362" s="2" t="s">
        <v>160</v>
      </c>
      <c r="K362" s="12">
        <f t="shared" si="21"/>
        <v>46195</v>
      </c>
      <c r="L362" s="12">
        <f t="shared" si="22"/>
        <v>46210</v>
      </c>
    </row>
    <row r="363" hidden="1">
      <c r="A363" s="4">
        <v>46067.0</v>
      </c>
      <c r="B363" s="2" t="s">
        <v>1112</v>
      </c>
      <c r="C363" s="2" t="s">
        <v>1113</v>
      </c>
      <c r="D363" s="2" t="s">
        <v>159</v>
      </c>
      <c r="E363" s="2">
        <v>0.0</v>
      </c>
      <c r="F363" s="2">
        <v>105.0</v>
      </c>
      <c r="G363" s="2">
        <v>105.0</v>
      </c>
      <c r="H363" s="8">
        <f t="shared" si="8"/>
        <v>0</v>
      </c>
      <c r="I363" s="2" t="b">
        <v>1</v>
      </c>
      <c r="J363" s="2" t="s">
        <v>160</v>
      </c>
      <c r="K363" s="12">
        <f t="shared" si="21"/>
        <v>46082</v>
      </c>
      <c r="L363" s="12">
        <f t="shared" si="22"/>
        <v>46097</v>
      </c>
    </row>
    <row r="364" hidden="1">
      <c r="A364" s="4">
        <v>46192.0</v>
      </c>
      <c r="B364" s="2" t="s">
        <v>1114</v>
      </c>
      <c r="C364" s="2" t="s">
        <v>1115</v>
      </c>
      <c r="D364" s="2" t="s">
        <v>159</v>
      </c>
      <c r="E364" s="2" t="s">
        <v>138</v>
      </c>
      <c r="F364" s="2">
        <v>28.0</v>
      </c>
      <c r="G364" s="2">
        <v>28.0</v>
      </c>
      <c r="H364" s="8">
        <f t="shared" si="8"/>
        <v>0</v>
      </c>
      <c r="I364" s="2" t="b">
        <v>1</v>
      </c>
      <c r="J364" s="2" t="s">
        <v>160</v>
      </c>
      <c r="K364" s="12">
        <f t="shared" si="21"/>
        <v>46207</v>
      </c>
      <c r="L364" s="12">
        <f t="shared" si="22"/>
        <v>46222</v>
      </c>
    </row>
    <row r="365" hidden="1">
      <c r="A365" s="4">
        <v>45988.0</v>
      </c>
      <c r="B365" s="2" t="s">
        <v>398</v>
      </c>
      <c r="C365" s="2" t="s">
        <v>399</v>
      </c>
      <c r="D365" s="2" t="s">
        <v>159</v>
      </c>
      <c r="E365" s="2">
        <v>0.0</v>
      </c>
      <c r="F365" s="2">
        <v>50.0</v>
      </c>
      <c r="G365" s="2">
        <v>50.0</v>
      </c>
      <c r="H365" s="8">
        <f t="shared" si="8"/>
        <v>0</v>
      </c>
      <c r="I365" s="2" t="b">
        <v>1</v>
      </c>
      <c r="J365" s="2" t="s">
        <v>160</v>
      </c>
      <c r="K365" s="12">
        <f t="shared" si="21"/>
        <v>46003</v>
      </c>
      <c r="L365" s="12">
        <f t="shared" si="22"/>
        <v>46018</v>
      </c>
    </row>
    <row r="366" hidden="1">
      <c r="A366" s="4">
        <v>45996.0</v>
      </c>
      <c r="B366" s="2" t="s">
        <v>398</v>
      </c>
      <c r="C366" s="2" t="s">
        <v>400</v>
      </c>
      <c r="D366" s="2" t="s">
        <v>159</v>
      </c>
      <c r="E366" s="2">
        <v>0.0</v>
      </c>
      <c r="F366" s="2">
        <v>38.0</v>
      </c>
      <c r="G366" s="2">
        <v>38.0</v>
      </c>
      <c r="H366" s="8">
        <f t="shared" si="8"/>
        <v>0</v>
      </c>
      <c r="I366" s="2" t="b">
        <v>1</v>
      </c>
      <c r="J366" s="2" t="s">
        <v>160</v>
      </c>
      <c r="K366" s="12">
        <f t="shared" si="21"/>
        <v>46011</v>
      </c>
      <c r="L366" s="12">
        <f t="shared" si="22"/>
        <v>46026</v>
      </c>
    </row>
    <row r="367" hidden="1">
      <c r="A367" s="4">
        <v>45996.0</v>
      </c>
      <c r="B367" s="2" t="s">
        <v>398</v>
      </c>
      <c r="C367" s="2" t="s">
        <v>415</v>
      </c>
      <c r="D367" s="2" t="s">
        <v>159</v>
      </c>
      <c r="E367" s="2">
        <v>0.0</v>
      </c>
      <c r="F367" s="2">
        <v>38.0</v>
      </c>
      <c r="G367" s="2">
        <v>38.0</v>
      </c>
      <c r="H367" s="8">
        <f t="shared" si="8"/>
        <v>0</v>
      </c>
      <c r="I367" s="2" t="b">
        <v>1</v>
      </c>
      <c r="J367" s="2" t="s">
        <v>160</v>
      </c>
      <c r="K367" s="12">
        <f t="shared" si="21"/>
        <v>46011</v>
      </c>
      <c r="L367" s="12">
        <f t="shared" si="22"/>
        <v>46026</v>
      </c>
    </row>
    <row r="368" hidden="1">
      <c r="A368" s="4">
        <v>46060.0</v>
      </c>
      <c r="B368" s="2" t="s">
        <v>1116</v>
      </c>
      <c r="C368" s="2" t="s">
        <v>1117</v>
      </c>
      <c r="D368" s="2" t="s">
        <v>159</v>
      </c>
      <c r="E368" s="2">
        <v>0.0</v>
      </c>
      <c r="F368" s="2">
        <v>8.0</v>
      </c>
      <c r="G368" s="2">
        <v>8.0</v>
      </c>
      <c r="H368" s="8">
        <f t="shared" si="8"/>
        <v>0</v>
      </c>
      <c r="I368" s="2" t="b">
        <v>1</v>
      </c>
      <c r="J368" s="2" t="s">
        <v>160</v>
      </c>
      <c r="K368" s="12">
        <f t="shared" si="21"/>
        <v>46075</v>
      </c>
      <c r="L368" s="12">
        <f t="shared" si="22"/>
        <v>46090</v>
      </c>
    </row>
    <row r="369" hidden="1">
      <c r="A369" s="4">
        <v>46060.0</v>
      </c>
      <c r="B369" s="2" t="s">
        <v>1116</v>
      </c>
      <c r="C369" s="2" t="s">
        <v>1118</v>
      </c>
      <c r="D369" s="2" t="s">
        <v>159</v>
      </c>
      <c r="E369" s="2">
        <v>0.0</v>
      </c>
      <c r="F369" s="2">
        <v>29.0</v>
      </c>
      <c r="G369" s="2">
        <v>29.0</v>
      </c>
      <c r="H369" s="8">
        <f t="shared" si="8"/>
        <v>0</v>
      </c>
      <c r="I369" s="2" t="b">
        <v>1</v>
      </c>
      <c r="J369" s="2" t="s">
        <v>160</v>
      </c>
      <c r="K369" s="12">
        <f t="shared" si="21"/>
        <v>46075</v>
      </c>
      <c r="L369" s="12">
        <f t="shared" si="22"/>
        <v>46090</v>
      </c>
    </row>
    <row r="370" hidden="1">
      <c r="A370" s="4">
        <v>46060.0</v>
      </c>
      <c r="B370" s="2" t="s">
        <v>1116</v>
      </c>
      <c r="C370" s="2" t="s">
        <v>606</v>
      </c>
      <c r="D370" s="2" t="s">
        <v>159</v>
      </c>
      <c r="E370" s="2">
        <v>0.0</v>
      </c>
      <c r="F370" s="2">
        <v>34.0</v>
      </c>
      <c r="G370" s="2">
        <v>34.0</v>
      </c>
      <c r="H370" s="8">
        <f t="shared" si="8"/>
        <v>0</v>
      </c>
      <c r="I370" s="2" t="b">
        <v>1</v>
      </c>
      <c r="J370" s="2" t="s">
        <v>160</v>
      </c>
      <c r="K370" s="12">
        <f t="shared" si="21"/>
        <v>46075</v>
      </c>
      <c r="L370" s="12">
        <f t="shared" si="22"/>
        <v>46090</v>
      </c>
    </row>
    <row r="371" hidden="1">
      <c r="A371" s="4">
        <v>46060.0</v>
      </c>
      <c r="B371" s="2" t="s">
        <v>1116</v>
      </c>
      <c r="C371" s="2" t="s">
        <v>564</v>
      </c>
      <c r="D371" s="2" t="s">
        <v>159</v>
      </c>
      <c r="E371" s="2">
        <v>0.0</v>
      </c>
      <c r="F371" s="2">
        <v>34.0</v>
      </c>
      <c r="G371" s="2">
        <v>34.0</v>
      </c>
      <c r="H371" s="8">
        <f t="shared" si="8"/>
        <v>0</v>
      </c>
      <c r="I371" s="2" t="b">
        <v>1</v>
      </c>
      <c r="J371" s="2" t="s">
        <v>160</v>
      </c>
      <c r="K371" s="12">
        <f t="shared" si="21"/>
        <v>46075</v>
      </c>
      <c r="L371" s="12">
        <f t="shared" si="22"/>
        <v>46090</v>
      </c>
    </row>
    <row r="372" hidden="1">
      <c r="A372" s="4">
        <v>46060.0</v>
      </c>
      <c r="B372" s="2" t="s">
        <v>1116</v>
      </c>
      <c r="C372" s="2" t="s">
        <v>405</v>
      </c>
      <c r="D372" s="2" t="s">
        <v>159</v>
      </c>
      <c r="E372" s="2">
        <v>0.0</v>
      </c>
      <c r="F372" s="2">
        <v>35.0</v>
      </c>
      <c r="G372" s="2">
        <v>35.0</v>
      </c>
      <c r="H372" s="8">
        <f t="shared" si="8"/>
        <v>0</v>
      </c>
      <c r="I372" s="2" t="b">
        <v>1</v>
      </c>
      <c r="J372" s="2" t="s">
        <v>160</v>
      </c>
      <c r="K372" s="12">
        <f t="shared" si="21"/>
        <v>46075</v>
      </c>
      <c r="L372" s="12">
        <f t="shared" si="22"/>
        <v>46090</v>
      </c>
    </row>
    <row r="373" hidden="1">
      <c r="A373" s="4">
        <v>46060.0</v>
      </c>
      <c r="B373" s="2" t="s">
        <v>1116</v>
      </c>
      <c r="C373" s="2" t="s">
        <v>1119</v>
      </c>
      <c r="D373" s="2" t="s">
        <v>159</v>
      </c>
      <c r="E373" s="2">
        <v>0.0</v>
      </c>
      <c r="F373" s="2">
        <v>60.0</v>
      </c>
      <c r="G373" s="2">
        <v>60.0</v>
      </c>
      <c r="H373" s="8">
        <f t="shared" si="8"/>
        <v>0</v>
      </c>
      <c r="I373" s="2" t="b">
        <v>1</v>
      </c>
      <c r="J373" s="2" t="s">
        <v>160</v>
      </c>
      <c r="K373" s="12">
        <f t="shared" si="21"/>
        <v>46075</v>
      </c>
      <c r="L373" s="12">
        <f t="shared" si="22"/>
        <v>46090</v>
      </c>
    </row>
    <row r="374" hidden="1">
      <c r="A374" s="4">
        <v>46060.0</v>
      </c>
      <c r="B374" s="2" t="s">
        <v>1116</v>
      </c>
      <c r="C374" s="2" t="s">
        <v>1120</v>
      </c>
      <c r="D374" s="2" t="s">
        <v>159</v>
      </c>
      <c r="E374" s="2">
        <v>0.0</v>
      </c>
      <c r="F374" s="2">
        <v>40.0</v>
      </c>
      <c r="G374" s="2">
        <v>40.0</v>
      </c>
      <c r="H374" s="8">
        <f t="shared" si="8"/>
        <v>0</v>
      </c>
      <c r="I374" s="2" t="b">
        <v>1</v>
      </c>
      <c r="J374" s="2" t="s">
        <v>160</v>
      </c>
      <c r="K374" s="12">
        <f t="shared" si="21"/>
        <v>46075</v>
      </c>
      <c r="L374" s="12">
        <f t="shared" si="22"/>
        <v>46090</v>
      </c>
    </row>
    <row r="375" hidden="1">
      <c r="A375" s="4">
        <v>46140.0</v>
      </c>
      <c r="B375" s="2" t="s">
        <v>1121</v>
      </c>
      <c r="C375" s="2" t="s">
        <v>1122</v>
      </c>
      <c r="D375" s="2" t="s">
        <v>159</v>
      </c>
      <c r="E375" s="2" t="s">
        <v>745</v>
      </c>
      <c r="F375" s="2">
        <v>90.0</v>
      </c>
      <c r="G375" s="2">
        <v>90.0</v>
      </c>
      <c r="H375" s="8">
        <f t="shared" si="8"/>
        <v>0</v>
      </c>
      <c r="I375" s="2" t="b">
        <v>1</v>
      </c>
      <c r="J375" s="2" t="s">
        <v>160</v>
      </c>
      <c r="K375" s="12">
        <f t="shared" si="21"/>
        <v>46155</v>
      </c>
      <c r="L375" s="12">
        <f t="shared" si="22"/>
        <v>46170</v>
      </c>
    </row>
    <row r="376" hidden="1">
      <c r="A376" s="4">
        <v>46104.0</v>
      </c>
      <c r="B376" s="2" t="s">
        <v>1123</v>
      </c>
      <c r="C376" s="2" t="s">
        <v>1124</v>
      </c>
      <c r="D376" s="2" t="s">
        <v>159</v>
      </c>
      <c r="E376" s="2">
        <v>0.0</v>
      </c>
      <c r="F376" s="2">
        <v>110.0</v>
      </c>
      <c r="G376" s="2">
        <v>110.0</v>
      </c>
      <c r="H376" s="8">
        <f t="shared" si="8"/>
        <v>0</v>
      </c>
      <c r="I376" s="2" t="b">
        <v>1</v>
      </c>
      <c r="J376" s="2" t="s">
        <v>160</v>
      </c>
      <c r="K376" s="12">
        <f t="shared" si="21"/>
        <v>46119</v>
      </c>
      <c r="L376" s="12">
        <f t="shared" si="22"/>
        <v>46134</v>
      </c>
    </row>
    <row r="377" hidden="1">
      <c r="A377" s="4">
        <v>46102.0</v>
      </c>
      <c r="B377" s="2" t="s">
        <v>1125</v>
      </c>
      <c r="C377" s="2" t="s">
        <v>1126</v>
      </c>
      <c r="D377" s="2" t="s">
        <v>159</v>
      </c>
      <c r="E377" s="2">
        <v>0.0</v>
      </c>
      <c r="F377" s="2">
        <v>50.0</v>
      </c>
      <c r="G377" s="2">
        <v>50.0</v>
      </c>
      <c r="H377" s="8">
        <f t="shared" si="8"/>
        <v>0</v>
      </c>
      <c r="I377" s="2" t="b">
        <v>1</v>
      </c>
      <c r="J377" s="2" t="s">
        <v>160</v>
      </c>
      <c r="K377" s="12">
        <f t="shared" si="21"/>
        <v>46117</v>
      </c>
      <c r="L377" s="12">
        <f t="shared" si="22"/>
        <v>46132</v>
      </c>
    </row>
    <row r="378" hidden="1">
      <c r="A378" s="4">
        <v>46173.0</v>
      </c>
      <c r="B378" s="2" t="s">
        <v>1127</v>
      </c>
      <c r="C378" s="2" t="s">
        <v>1128</v>
      </c>
      <c r="D378" s="2" t="s">
        <v>159</v>
      </c>
      <c r="E378" s="2" t="s">
        <v>138</v>
      </c>
      <c r="F378" s="2">
        <v>39.0</v>
      </c>
      <c r="G378" s="2">
        <v>0.0</v>
      </c>
      <c r="H378" s="8">
        <f t="shared" si="8"/>
        <v>39</v>
      </c>
      <c r="I378" s="8" t="b">
        <v>0</v>
      </c>
      <c r="J378" s="2" t="s">
        <v>160</v>
      </c>
      <c r="K378" s="12">
        <f t="shared" si="21"/>
        <v>46188</v>
      </c>
      <c r="L378" s="12">
        <f t="shared" si="22"/>
        <v>46203</v>
      </c>
    </row>
    <row r="379" hidden="1">
      <c r="A379" s="4">
        <v>46070.0</v>
      </c>
      <c r="B379" s="2" t="s">
        <v>1129</v>
      </c>
      <c r="C379" s="2" t="s">
        <v>1130</v>
      </c>
      <c r="D379" s="2" t="s">
        <v>159</v>
      </c>
      <c r="E379" s="2">
        <v>0.0</v>
      </c>
      <c r="F379" s="2">
        <v>50.0</v>
      </c>
      <c r="G379" s="2">
        <v>50.0</v>
      </c>
      <c r="H379" s="8">
        <f t="shared" si="8"/>
        <v>0</v>
      </c>
      <c r="I379" s="2" t="b">
        <v>1</v>
      </c>
      <c r="J379" s="2" t="s">
        <v>160</v>
      </c>
      <c r="K379" s="12">
        <f t="shared" si="21"/>
        <v>46085</v>
      </c>
      <c r="L379" s="12">
        <f t="shared" si="22"/>
        <v>46100</v>
      </c>
    </row>
    <row r="380" hidden="1">
      <c r="A380" s="4">
        <v>46068.0</v>
      </c>
      <c r="B380" s="2" t="s">
        <v>1131</v>
      </c>
      <c r="C380" s="2" t="s">
        <v>1132</v>
      </c>
      <c r="D380" s="2" t="s">
        <v>159</v>
      </c>
      <c r="E380" s="2">
        <v>0.0</v>
      </c>
      <c r="F380" s="2">
        <v>55.0</v>
      </c>
      <c r="G380" s="2">
        <v>55.0</v>
      </c>
      <c r="H380" s="8">
        <f t="shared" si="8"/>
        <v>0</v>
      </c>
      <c r="I380" s="2" t="b">
        <v>1</v>
      </c>
      <c r="J380" s="2" t="s">
        <v>160</v>
      </c>
      <c r="K380" s="12">
        <f t="shared" si="21"/>
        <v>46083</v>
      </c>
      <c r="L380" s="12">
        <f t="shared" si="22"/>
        <v>46098</v>
      </c>
    </row>
    <row r="381" hidden="1">
      <c r="A381" s="4">
        <v>46068.0</v>
      </c>
      <c r="B381" s="2" t="s">
        <v>1133</v>
      </c>
      <c r="C381" s="2" t="s">
        <v>1134</v>
      </c>
      <c r="D381" s="2" t="s">
        <v>159</v>
      </c>
      <c r="E381" s="2">
        <v>0.0</v>
      </c>
      <c r="F381" s="2">
        <v>100.0</v>
      </c>
      <c r="G381" s="2">
        <v>100.0</v>
      </c>
      <c r="H381" s="8">
        <f t="shared" si="8"/>
        <v>0</v>
      </c>
      <c r="I381" s="2" t="b">
        <v>1</v>
      </c>
      <c r="J381" s="2" t="s">
        <v>160</v>
      </c>
      <c r="K381" s="12">
        <f t="shared" si="21"/>
        <v>46083</v>
      </c>
      <c r="L381" s="12">
        <f t="shared" si="22"/>
        <v>46098</v>
      </c>
    </row>
    <row r="382" hidden="1">
      <c r="A382" s="4">
        <v>46009.0</v>
      </c>
      <c r="B382" s="2" t="s">
        <v>418</v>
      </c>
      <c r="C382" s="2" t="s">
        <v>419</v>
      </c>
      <c r="D382" s="2" t="s">
        <v>159</v>
      </c>
      <c r="E382" s="2">
        <v>0.0</v>
      </c>
      <c r="F382" s="2">
        <v>59.5</v>
      </c>
      <c r="G382" s="2">
        <v>59.5</v>
      </c>
      <c r="H382" s="8">
        <f t="shared" si="8"/>
        <v>0</v>
      </c>
      <c r="I382" s="2" t="b">
        <v>1</v>
      </c>
      <c r="J382" s="2" t="s">
        <v>160</v>
      </c>
      <c r="K382" s="12">
        <f t="shared" si="21"/>
        <v>46024</v>
      </c>
      <c r="L382" s="12">
        <f t="shared" si="22"/>
        <v>46039</v>
      </c>
    </row>
    <row r="383" hidden="1">
      <c r="A383" s="4">
        <v>46077.0</v>
      </c>
      <c r="B383" s="2" t="s">
        <v>1135</v>
      </c>
      <c r="C383" s="2" t="s">
        <v>1136</v>
      </c>
      <c r="D383" s="2" t="s">
        <v>159</v>
      </c>
      <c r="E383" s="2">
        <v>0.0</v>
      </c>
      <c r="F383" s="2">
        <v>55.0</v>
      </c>
      <c r="G383" s="2">
        <v>55.0</v>
      </c>
      <c r="H383" s="8">
        <f t="shared" si="8"/>
        <v>0</v>
      </c>
      <c r="I383" s="2" t="b">
        <v>1</v>
      </c>
      <c r="J383" s="2" t="s">
        <v>160</v>
      </c>
      <c r="K383" s="12">
        <f t="shared" si="21"/>
        <v>46092</v>
      </c>
      <c r="L383" s="12">
        <f t="shared" si="22"/>
        <v>46107</v>
      </c>
    </row>
    <row r="384" hidden="1">
      <c r="A384" s="4">
        <v>46077.0</v>
      </c>
      <c r="B384" s="2" t="s">
        <v>1135</v>
      </c>
      <c r="C384" s="2" t="s">
        <v>1137</v>
      </c>
      <c r="D384" s="2" t="s">
        <v>159</v>
      </c>
      <c r="E384" s="2">
        <v>0.0</v>
      </c>
      <c r="F384" s="2">
        <v>55.0</v>
      </c>
      <c r="G384" s="2">
        <v>55.0</v>
      </c>
      <c r="H384" s="8">
        <f t="shared" si="8"/>
        <v>0</v>
      </c>
      <c r="I384" s="2" t="b">
        <v>1</v>
      </c>
      <c r="J384" s="2" t="s">
        <v>160</v>
      </c>
      <c r="K384" s="12">
        <f t="shared" si="21"/>
        <v>46092</v>
      </c>
      <c r="L384" s="12">
        <f t="shared" si="22"/>
        <v>46107</v>
      </c>
    </row>
    <row r="385" hidden="1">
      <c r="A385" s="4">
        <v>46192.0</v>
      </c>
      <c r="B385" s="2" t="s">
        <v>139</v>
      </c>
      <c r="C385" s="2" t="s">
        <v>1138</v>
      </c>
      <c r="D385" s="2" t="s">
        <v>1027</v>
      </c>
      <c r="E385" s="2" t="s">
        <v>0</v>
      </c>
      <c r="F385" s="2">
        <v>540.0</v>
      </c>
      <c r="G385" s="2">
        <v>500.0</v>
      </c>
      <c r="H385" s="8">
        <f t="shared" si="8"/>
        <v>40</v>
      </c>
      <c r="I385" s="2" t="b">
        <v>0</v>
      </c>
      <c r="J385" s="2" t="s">
        <v>160</v>
      </c>
      <c r="K385" s="12">
        <f t="shared" si="21"/>
        <v>46207</v>
      </c>
      <c r="L385" s="12">
        <f t="shared" si="22"/>
        <v>46222</v>
      </c>
    </row>
    <row r="386" hidden="1">
      <c r="A386" s="4">
        <v>46192.0</v>
      </c>
      <c r="B386" s="2" t="s">
        <v>139</v>
      </c>
      <c r="C386" s="2" t="s">
        <v>1139</v>
      </c>
      <c r="D386" s="2" t="s">
        <v>1027</v>
      </c>
      <c r="E386" s="2" t="s">
        <v>138</v>
      </c>
      <c r="F386" s="2">
        <v>500.0</v>
      </c>
      <c r="G386" s="2">
        <v>500.0</v>
      </c>
      <c r="H386" s="8">
        <f t="shared" si="8"/>
        <v>0</v>
      </c>
      <c r="I386" s="2" t="b">
        <v>0</v>
      </c>
      <c r="J386" s="2" t="s">
        <v>160</v>
      </c>
      <c r="K386" s="12">
        <f t="shared" si="21"/>
        <v>46207</v>
      </c>
      <c r="L386" s="12">
        <f t="shared" si="22"/>
        <v>46222</v>
      </c>
    </row>
    <row r="387" hidden="1">
      <c r="A387" s="4">
        <v>46192.0</v>
      </c>
      <c r="B387" s="2" t="s">
        <v>139</v>
      </c>
      <c r="C387" s="2" t="s">
        <v>1140</v>
      </c>
      <c r="D387" s="2" t="s">
        <v>1027</v>
      </c>
      <c r="E387" s="2" t="s">
        <v>138</v>
      </c>
      <c r="F387" s="2">
        <v>150.0</v>
      </c>
      <c r="G387" s="2">
        <v>100.0</v>
      </c>
      <c r="H387" s="8">
        <f t="shared" si="8"/>
        <v>50</v>
      </c>
      <c r="I387" s="2" t="b">
        <v>0</v>
      </c>
      <c r="J387" s="2" t="s">
        <v>160</v>
      </c>
      <c r="K387" s="12">
        <f t="shared" si="21"/>
        <v>46207</v>
      </c>
      <c r="L387" s="12">
        <f t="shared" si="22"/>
        <v>46222</v>
      </c>
    </row>
    <row r="388" hidden="1">
      <c r="A388" s="4">
        <v>46192.0</v>
      </c>
      <c r="B388" s="2" t="s">
        <v>139</v>
      </c>
      <c r="C388" s="2" t="s">
        <v>1141</v>
      </c>
      <c r="D388" s="2" t="s">
        <v>1027</v>
      </c>
      <c r="E388" s="2" t="s">
        <v>138</v>
      </c>
      <c r="F388" s="2">
        <v>250.0</v>
      </c>
      <c r="G388" s="2">
        <v>100.0</v>
      </c>
      <c r="H388" s="8">
        <f t="shared" si="8"/>
        <v>150</v>
      </c>
      <c r="I388" s="2" t="b">
        <v>0</v>
      </c>
      <c r="J388" s="2" t="s">
        <v>160</v>
      </c>
      <c r="K388" s="12">
        <f t="shared" si="21"/>
        <v>46207</v>
      </c>
      <c r="L388" s="12">
        <f t="shared" si="22"/>
        <v>46222</v>
      </c>
    </row>
    <row r="389" hidden="1">
      <c r="A389" s="4">
        <v>46195.0</v>
      </c>
      <c r="B389" s="2" t="s">
        <v>139</v>
      </c>
      <c r="C389" s="2" t="s">
        <v>1142</v>
      </c>
      <c r="D389" s="2" t="s">
        <v>1027</v>
      </c>
      <c r="E389" s="2" t="s">
        <v>0</v>
      </c>
      <c r="F389" s="2">
        <v>950.0</v>
      </c>
      <c r="G389" s="2">
        <v>100.0</v>
      </c>
      <c r="H389" s="8">
        <f t="shared" si="8"/>
        <v>850</v>
      </c>
      <c r="I389" s="2" t="b">
        <v>0</v>
      </c>
      <c r="J389" s="2" t="s">
        <v>160</v>
      </c>
      <c r="K389" s="12">
        <f t="shared" si="21"/>
        <v>46210</v>
      </c>
      <c r="L389" s="12">
        <f t="shared" si="22"/>
        <v>46225</v>
      </c>
    </row>
    <row r="390" hidden="1">
      <c r="A390" s="4">
        <v>46195.0</v>
      </c>
      <c r="B390" s="2" t="s">
        <v>139</v>
      </c>
      <c r="C390" s="2" t="s">
        <v>1143</v>
      </c>
      <c r="D390" s="2" t="s">
        <v>1027</v>
      </c>
      <c r="E390" s="2" t="s">
        <v>0</v>
      </c>
      <c r="F390" s="2">
        <v>1070.0</v>
      </c>
      <c r="G390" s="2">
        <v>100.0</v>
      </c>
      <c r="H390" s="8">
        <f t="shared" si="8"/>
        <v>970</v>
      </c>
      <c r="I390" s="2" t="b">
        <v>0</v>
      </c>
      <c r="J390" s="2" t="s">
        <v>160</v>
      </c>
      <c r="K390" s="12">
        <f t="shared" si="21"/>
        <v>46210</v>
      </c>
      <c r="L390" s="12">
        <f t="shared" si="22"/>
        <v>46225</v>
      </c>
    </row>
    <row r="391" hidden="1">
      <c r="A391" s="4">
        <v>46195.0</v>
      </c>
      <c r="B391" s="2" t="s">
        <v>139</v>
      </c>
      <c r="C391" s="2" t="s">
        <v>1144</v>
      </c>
      <c r="D391" s="2" t="s">
        <v>1027</v>
      </c>
      <c r="E391" s="2" t="s">
        <v>0</v>
      </c>
      <c r="F391" s="2">
        <v>660.0</v>
      </c>
      <c r="G391" s="2">
        <v>100.0</v>
      </c>
      <c r="H391" s="8">
        <f t="shared" si="8"/>
        <v>560</v>
      </c>
      <c r="I391" s="2" t="b">
        <v>0</v>
      </c>
      <c r="J391" s="2" t="s">
        <v>160</v>
      </c>
      <c r="K391" s="12">
        <f t="shared" si="21"/>
        <v>46210</v>
      </c>
      <c r="L391" s="12">
        <f t="shared" si="22"/>
        <v>46225</v>
      </c>
    </row>
    <row r="392" hidden="1">
      <c r="A392" s="4">
        <v>46197.0</v>
      </c>
      <c r="B392" s="2" t="s">
        <v>139</v>
      </c>
      <c r="C392" s="2" t="s">
        <v>1145</v>
      </c>
      <c r="D392" s="2" t="s">
        <v>1027</v>
      </c>
      <c r="E392" s="2" t="s">
        <v>0</v>
      </c>
      <c r="F392" s="2">
        <v>235.0</v>
      </c>
      <c r="G392" s="2">
        <v>5.0</v>
      </c>
      <c r="H392" s="8">
        <f t="shared" si="8"/>
        <v>230</v>
      </c>
      <c r="I392" s="2" t="b">
        <v>0</v>
      </c>
      <c r="J392" s="2" t="s">
        <v>160</v>
      </c>
      <c r="K392" s="12">
        <f t="shared" si="21"/>
        <v>46212</v>
      </c>
      <c r="L392" s="12">
        <f t="shared" si="22"/>
        <v>46227</v>
      </c>
    </row>
    <row r="393" hidden="1">
      <c r="A393" s="4">
        <v>46197.0</v>
      </c>
      <c r="B393" s="2" t="s">
        <v>139</v>
      </c>
      <c r="C393" s="2" t="s">
        <v>1146</v>
      </c>
      <c r="D393" s="2" t="s">
        <v>1027</v>
      </c>
      <c r="E393" s="2" t="s">
        <v>138</v>
      </c>
      <c r="F393" s="2">
        <v>150.0</v>
      </c>
      <c r="G393" s="2">
        <v>0.0</v>
      </c>
      <c r="H393" s="8">
        <f t="shared" si="8"/>
        <v>150</v>
      </c>
      <c r="I393" s="2" t="b">
        <v>0</v>
      </c>
      <c r="J393" s="2" t="s">
        <v>160</v>
      </c>
      <c r="K393" s="12">
        <f t="shared" si="21"/>
        <v>46212</v>
      </c>
      <c r="L393" s="12">
        <f t="shared" si="22"/>
        <v>46227</v>
      </c>
    </row>
    <row r="394">
      <c r="A394" s="4">
        <v>46190.0</v>
      </c>
      <c r="B394" s="2" t="s">
        <v>139</v>
      </c>
      <c r="C394" s="2" t="s">
        <v>1147</v>
      </c>
      <c r="D394" s="2" t="s">
        <v>159</v>
      </c>
      <c r="E394" s="2" t="s">
        <v>138</v>
      </c>
      <c r="F394" s="2">
        <v>700.0</v>
      </c>
      <c r="G394" s="2">
        <v>700.0</v>
      </c>
      <c r="H394" s="8">
        <f t="shared" si="8"/>
        <v>0</v>
      </c>
      <c r="I394" s="2" t="b">
        <v>0</v>
      </c>
      <c r="J394" s="2" t="s">
        <v>160</v>
      </c>
      <c r="K394" s="12">
        <f t="shared" si="21"/>
        <v>46205</v>
      </c>
      <c r="L394" s="12">
        <f t="shared" si="22"/>
        <v>46220</v>
      </c>
    </row>
    <row r="395">
      <c r="A395" s="4">
        <v>46197.0</v>
      </c>
      <c r="B395" s="2" t="s">
        <v>139</v>
      </c>
      <c r="C395" s="2" t="s">
        <v>1148</v>
      </c>
      <c r="D395" s="2" t="s">
        <v>159</v>
      </c>
      <c r="E395" s="2" t="s">
        <v>138</v>
      </c>
      <c r="F395" s="2">
        <v>140.0</v>
      </c>
      <c r="G395" s="2">
        <v>140.0</v>
      </c>
      <c r="H395" s="8">
        <f t="shared" si="8"/>
        <v>0</v>
      </c>
      <c r="I395" s="2" t="b">
        <v>0</v>
      </c>
      <c r="J395" s="2" t="s">
        <v>160</v>
      </c>
      <c r="K395" s="12">
        <f t="shared" si="21"/>
        <v>46212</v>
      </c>
      <c r="L395" s="12">
        <f t="shared" si="22"/>
        <v>46227</v>
      </c>
    </row>
    <row r="396">
      <c r="A396" s="4">
        <v>46197.0</v>
      </c>
      <c r="B396" s="2" t="s">
        <v>139</v>
      </c>
      <c r="C396" s="2" t="s">
        <v>1149</v>
      </c>
      <c r="D396" s="2" t="s">
        <v>159</v>
      </c>
      <c r="E396" s="2" t="s">
        <v>0</v>
      </c>
      <c r="F396" s="2">
        <v>130.0</v>
      </c>
      <c r="G396" s="2">
        <v>130.0</v>
      </c>
      <c r="H396" s="8">
        <f t="shared" si="8"/>
        <v>0</v>
      </c>
      <c r="I396" s="2" t="b">
        <v>0</v>
      </c>
      <c r="J396" s="2" t="s">
        <v>160</v>
      </c>
      <c r="K396" s="12">
        <f t="shared" si="21"/>
        <v>46212</v>
      </c>
      <c r="L396" s="12">
        <f t="shared" si="22"/>
        <v>46227</v>
      </c>
    </row>
    <row r="397">
      <c r="A397" s="4">
        <v>46197.0</v>
      </c>
      <c r="B397" s="2" t="s">
        <v>139</v>
      </c>
      <c r="C397" s="2" t="s">
        <v>1150</v>
      </c>
      <c r="D397" s="2" t="s">
        <v>159</v>
      </c>
      <c r="E397" s="2" t="s">
        <v>138</v>
      </c>
      <c r="F397" s="2">
        <v>13.0</v>
      </c>
      <c r="G397" s="2">
        <v>13.0</v>
      </c>
      <c r="H397" s="8">
        <f t="shared" si="8"/>
        <v>0</v>
      </c>
      <c r="I397" s="2" t="b">
        <v>0</v>
      </c>
      <c r="J397" s="2" t="s">
        <v>160</v>
      </c>
      <c r="K397" s="12">
        <f t="shared" si="21"/>
        <v>46212</v>
      </c>
      <c r="L397" s="12">
        <f t="shared" si="22"/>
        <v>46227</v>
      </c>
    </row>
    <row r="398">
      <c r="A398" s="4">
        <v>46197.0</v>
      </c>
      <c r="B398" s="2" t="s">
        <v>139</v>
      </c>
      <c r="C398" s="2" t="s">
        <v>1151</v>
      </c>
      <c r="D398" s="2" t="s">
        <v>159</v>
      </c>
      <c r="E398" s="2" t="s">
        <v>0</v>
      </c>
      <c r="F398" s="2">
        <v>75.0</v>
      </c>
      <c r="G398" s="2">
        <v>75.0</v>
      </c>
      <c r="H398" s="8">
        <f t="shared" si="8"/>
        <v>0</v>
      </c>
      <c r="I398" s="2" t="b">
        <v>0</v>
      </c>
      <c r="J398" s="2" t="s">
        <v>160</v>
      </c>
      <c r="K398" s="12">
        <f t="shared" si="21"/>
        <v>46212</v>
      </c>
      <c r="L398" s="12">
        <f t="shared" si="22"/>
        <v>46227</v>
      </c>
    </row>
    <row r="399">
      <c r="A399" s="4">
        <v>46197.0</v>
      </c>
      <c r="B399" s="2" t="s">
        <v>139</v>
      </c>
      <c r="C399" s="2" t="s">
        <v>1152</v>
      </c>
      <c r="D399" s="2" t="s">
        <v>159</v>
      </c>
      <c r="E399" s="2" t="s">
        <v>0</v>
      </c>
      <c r="F399" s="2">
        <v>85.0</v>
      </c>
      <c r="G399" s="2">
        <v>85.0</v>
      </c>
      <c r="H399" s="8">
        <f t="shared" si="8"/>
        <v>0</v>
      </c>
      <c r="I399" s="2" t="b">
        <v>0</v>
      </c>
      <c r="J399" s="2" t="s">
        <v>160</v>
      </c>
      <c r="K399" s="12">
        <f t="shared" si="21"/>
        <v>46212</v>
      </c>
      <c r="L399" s="12">
        <f t="shared" si="22"/>
        <v>46227</v>
      </c>
    </row>
    <row r="400">
      <c r="A400" s="4">
        <v>46197.0</v>
      </c>
      <c r="B400" s="2" t="s">
        <v>139</v>
      </c>
      <c r="C400" s="2" t="s">
        <v>1153</v>
      </c>
      <c r="D400" s="2" t="s">
        <v>159</v>
      </c>
      <c r="E400" s="2" t="s">
        <v>0</v>
      </c>
      <c r="F400" s="2">
        <v>60.0</v>
      </c>
      <c r="G400" s="2">
        <v>60.0</v>
      </c>
      <c r="H400" s="8">
        <f t="shared" si="8"/>
        <v>0</v>
      </c>
      <c r="I400" s="2" t="b">
        <v>0</v>
      </c>
      <c r="J400" s="2" t="s">
        <v>160</v>
      </c>
      <c r="K400" s="12">
        <f t="shared" si="21"/>
        <v>46212</v>
      </c>
      <c r="L400" s="12">
        <f t="shared" si="22"/>
        <v>46227</v>
      </c>
    </row>
    <row r="401">
      <c r="A401" s="4">
        <v>46197.0</v>
      </c>
      <c r="B401" s="2" t="s">
        <v>139</v>
      </c>
      <c r="C401" s="2" t="s">
        <v>1154</v>
      </c>
      <c r="D401" s="2" t="s">
        <v>159</v>
      </c>
      <c r="E401" s="2" t="s">
        <v>0</v>
      </c>
      <c r="F401" s="2">
        <v>50.0</v>
      </c>
      <c r="G401" s="2">
        <v>50.0</v>
      </c>
      <c r="H401" s="8">
        <f t="shared" si="8"/>
        <v>0</v>
      </c>
      <c r="I401" s="2" t="b">
        <v>0</v>
      </c>
      <c r="J401" s="2" t="s">
        <v>160</v>
      </c>
      <c r="K401" s="12">
        <f t="shared" si="21"/>
        <v>46212</v>
      </c>
      <c r="L401" s="12">
        <f t="shared" si="22"/>
        <v>46227</v>
      </c>
    </row>
    <row r="402">
      <c r="A402" s="4">
        <v>46197.0</v>
      </c>
      <c r="B402" s="2" t="s">
        <v>139</v>
      </c>
      <c r="C402" s="2" t="s">
        <v>1155</v>
      </c>
      <c r="D402" s="2" t="s">
        <v>159</v>
      </c>
      <c r="E402" s="2" t="s">
        <v>138</v>
      </c>
      <c r="F402" s="2">
        <v>60.0</v>
      </c>
      <c r="G402" s="2">
        <v>60.0</v>
      </c>
      <c r="H402" s="8">
        <f t="shared" si="8"/>
        <v>0</v>
      </c>
      <c r="I402" s="2" t="b">
        <v>0</v>
      </c>
      <c r="J402" s="2" t="s">
        <v>160</v>
      </c>
      <c r="K402" s="12">
        <f t="shared" si="21"/>
        <v>46212</v>
      </c>
      <c r="L402" s="12">
        <f t="shared" si="22"/>
        <v>46227</v>
      </c>
    </row>
    <row r="403">
      <c r="A403" s="4">
        <v>46198.0</v>
      </c>
      <c r="B403" s="2" t="s">
        <v>139</v>
      </c>
      <c r="C403" s="2" t="s">
        <v>1156</v>
      </c>
      <c r="D403" s="2" t="s">
        <v>159</v>
      </c>
      <c r="E403" s="2" t="s">
        <v>0</v>
      </c>
      <c r="F403" s="2">
        <v>350.0</v>
      </c>
      <c r="G403" s="2">
        <v>0.0</v>
      </c>
      <c r="H403" s="8">
        <f t="shared" si="8"/>
        <v>350</v>
      </c>
      <c r="I403" s="2" t="b">
        <v>0</v>
      </c>
      <c r="J403" s="2" t="s">
        <v>160</v>
      </c>
      <c r="K403" s="12">
        <f t="shared" si="21"/>
        <v>46213</v>
      </c>
      <c r="L403" s="12">
        <f t="shared" si="22"/>
        <v>46228</v>
      </c>
    </row>
    <row r="404" hidden="1">
      <c r="A404" s="4">
        <v>46202.0</v>
      </c>
      <c r="B404" s="2" t="s">
        <v>139</v>
      </c>
      <c r="C404" s="2" t="s">
        <v>1157</v>
      </c>
      <c r="D404" s="2" t="s">
        <v>1027</v>
      </c>
      <c r="E404" s="2" t="s">
        <v>0</v>
      </c>
      <c r="F404" s="2">
        <v>1150.0</v>
      </c>
      <c r="G404" s="2">
        <v>0.0</v>
      </c>
      <c r="H404" s="8">
        <f t="shared" si="8"/>
        <v>1150</v>
      </c>
      <c r="I404" s="2" t="b">
        <v>0</v>
      </c>
      <c r="J404" s="2" t="s">
        <v>160</v>
      </c>
      <c r="K404" s="12">
        <f t="shared" si="21"/>
        <v>46217</v>
      </c>
      <c r="L404" s="12">
        <f t="shared" si="22"/>
        <v>46232</v>
      </c>
    </row>
    <row r="405" hidden="1">
      <c r="A405" s="4">
        <v>46183.0</v>
      </c>
      <c r="B405" s="2" t="s">
        <v>139</v>
      </c>
      <c r="C405" s="2" t="s">
        <v>1158</v>
      </c>
      <c r="D405" s="2" t="s">
        <v>159</v>
      </c>
      <c r="E405" s="2" t="s">
        <v>0</v>
      </c>
      <c r="F405" s="2">
        <v>700.0</v>
      </c>
      <c r="G405" s="2">
        <v>700.0</v>
      </c>
      <c r="H405" s="8">
        <f t="shared" si="8"/>
        <v>0</v>
      </c>
      <c r="I405" s="2" t="b">
        <v>1</v>
      </c>
      <c r="J405" s="2" t="s">
        <v>160</v>
      </c>
      <c r="K405" s="12">
        <f t="shared" si="21"/>
        <v>46198</v>
      </c>
      <c r="L405" s="12">
        <f t="shared" si="22"/>
        <v>46213</v>
      </c>
    </row>
    <row r="406" hidden="1">
      <c r="A406" s="4">
        <v>46041.0</v>
      </c>
      <c r="B406" s="2" t="s">
        <v>1159</v>
      </c>
      <c r="C406" s="2" t="s">
        <v>1160</v>
      </c>
      <c r="D406" s="2" t="s">
        <v>159</v>
      </c>
      <c r="E406" s="2">
        <v>0.0</v>
      </c>
      <c r="F406" s="2">
        <v>30.0</v>
      </c>
      <c r="G406" s="2">
        <v>30.0</v>
      </c>
      <c r="H406" s="8">
        <f t="shared" si="8"/>
        <v>0</v>
      </c>
      <c r="I406" s="2" t="b">
        <v>1</v>
      </c>
      <c r="J406" s="2" t="s">
        <v>160</v>
      </c>
      <c r="K406" s="12">
        <f t="shared" si="21"/>
        <v>46056</v>
      </c>
      <c r="L406" s="12">
        <f t="shared" si="22"/>
        <v>46071</v>
      </c>
    </row>
    <row r="407" hidden="1">
      <c r="A407" s="4">
        <v>46190.0</v>
      </c>
      <c r="B407" s="2" t="s">
        <v>1161</v>
      </c>
      <c r="C407" s="2" t="s">
        <v>1162</v>
      </c>
      <c r="D407" s="2" t="s">
        <v>159</v>
      </c>
      <c r="E407" s="2" t="s">
        <v>138</v>
      </c>
      <c r="F407" s="2">
        <v>30.0</v>
      </c>
      <c r="G407" s="2">
        <v>30.0</v>
      </c>
      <c r="H407" s="8">
        <f t="shared" si="8"/>
        <v>0</v>
      </c>
      <c r="I407" s="2" t="b">
        <v>0</v>
      </c>
      <c r="J407" s="2" t="s">
        <v>160</v>
      </c>
      <c r="K407" s="12">
        <f t="shared" si="21"/>
        <v>46205</v>
      </c>
      <c r="L407" s="12">
        <f t="shared" si="22"/>
        <v>46220</v>
      </c>
    </row>
    <row r="408" hidden="1">
      <c r="A408" s="4">
        <v>46141.0</v>
      </c>
      <c r="B408" s="2" t="s">
        <v>1163</v>
      </c>
      <c r="C408" s="2" t="s">
        <v>1164</v>
      </c>
      <c r="D408" s="2" t="s">
        <v>159</v>
      </c>
      <c r="E408" s="2" t="s">
        <v>745</v>
      </c>
      <c r="F408" s="2">
        <v>20.0</v>
      </c>
      <c r="G408" s="2">
        <v>20.0</v>
      </c>
      <c r="H408" s="8">
        <f t="shared" si="8"/>
        <v>0</v>
      </c>
      <c r="I408" s="2" t="b">
        <v>1</v>
      </c>
      <c r="J408" s="2" t="s">
        <v>160</v>
      </c>
      <c r="K408" s="12">
        <f t="shared" si="21"/>
        <v>46156</v>
      </c>
      <c r="L408" s="12">
        <f t="shared" si="22"/>
        <v>46171</v>
      </c>
    </row>
    <row r="409" hidden="1">
      <c r="A409" s="4">
        <v>46141.0</v>
      </c>
      <c r="B409" s="2" t="s">
        <v>416</v>
      </c>
      <c r="C409" s="2" t="s">
        <v>1165</v>
      </c>
      <c r="D409" s="2" t="s">
        <v>159</v>
      </c>
      <c r="E409" s="2" t="s">
        <v>745</v>
      </c>
      <c r="F409" s="2">
        <v>20.0</v>
      </c>
      <c r="G409" s="2">
        <v>20.0</v>
      </c>
      <c r="H409" s="8">
        <f t="shared" si="8"/>
        <v>0</v>
      </c>
      <c r="I409" s="2" t="b">
        <v>1</v>
      </c>
      <c r="J409" s="2" t="s">
        <v>160</v>
      </c>
      <c r="K409" s="12">
        <f t="shared" si="21"/>
        <v>46156</v>
      </c>
      <c r="L409" s="12">
        <f t="shared" si="22"/>
        <v>46171</v>
      </c>
    </row>
    <row r="410" hidden="1">
      <c r="A410" s="4">
        <v>46141.0</v>
      </c>
      <c r="B410" s="2" t="s">
        <v>416</v>
      </c>
      <c r="C410" s="2" t="s">
        <v>1166</v>
      </c>
      <c r="D410" s="2" t="s">
        <v>159</v>
      </c>
      <c r="E410" s="2" t="s">
        <v>745</v>
      </c>
      <c r="F410" s="2">
        <v>35.0</v>
      </c>
      <c r="G410" s="2">
        <v>35.0</v>
      </c>
      <c r="H410" s="8">
        <f t="shared" si="8"/>
        <v>0</v>
      </c>
      <c r="I410" s="2" t="b">
        <v>1</v>
      </c>
      <c r="J410" s="2" t="s">
        <v>160</v>
      </c>
      <c r="K410" s="12">
        <f t="shared" si="21"/>
        <v>46156</v>
      </c>
      <c r="L410" s="12">
        <f t="shared" si="22"/>
        <v>46171</v>
      </c>
    </row>
    <row r="411" hidden="1">
      <c r="A411" s="4">
        <v>46146.0</v>
      </c>
      <c r="B411" s="2" t="s">
        <v>416</v>
      </c>
      <c r="C411" s="2" t="s">
        <v>1167</v>
      </c>
      <c r="D411" s="2" t="s">
        <v>159</v>
      </c>
      <c r="E411" s="2">
        <v>0.0</v>
      </c>
      <c r="F411" s="2">
        <v>41.0</v>
      </c>
      <c r="G411" s="2">
        <v>41.0</v>
      </c>
      <c r="H411" s="8">
        <f t="shared" si="8"/>
        <v>0</v>
      </c>
      <c r="I411" s="2" t="b">
        <v>1</v>
      </c>
      <c r="J411" s="2" t="s">
        <v>160</v>
      </c>
      <c r="K411" s="12">
        <f t="shared" si="21"/>
        <v>46161</v>
      </c>
      <c r="L411" s="12">
        <f t="shared" si="22"/>
        <v>46176</v>
      </c>
    </row>
    <row r="412" hidden="1">
      <c r="A412" s="4">
        <v>46097.0</v>
      </c>
      <c r="B412" s="2" t="s">
        <v>1168</v>
      </c>
      <c r="C412" s="2" t="s">
        <v>608</v>
      </c>
      <c r="D412" s="2" t="s">
        <v>159</v>
      </c>
      <c r="E412" s="2">
        <v>0.0</v>
      </c>
      <c r="F412" s="2">
        <v>65.0</v>
      </c>
      <c r="G412" s="2">
        <v>65.0</v>
      </c>
      <c r="H412" s="8">
        <f t="shared" si="8"/>
        <v>0</v>
      </c>
      <c r="I412" s="2" t="b">
        <v>1</v>
      </c>
      <c r="J412" s="2" t="s">
        <v>160</v>
      </c>
      <c r="K412" s="12">
        <f t="shared" si="21"/>
        <v>46112</v>
      </c>
      <c r="L412" s="12">
        <f t="shared" si="22"/>
        <v>46127</v>
      </c>
    </row>
    <row r="413" hidden="1">
      <c r="A413" s="4">
        <v>46192.0</v>
      </c>
      <c r="B413" s="2" t="s">
        <v>1169</v>
      </c>
      <c r="C413" s="2" t="s">
        <v>1170</v>
      </c>
      <c r="D413" s="2" t="s">
        <v>159</v>
      </c>
      <c r="E413" s="2" t="s">
        <v>0</v>
      </c>
      <c r="F413" s="2">
        <v>47.0</v>
      </c>
      <c r="G413" s="2">
        <v>47.0</v>
      </c>
      <c r="H413" s="8">
        <f t="shared" si="8"/>
        <v>0</v>
      </c>
      <c r="I413" s="2" t="b">
        <v>1</v>
      </c>
      <c r="J413" s="2" t="s">
        <v>160</v>
      </c>
      <c r="K413" s="12">
        <f t="shared" si="21"/>
        <v>46207</v>
      </c>
      <c r="L413" s="12">
        <f t="shared" si="22"/>
        <v>46222</v>
      </c>
    </row>
    <row r="414" hidden="1">
      <c r="A414" s="4">
        <v>46147.0</v>
      </c>
      <c r="B414" s="2" t="s">
        <v>432</v>
      </c>
      <c r="C414" s="2" t="s">
        <v>1171</v>
      </c>
      <c r="D414" s="2" t="s">
        <v>159</v>
      </c>
      <c r="E414" s="2">
        <v>0.0</v>
      </c>
      <c r="F414" s="2">
        <v>37.0</v>
      </c>
      <c r="G414" s="2">
        <v>37.0</v>
      </c>
      <c r="H414" s="8">
        <f t="shared" si="8"/>
        <v>0</v>
      </c>
      <c r="I414" s="2" t="b">
        <v>1</v>
      </c>
      <c r="J414" s="2" t="s">
        <v>160</v>
      </c>
      <c r="K414" s="12">
        <f t="shared" si="21"/>
        <v>46162</v>
      </c>
      <c r="L414" s="12">
        <f t="shared" si="22"/>
        <v>46177</v>
      </c>
    </row>
    <row r="415">
      <c r="A415" s="4">
        <v>46173.0</v>
      </c>
      <c r="B415" s="2" t="s">
        <v>1172</v>
      </c>
      <c r="C415" s="2" t="s">
        <v>1173</v>
      </c>
      <c r="D415" s="2" t="s">
        <v>159</v>
      </c>
      <c r="E415" s="2" t="s">
        <v>138</v>
      </c>
      <c r="F415" s="2">
        <v>38.0</v>
      </c>
      <c r="G415" s="2">
        <v>38.0</v>
      </c>
      <c r="H415" s="8">
        <f t="shared" si="8"/>
        <v>0</v>
      </c>
      <c r="I415" s="8" t="b">
        <v>0</v>
      </c>
      <c r="J415" s="2" t="s">
        <v>160</v>
      </c>
      <c r="K415" s="12">
        <f t="shared" si="21"/>
        <v>46188</v>
      </c>
      <c r="L415" s="12">
        <f t="shared" si="22"/>
        <v>46203</v>
      </c>
    </row>
    <row r="416">
      <c r="A416" s="4">
        <v>46173.0</v>
      </c>
      <c r="B416" s="2" t="s">
        <v>1172</v>
      </c>
      <c r="C416" s="2" t="s">
        <v>996</v>
      </c>
      <c r="D416" s="2" t="s">
        <v>159</v>
      </c>
      <c r="E416" s="2" t="s">
        <v>138</v>
      </c>
      <c r="F416" s="2">
        <v>35.0</v>
      </c>
      <c r="G416" s="2">
        <v>35.0</v>
      </c>
      <c r="H416" s="8">
        <f t="shared" si="8"/>
        <v>0</v>
      </c>
      <c r="I416" s="8" t="b">
        <v>0</v>
      </c>
      <c r="J416" s="2" t="s">
        <v>160</v>
      </c>
      <c r="K416" s="12">
        <f t="shared" si="21"/>
        <v>46188</v>
      </c>
      <c r="L416" s="12">
        <f t="shared" si="22"/>
        <v>46203</v>
      </c>
    </row>
    <row r="417" hidden="1">
      <c r="A417" s="4">
        <v>46147.0</v>
      </c>
      <c r="B417" s="2" t="s">
        <v>1174</v>
      </c>
      <c r="C417" s="2" t="s">
        <v>1175</v>
      </c>
      <c r="D417" s="2" t="s">
        <v>159</v>
      </c>
      <c r="E417" s="2" t="s">
        <v>138</v>
      </c>
      <c r="F417" s="2">
        <v>45.0</v>
      </c>
      <c r="G417" s="2">
        <v>10.0</v>
      </c>
      <c r="H417" s="8">
        <f t="shared" si="8"/>
        <v>35</v>
      </c>
      <c r="I417" s="8" t="b">
        <v>0</v>
      </c>
      <c r="J417" s="2" t="s">
        <v>160</v>
      </c>
      <c r="K417" s="12">
        <f t="shared" si="21"/>
        <v>46162</v>
      </c>
      <c r="L417" s="12">
        <f t="shared" si="22"/>
        <v>46177</v>
      </c>
    </row>
    <row r="418" hidden="1">
      <c r="A418" s="4">
        <v>46180.0</v>
      </c>
      <c r="B418" s="2" t="s">
        <v>1174</v>
      </c>
      <c r="C418" s="2" t="s">
        <v>1176</v>
      </c>
      <c r="D418" s="2" t="s">
        <v>159</v>
      </c>
      <c r="E418" s="2" t="s">
        <v>138</v>
      </c>
      <c r="F418" s="2">
        <v>30.0</v>
      </c>
      <c r="G418" s="2">
        <v>0.0</v>
      </c>
      <c r="H418" s="8">
        <f t="shared" si="8"/>
        <v>30</v>
      </c>
      <c r="I418" s="2" t="b">
        <v>0</v>
      </c>
      <c r="J418" s="2" t="s">
        <v>160</v>
      </c>
      <c r="K418" s="12">
        <f t="shared" si="21"/>
        <v>46195</v>
      </c>
      <c r="L418" s="12">
        <f t="shared" si="22"/>
        <v>46210</v>
      </c>
    </row>
    <row r="419" hidden="1">
      <c r="A419" s="4">
        <v>46180.0</v>
      </c>
      <c r="B419" s="2" t="s">
        <v>1174</v>
      </c>
      <c r="C419" s="2" t="s">
        <v>1177</v>
      </c>
      <c r="D419" s="2" t="s">
        <v>159</v>
      </c>
      <c r="E419" s="2" t="s">
        <v>138</v>
      </c>
      <c r="F419" s="2">
        <v>35.0</v>
      </c>
      <c r="G419" s="2">
        <v>0.0</v>
      </c>
      <c r="H419" s="8">
        <f t="shared" si="8"/>
        <v>35</v>
      </c>
      <c r="I419" s="2" t="b">
        <v>0</v>
      </c>
      <c r="J419" s="2" t="s">
        <v>160</v>
      </c>
      <c r="K419" s="12">
        <f t="shared" si="21"/>
        <v>46195</v>
      </c>
      <c r="L419" s="12">
        <f t="shared" si="22"/>
        <v>46210</v>
      </c>
    </row>
    <row r="420" hidden="1">
      <c r="A420" s="4">
        <v>46180.0</v>
      </c>
      <c r="B420" s="2" t="s">
        <v>1174</v>
      </c>
      <c r="C420" s="2" t="s">
        <v>1178</v>
      </c>
      <c r="D420" s="2" t="s">
        <v>159</v>
      </c>
      <c r="E420" s="2" t="s">
        <v>138</v>
      </c>
      <c r="F420" s="2">
        <v>45.0</v>
      </c>
      <c r="G420" s="2">
        <v>0.0</v>
      </c>
      <c r="H420" s="8">
        <f t="shared" si="8"/>
        <v>45</v>
      </c>
      <c r="I420" s="2" t="b">
        <v>0</v>
      </c>
      <c r="J420" s="2" t="s">
        <v>160</v>
      </c>
      <c r="K420" s="12">
        <f t="shared" si="21"/>
        <v>46195</v>
      </c>
      <c r="L420" s="12">
        <f t="shared" si="22"/>
        <v>46210</v>
      </c>
    </row>
    <row r="421" hidden="1">
      <c r="A421" s="4">
        <v>46180.0</v>
      </c>
      <c r="B421" s="2" t="s">
        <v>1174</v>
      </c>
      <c r="C421" s="2" t="s">
        <v>1179</v>
      </c>
      <c r="D421" s="2" t="s">
        <v>159</v>
      </c>
      <c r="E421" s="2" t="s">
        <v>138</v>
      </c>
      <c r="F421" s="2">
        <v>60.0</v>
      </c>
      <c r="G421" s="2">
        <v>0.0</v>
      </c>
      <c r="H421" s="8">
        <f t="shared" si="8"/>
        <v>60</v>
      </c>
      <c r="I421" s="2" t="b">
        <v>0</v>
      </c>
      <c r="J421" s="2" t="s">
        <v>160</v>
      </c>
      <c r="K421" s="12">
        <f t="shared" si="21"/>
        <v>46195</v>
      </c>
      <c r="L421" s="12">
        <f t="shared" si="22"/>
        <v>46210</v>
      </c>
    </row>
    <row r="422" hidden="1">
      <c r="A422" s="4">
        <v>46055.0</v>
      </c>
      <c r="B422" s="2" t="s">
        <v>483</v>
      </c>
      <c r="C422" s="2" t="s">
        <v>1180</v>
      </c>
      <c r="D422" s="2" t="s">
        <v>159</v>
      </c>
      <c r="E422" s="2">
        <v>0.0</v>
      </c>
      <c r="F422" s="2">
        <v>65.0</v>
      </c>
      <c r="G422" s="2">
        <v>65.0</v>
      </c>
      <c r="H422" s="8">
        <f t="shared" si="8"/>
        <v>0</v>
      </c>
      <c r="I422" s="2" t="b">
        <v>1</v>
      </c>
      <c r="J422" s="2" t="s">
        <v>160</v>
      </c>
      <c r="K422" s="12">
        <f t="shared" si="21"/>
        <v>46070</v>
      </c>
      <c r="L422" s="12">
        <f t="shared" si="22"/>
        <v>46085</v>
      </c>
    </row>
    <row r="423" hidden="1">
      <c r="A423" s="4">
        <v>46055.0</v>
      </c>
      <c r="B423" s="2" t="s">
        <v>483</v>
      </c>
      <c r="C423" s="2" t="s">
        <v>1181</v>
      </c>
      <c r="D423" s="2" t="s">
        <v>159</v>
      </c>
      <c r="E423" s="2">
        <v>0.0</v>
      </c>
      <c r="F423" s="2">
        <v>60.0</v>
      </c>
      <c r="G423" s="2">
        <v>60.0</v>
      </c>
      <c r="H423" s="8">
        <f t="shared" si="8"/>
        <v>0</v>
      </c>
      <c r="I423" s="2" t="b">
        <v>1</v>
      </c>
      <c r="J423" s="2" t="s">
        <v>160</v>
      </c>
      <c r="K423" s="12">
        <f t="shared" si="21"/>
        <v>46070</v>
      </c>
      <c r="L423" s="12">
        <f t="shared" si="22"/>
        <v>46085</v>
      </c>
    </row>
    <row r="424" hidden="1">
      <c r="A424" s="4">
        <v>46084.0</v>
      </c>
      <c r="B424" s="2" t="s">
        <v>483</v>
      </c>
      <c r="C424" s="2" t="s">
        <v>1182</v>
      </c>
      <c r="D424" s="2" t="s">
        <v>159</v>
      </c>
      <c r="E424" s="2">
        <v>0.0</v>
      </c>
      <c r="F424" s="2">
        <v>55.0</v>
      </c>
      <c r="G424" s="2">
        <v>55.0</v>
      </c>
      <c r="H424" s="8">
        <f t="shared" si="8"/>
        <v>0</v>
      </c>
      <c r="I424" s="2" t="b">
        <v>1</v>
      </c>
      <c r="J424" s="2" t="s">
        <v>160</v>
      </c>
      <c r="K424" s="12">
        <f t="shared" si="21"/>
        <v>46099</v>
      </c>
      <c r="L424" s="12">
        <f t="shared" si="22"/>
        <v>46114</v>
      </c>
    </row>
    <row r="425" hidden="1">
      <c r="A425" s="4">
        <v>46056.0</v>
      </c>
      <c r="B425" s="2" t="s">
        <v>1183</v>
      </c>
      <c r="C425" s="2" t="s">
        <v>1184</v>
      </c>
      <c r="D425" s="2" t="s">
        <v>159</v>
      </c>
      <c r="E425" s="2">
        <v>0.0</v>
      </c>
      <c r="F425" s="2">
        <v>45.0</v>
      </c>
      <c r="G425" s="2">
        <v>45.0</v>
      </c>
      <c r="H425" s="8">
        <f t="shared" si="8"/>
        <v>0</v>
      </c>
      <c r="I425" s="2" t="b">
        <v>1</v>
      </c>
      <c r="J425" s="2" t="s">
        <v>160</v>
      </c>
      <c r="K425" s="12">
        <f t="shared" si="21"/>
        <v>46071</v>
      </c>
      <c r="L425" s="12">
        <f t="shared" si="22"/>
        <v>46086</v>
      </c>
    </row>
    <row r="426" hidden="1">
      <c r="A426" s="4">
        <v>46068.0</v>
      </c>
      <c r="B426" s="2" t="s">
        <v>1185</v>
      </c>
      <c r="C426" s="2" t="s">
        <v>1186</v>
      </c>
      <c r="D426" s="2" t="s">
        <v>159</v>
      </c>
      <c r="E426" s="2">
        <v>0.0</v>
      </c>
      <c r="F426" s="2">
        <v>30.0</v>
      </c>
      <c r="G426" s="2">
        <v>30.0</v>
      </c>
      <c r="H426" s="8">
        <f t="shared" si="8"/>
        <v>0</v>
      </c>
      <c r="I426" s="2" t="b">
        <v>1</v>
      </c>
      <c r="J426" s="2" t="s">
        <v>160</v>
      </c>
      <c r="K426" s="12">
        <f t="shared" si="21"/>
        <v>46083</v>
      </c>
      <c r="L426" s="12">
        <f t="shared" si="22"/>
        <v>46098</v>
      </c>
    </row>
    <row r="427" hidden="1">
      <c r="A427" s="4">
        <v>46077.0</v>
      </c>
      <c r="B427" s="2" t="s">
        <v>1185</v>
      </c>
      <c r="C427" s="2" t="s">
        <v>445</v>
      </c>
      <c r="D427" s="2" t="s">
        <v>159</v>
      </c>
      <c r="E427" s="2">
        <v>0.0</v>
      </c>
      <c r="F427" s="2">
        <v>25.0</v>
      </c>
      <c r="G427" s="2">
        <v>25.0</v>
      </c>
      <c r="H427" s="8">
        <f t="shared" si="8"/>
        <v>0</v>
      </c>
      <c r="I427" s="2" t="b">
        <v>1</v>
      </c>
      <c r="J427" s="2" t="s">
        <v>160</v>
      </c>
      <c r="K427" s="12">
        <f t="shared" si="21"/>
        <v>46092</v>
      </c>
      <c r="L427" s="12">
        <f t="shared" si="22"/>
        <v>46107</v>
      </c>
    </row>
    <row r="428" hidden="1">
      <c r="A428" s="4">
        <v>46097.0</v>
      </c>
      <c r="B428" s="2" t="s">
        <v>334</v>
      </c>
      <c r="C428" s="2" t="s">
        <v>1187</v>
      </c>
      <c r="D428" s="2" t="s">
        <v>159</v>
      </c>
      <c r="E428" s="2">
        <v>0.0</v>
      </c>
      <c r="F428" s="2">
        <v>60.0</v>
      </c>
      <c r="G428" s="2">
        <v>60.0</v>
      </c>
      <c r="H428" s="8">
        <f t="shared" si="8"/>
        <v>0</v>
      </c>
      <c r="I428" s="2" t="b">
        <v>1</v>
      </c>
      <c r="J428" s="2" t="s">
        <v>160</v>
      </c>
      <c r="K428" s="12">
        <f t="shared" si="21"/>
        <v>46112</v>
      </c>
      <c r="L428" s="12">
        <f t="shared" si="22"/>
        <v>46127</v>
      </c>
    </row>
    <row r="429" hidden="1">
      <c r="A429" s="4">
        <v>46152.0</v>
      </c>
      <c r="B429" s="2" t="s">
        <v>1188</v>
      </c>
      <c r="C429" s="2" t="s">
        <v>1189</v>
      </c>
      <c r="D429" s="2" t="s">
        <v>159</v>
      </c>
      <c r="E429" s="2">
        <v>0.0</v>
      </c>
      <c r="F429" s="2">
        <v>50.0</v>
      </c>
      <c r="G429" s="2">
        <v>50.0</v>
      </c>
      <c r="H429" s="8">
        <f t="shared" si="8"/>
        <v>0</v>
      </c>
      <c r="I429" s="2" t="b">
        <v>1</v>
      </c>
      <c r="J429" s="2" t="s">
        <v>160</v>
      </c>
      <c r="K429" s="12">
        <f t="shared" si="21"/>
        <v>46167</v>
      </c>
      <c r="L429" s="12">
        <f t="shared" si="22"/>
        <v>46182</v>
      </c>
    </row>
    <row r="430" hidden="1">
      <c r="A430" s="4">
        <v>46169.0</v>
      </c>
      <c r="B430" s="2" t="s">
        <v>1188</v>
      </c>
      <c r="C430" s="2" t="s">
        <v>1190</v>
      </c>
      <c r="D430" s="2" t="s">
        <v>159</v>
      </c>
      <c r="E430" s="2" t="s">
        <v>138</v>
      </c>
      <c r="F430" s="2">
        <v>20.0</v>
      </c>
      <c r="G430" s="2">
        <v>20.0</v>
      </c>
      <c r="H430" s="8">
        <f t="shared" si="8"/>
        <v>0</v>
      </c>
      <c r="I430" s="8" t="b">
        <v>0</v>
      </c>
      <c r="J430" s="2" t="s">
        <v>160</v>
      </c>
      <c r="K430" s="12">
        <f t="shared" si="21"/>
        <v>46184</v>
      </c>
      <c r="L430" s="12">
        <f t="shared" si="22"/>
        <v>46199</v>
      </c>
    </row>
    <row r="431" hidden="1">
      <c r="A431" s="4">
        <v>45945.0</v>
      </c>
      <c r="B431" s="2" t="s">
        <v>342</v>
      </c>
      <c r="C431" s="2" t="s">
        <v>424</v>
      </c>
      <c r="D431" s="2" t="s">
        <v>115</v>
      </c>
      <c r="E431" s="2">
        <v>186.0</v>
      </c>
      <c r="F431" s="2">
        <v>45.0</v>
      </c>
      <c r="G431" s="2">
        <v>45.0</v>
      </c>
      <c r="H431" s="8">
        <f t="shared" si="8"/>
        <v>0</v>
      </c>
      <c r="I431" s="2" t="b">
        <v>1</v>
      </c>
      <c r="J431" s="2" t="s">
        <v>160</v>
      </c>
      <c r="K431" s="12">
        <f t="shared" si="21"/>
        <v>45960</v>
      </c>
      <c r="L431" s="12">
        <f t="shared" si="22"/>
        <v>45975</v>
      </c>
    </row>
    <row r="432" hidden="1">
      <c r="A432" s="4">
        <v>45945.0</v>
      </c>
      <c r="B432" s="2" t="s">
        <v>342</v>
      </c>
      <c r="C432" s="2" t="s">
        <v>422</v>
      </c>
      <c r="D432" s="2" t="s">
        <v>115</v>
      </c>
      <c r="E432" s="2">
        <v>187.0</v>
      </c>
      <c r="F432" s="2">
        <v>25.0</v>
      </c>
      <c r="G432" s="2">
        <v>25.0</v>
      </c>
      <c r="H432" s="8">
        <f t="shared" si="8"/>
        <v>0</v>
      </c>
      <c r="I432" s="2" t="b">
        <v>1</v>
      </c>
      <c r="J432" s="2" t="s">
        <v>160</v>
      </c>
      <c r="K432" s="12">
        <f t="shared" si="21"/>
        <v>45960</v>
      </c>
      <c r="L432" s="12">
        <f t="shared" si="22"/>
        <v>45975</v>
      </c>
    </row>
    <row r="433" hidden="1">
      <c r="A433" s="4">
        <v>45947.0</v>
      </c>
      <c r="B433" s="2" t="s">
        <v>342</v>
      </c>
      <c r="C433" s="2" t="s">
        <v>425</v>
      </c>
      <c r="D433" s="2" t="s">
        <v>115</v>
      </c>
      <c r="E433" s="2">
        <v>167.0</v>
      </c>
      <c r="F433" s="2">
        <v>45.0</v>
      </c>
      <c r="G433" s="2">
        <v>45.0</v>
      </c>
      <c r="H433" s="8">
        <f t="shared" si="8"/>
        <v>0</v>
      </c>
      <c r="I433" s="2" t="b">
        <v>1</v>
      </c>
      <c r="J433" s="2" t="s">
        <v>160</v>
      </c>
      <c r="K433" s="12">
        <f t="shared" si="21"/>
        <v>45962</v>
      </c>
      <c r="L433" s="12">
        <f t="shared" si="22"/>
        <v>45977</v>
      </c>
    </row>
    <row r="434" hidden="1">
      <c r="A434" s="4">
        <v>46062.0</v>
      </c>
      <c r="B434" s="2" t="s">
        <v>342</v>
      </c>
      <c r="C434" s="2" t="s">
        <v>1191</v>
      </c>
      <c r="D434" s="2" t="s">
        <v>159</v>
      </c>
      <c r="E434" s="2">
        <v>0.0</v>
      </c>
      <c r="F434" s="2">
        <v>15.0</v>
      </c>
      <c r="G434" s="2">
        <v>15.0</v>
      </c>
      <c r="H434" s="8">
        <f t="shared" si="8"/>
        <v>0</v>
      </c>
      <c r="I434" s="2" t="b">
        <v>1</v>
      </c>
      <c r="J434" s="2" t="s">
        <v>160</v>
      </c>
      <c r="K434" s="12">
        <f t="shared" si="21"/>
        <v>46077</v>
      </c>
      <c r="L434" s="12">
        <f t="shared" si="22"/>
        <v>46092</v>
      </c>
    </row>
    <row r="435" hidden="1">
      <c r="A435" s="4">
        <v>46125.0</v>
      </c>
      <c r="B435" s="2" t="s">
        <v>342</v>
      </c>
      <c r="C435" s="2" t="s">
        <v>1192</v>
      </c>
      <c r="D435" s="2" t="s">
        <v>159</v>
      </c>
      <c r="E435" s="2">
        <v>0.0</v>
      </c>
      <c r="F435" s="2">
        <v>155.0</v>
      </c>
      <c r="G435" s="2">
        <v>155.0</v>
      </c>
      <c r="H435" s="8">
        <f t="shared" si="8"/>
        <v>0</v>
      </c>
      <c r="I435" s="2" t="b">
        <v>1</v>
      </c>
      <c r="J435" s="2" t="s">
        <v>160</v>
      </c>
      <c r="K435" s="12">
        <f t="shared" si="21"/>
        <v>46140</v>
      </c>
      <c r="L435" s="12">
        <f t="shared" si="22"/>
        <v>46155</v>
      </c>
    </row>
    <row r="436" hidden="1">
      <c r="A436" s="4">
        <v>46125.0</v>
      </c>
      <c r="B436" s="2" t="s">
        <v>342</v>
      </c>
      <c r="C436" s="2" t="s">
        <v>1193</v>
      </c>
      <c r="D436" s="2" t="s">
        <v>159</v>
      </c>
      <c r="E436" s="2">
        <v>0.0</v>
      </c>
      <c r="F436" s="2">
        <v>75.0</v>
      </c>
      <c r="G436" s="2">
        <v>75.0</v>
      </c>
      <c r="H436" s="8">
        <f t="shared" si="8"/>
        <v>0</v>
      </c>
      <c r="I436" s="2" t="b">
        <v>1</v>
      </c>
      <c r="J436" s="2" t="s">
        <v>160</v>
      </c>
      <c r="K436" s="12">
        <f t="shared" si="21"/>
        <v>46140</v>
      </c>
      <c r="L436" s="12">
        <f t="shared" si="22"/>
        <v>46155</v>
      </c>
    </row>
    <row r="437" hidden="1">
      <c r="A437" s="4">
        <v>45965.0</v>
      </c>
      <c r="B437" s="2" t="s">
        <v>426</v>
      </c>
      <c r="C437" s="2" t="s">
        <v>445</v>
      </c>
      <c r="D437" s="2" t="s">
        <v>159</v>
      </c>
      <c r="E437" s="2">
        <v>0.0</v>
      </c>
      <c r="F437" s="2">
        <v>20.0</v>
      </c>
      <c r="G437" s="2">
        <v>20.0</v>
      </c>
      <c r="H437" s="8">
        <f t="shared" si="8"/>
        <v>0</v>
      </c>
      <c r="I437" s="8" t="b">
        <v>0</v>
      </c>
      <c r="J437" s="2" t="s">
        <v>160</v>
      </c>
      <c r="K437" s="12">
        <f t="shared" si="21"/>
        <v>45980</v>
      </c>
      <c r="L437" s="12">
        <f t="shared" si="22"/>
        <v>45995</v>
      </c>
    </row>
    <row r="438" hidden="1">
      <c r="A438" s="4">
        <v>45965.0</v>
      </c>
      <c r="B438" s="2" t="s">
        <v>426</v>
      </c>
      <c r="C438" s="2" t="s">
        <v>427</v>
      </c>
      <c r="D438" s="2" t="s">
        <v>159</v>
      </c>
      <c r="E438" s="2">
        <v>0.0</v>
      </c>
      <c r="F438" s="2">
        <v>40.0</v>
      </c>
      <c r="G438" s="2">
        <v>40.0</v>
      </c>
      <c r="H438" s="8">
        <f t="shared" si="8"/>
        <v>0</v>
      </c>
      <c r="I438" s="8" t="b">
        <v>0</v>
      </c>
      <c r="J438" s="2" t="s">
        <v>160</v>
      </c>
      <c r="K438" s="12">
        <f t="shared" si="21"/>
        <v>45980</v>
      </c>
      <c r="L438" s="12">
        <f t="shared" si="22"/>
        <v>45995</v>
      </c>
    </row>
    <row r="439" hidden="1">
      <c r="A439" s="4">
        <v>45965.0</v>
      </c>
      <c r="B439" s="2" t="s">
        <v>426</v>
      </c>
      <c r="C439" s="2" t="s">
        <v>448</v>
      </c>
      <c r="D439" s="2" t="s">
        <v>159</v>
      </c>
      <c r="E439" s="2">
        <v>0.0</v>
      </c>
      <c r="F439" s="2">
        <v>40.0</v>
      </c>
      <c r="G439" s="2">
        <v>40.0</v>
      </c>
      <c r="H439" s="8">
        <f t="shared" si="8"/>
        <v>0</v>
      </c>
      <c r="I439" s="8" t="b">
        <v>0</v>
      </c>
      <c r="J439" s="2" t="s">
        <v>160</v>
      </c>
      <c r="K439" s="12">
        <f t="shared" si="21"/>
        <v>45980</v>
      </c>
      <c r="L439" s="12">
        <f t="shared" si="22"/>
        <v>45995</v>
      </c>
    </row>
    <row r="440" hidden="1">
      <c r="A440" s="4">
        <v>45969.0</v>
      </c>
      <c r="B440" s="2" t="s">
        <v>426</v>
      </c>
      <c r="C440" s="2" t="s">
        <v>451</v>
      </c>
      <c r="D440" s="2" t="s">
        <v>159</v>
      </c>
      <c r="E440" s="2">
        <v>0.0</v>
      </c>
      <c r="F440" s="2">
        <v>55.0</v>
      </c>
      <c r="G440" s="2">
        <v>55.0</v>
      </c>
      <c r="H440" s="8">
        <f t="shared" si="8"/>
        <v>0</v>
      </c>
      <c r="I440" s="8" t="b">
        <v>0</v>
      </c>
      <c r="J440" s="2" t="s">
        <v>160</v>
      </c>
      <c r="K440" s="12">
        <f t="shared" si="21"/>
        <v>45984</v>
      </c>
      <c r="L440" s="12">
        <f t="shared" si="22"/>
        <v>45999</v>
      </c>
    </row>
    <row r="441" hidden="1">
      <c r="A441" s="4">
        <v>45969.0</v>
      </c>
      <c r="B441" s="2" t="s">
        <v>426</v>
      </c>
      <c r="C441" s="2" t="s">
        <v>450</v>
      </c>
      <c r="D441" s="2" t="s">
        <v>159</v>
      </c>
      <c r="E441" s="2">
        <v>0.0</v>
      </c>
      <c r="F441" s="2">
        <v>100.0</v>
      </c>
      <c r="G441" s="2">
        <v>100.0</v>
      </c>
      <c r="H441" s="8">
        <f t="shared" si="8"/>
        <v>0</v>
      </c>
      <c r="I441" s="8" t="b">
        <v>0</v>
      </c>
      <c r="J441" s="2" t="s">
        <v>160</v>
      </c>
      <c r="K441" s="12">
        <f t="shared" si="21"/>
        <v>45984</v>
      </c>
      <c r="L441" s="12">
        <f t="shared" si="22"/>
        <v>45999</v>
      </c>
    </row>
    <row r="442" hidden="1">
      <c r="A442" s="4">
        <v>45975.0</v>
      </c>
      <c r="B442" s="2" t="s">
        <v>426</v>
      </c>
      <c r="C442" s="2" t="s">
        <v>458</v>
      </c>
      <c r="D442" s="2" t="s">
        <v>159</v>
      </c>
      <c r="E442" s="2">
        <v>0.0</v>
      </c>
      <c r="F442" s="2">
        <v>70.0</v>
      </c>
      <c r="G442" s="2">
        <v>70.0</v>
      </c>
      <c r="H442" s="8">
        <f t="shared" si="8"/>
        <v>0</v>
      </c>
      <c r="I442" s="8" t="b">
        <v>0</v>
      </c>
      <c r="J442" s="2" t="s">
        <v>160</v>
      </c>
      <c r="K442" s="12">
        <f t="shared" si="21"/>
        <v>45990</v>
      </c>
      <c r="L442" s="12">
        <f t="shared" si="22"/>
        <v>46005</v>
      </c>
    </row>
    <row r="443" hidden="1">
      <c r="A443" s="4">
        <v>45975.0</v>
      </c>
      <c r="B443" s="2" t="s">
        <v>426</v>
      </c>
      <c r="C443" s="2" t="s">
        <v>452</v>
      </c>
      <c r="D443" s="2" t="s">
        <v>159</v>
      </c>
      <c r="E443" s="2">
        <v>0.0</v>
      </c>
      <c r="F443" s="2">
        <v>70.0</v>
      </c>
      <c r="G443" s="2">
        <v>70.0</v>
      </c>
      <c r="H443" s="8">
        <f t="shared" si="8"/>
        <v>0</v>
      </c>
      <c r="I443" s="8" t="b">
        <v>0</v>
      </c>
      <c r="J443" s="2" t="s">
        <v>160</v>
      </c>
      <c r="K443" s="12">
        <f t="shared" si="21"/>
        <v>45990</v>
      </c>
      <c r="L443" s="12">
        <f t="shared" si="22"/>
        <v>46005</v>
      </c>
    </row>
    <row r="444" hidden="1">
      <c r="A444" s="4">
        <v>45977.0</v>
      </c>
      <c r="B444" s="2" t="s">
        <v>426</v>
      </c>
      <c r="C444" s="2" t="s">
        <v>465</v>
      </c>
      <c r="D444" s="2" t="s">
        <v>159</v>
      </c>
      <c r="E444" s="2">
        <v>0.0</v>
      </c>
      <c r="F444" s="2">
        <v>20.0</v>
      </c>
      <c r="G444" s="2">
        <v>20.0</v>
      </c>
      <c r="H444" s="8">
        <f t="shared" si="8"/>
        <v>0</v>
      </c>
      <c r="I444" s="8" t="b">
        <v>0</v>
      </c>
      <c r="J444" s="2" t="s">
        <v>160</v>
      </c>
      <c r="K444" s="12">
        <f t="shared" si="21"/>
        <v>45992</v>
      </c>
      <c r="L444" s="12">
        <f t="shared" si="22"/>
        <v>46007</v>
      </c>
    </row>
    <row r="445" hidden="1">
      <c r="A445" s="4">
        <v>45981.0</v>
      </c>
      <c r="B445" s="2" t="s">
        <v>426</v>
      </c>
      <c r="C445" s="2" t="s">
        <v>492</v>
      </c>
      <c r="D445" s="2" t="s">
        <v>159</v>
      </c>
      <c r="E445" s="2">
        <v>0.0</v>
      </c>
      <c r="F445" s="2">
        <v>20.0</v>
      </c>
      <c r="G445" s="2">
        <v>20.0</v>
      </c>
      <c r="H445" s="8">
        <f t="shared" si="8"/>
        <v>0</v>
      </c>
      <c r="I445" s="8" t="b">
        <v>0</v>
      </c>
      <c r="J445" s="2" t="s">
        <v>160</v>
      </c>
      <c r="K445" s="12">
        <f t="shared" si="21"/>
        <v>45996</v>
      </c>
      <c r="L445" s="12">
        <f t="shared" si="22"/>
        <v>46011</v>
      </c>
    </row>
    <row r="446" hidden="1">
      <c r="A446" s="4">
        <v>45981.0</v>
      </c>
      <c r="B446" s="2" t="s">
        <v>426</v>
      </c>
      <c r="C446" s="2" t="s">
        <v>487</v>
      </c>
      <c r="D446" s="2" t="s">
        <v>159</v>
      </c>
      <c r="E446" s="2">
        <v>0.0</v>
      </c>
      <c r="F446" s="2">
        <v>30.0</v>
      </c>
      <c r="G446" s="2">
        <v>30.0</v>
      </c>
      <c r="H446" s="8">
        <f t="shared" si="8"/>
        <v>0</v>
      </c>
      <c r="I446" s="8" t="b">
        <v>0</v>
      </c>
      <c r="J446" s="2" t="s">
        <v>160</v>
      </c>
      <c r="K446" s="12">
        <f t="shared" si="21"/>
        <v>45996</v>
      </c>
      <c r="L446" s="12">
        <f t="shared" si="22"/>
        <v>46011</v>
      </c>
    </row>
    <row r="447" hidden="1">
      <c r="A447" s="4">
        <v>45987.0</v>
      </c>
      <c r="B447" s="2" t="s">
        <v>426</v>
      </c>
      <c r="C447" s="2" t="s">
        <v>498</v>
      </c>
      <c r="D447" s="2" t="s">
        <v>159</v>
      </c>
      <c r="E447" s="2">
        <v>0.0</v>
      </c>
      <c r="F447" s="2">
        <v>8.0</v>
      </c>
      <c r="G447" s="2">
        <v>8.0</v>
      </c>
      <c r="H447" s="8">
        <f t="shared" si="8"/>
        <v>0</v>
      </c>
      <c r="I447" s="8" t="b">
        <v>0</v>
      </c>
      <c r="J447" s="2" t="s">
        <v>160</v>
      </c>
      <c r="K447" s="12">
        <f t="shared" si="21"/>
        <v>46002</v>
      </c>
      <c r="L447" s="12">
        <f t="shared" si="22"/>
        <v>46017</v>
      </c>
    </row>
    <row r="448" hidden="1">
      <c r="A448" s="4">
        <v>45990.0</v>
      </c>
      <c r="B448" s="2" t="s">
        <v>426</v>
      </c>
      <c r="C448" s="2" t="s">
        <v>499</v>
      </c>
      <c r="D448" s="2" t="s">
        <v>159</v>
      </c>
      <c r="E448" s="2">
        <v>0.0</v>
      </c>
      <c r="F448" s="2">
        <v>15.0</v>
      </c>
      <c r="G448" s="2">
        <v>15.0</v>
      </c>
      <c r="H448" s="8">
        <f t="shared" si="8"/>
        <v>0</v>
      </c>
      <c r="I448" s="8" t="b">
        <v>0</v>
      </c>
      <c r="J448" s="2" t="s">
        <v>160</v>
      </c>
      <c r="K448" s="12">
        <f t="shared" si="21"/>
        <v>46005</v>
      </c>
      <c r="L448" s="12">
        <f t="shared" si="22"/>
        <v>46020</v>
      </c>
    </row>
    <row r="449" hidden="1">
      <c r="A449" s="4">
        <v>46001.0</v>
      </c>
      <c r="B449" s="2" t="s">
        <v>426</v>
      </c>
      <c r="C449" s="2" t="s">
        <v>500</v>
      </c>
      <c r="D449" s="2" t="s">
        <v>159</v>
      </c>
      <c r="E449" s="2">
        <v>0.0</v>
      </c>
      <c r="F449" s="2">
        <v>10.0</v>
      </c>
      <c r="G449" s="2">
        <v>10.0</v>
      </c>
      <c r="H449" s="8">
        <f t="shared" si="8"/>
        <v>0</v>
      </c>
      <c r="I449" s="8" t="b">
        <v>0</v>
      </c>
      <c r="J449" s="2" t="s">
        <v>160</v>
      </c>
      <c r="K449" s="12">
        <f t="shared" si="21"/>
        <v>46016</v>
      </c>
      <c r="L449" s="12">
        <f t="shared" si="22"/>
        <v>46031</v>
      </c>
    </row>
    <row r="450" hidden="1">
      <c r="A450" s="4">
        <v>46001.0</v>
      </c>
      <c r="B450" s="2" t="s">
        <v>426</v>
      </c>
      <c r="C450" s="2" t="s">
        <v>517</v>
      </c>
      <c r="D450" s="2" t="s">
        <v>159</v>
      </c>
      <c r="E450" s="2">
        <v>0.0</v>
      </c>
      <c r="F450" s="2">
        <v>10.0</v>
      </c>
      <c r="G450" s="2">
        <v>10.0</v>
      </c>
      <c r="H450" s="8">
        <f t="shared" si="8"/>
        <v>0</v>
      </c>
      <c r="I450" s="8" t="b">
        <v>0</v>
      </c>
      <c r="J450" s="2" t="s">
        <v>160</v>
      </c>
      <c r="K450" s="12">
        <f t="shared" si="21"/>
        <v>46016</v>
      </c>
      <c r="L450" s="12">
        <f t="shared" si="22"/>
        <v>46031</v>
      </c>
    </row>
    <row r="451" hidden="1">
      <c r="A451" s="4">
        <v>46006.0</v>
      </c>
      <c r="B451" s="2" t="s">
        <v>426</v>
      </c>
      <c r="C451" s="2" t="s">
        <v>518</v>
      </c>
      <c r="D451" s="2" t="s">
        <v>159</v>
      </c>
      <c r="E451" s="2">
        <v>0.0</v>
      </c>
      <c r="F451" s="2">
        <v>27.0</v>
      </c>
      <c r="G451" s="2">
        <v>27.0</v>
      </c>
      <c r="H451" s="8">
        <f t="shared" si="8"/>
        <v>0</v>
      </c>
      <c r="I451" s="8" t="b">
        <v>0</v>
      </c>
      <c r="J451" s="2" t="s">
        <v>160</v>
      </c>
      <c r="K451" s="12">
        <f t="shared" si="21"/>
        <v>46021</v>
      </c>
      <c r="L451" s="12">
        <f t="shared" si="22"/>
        <v>46036</v>
      </c>
    </row>
    <row r="452" hidden="1">
      <c r="A452" s="4">
        <v>46015.0</v>
      </c>
      <c r="B452" s="2" t="s">
        <v>426</v>
      </c>
      <c r="C452" s="2" t="s">
        <v>519</v>
      </c>
      <c r="D452" s="2" t="s">
        <v>159</v>
      </c>
      <c r="E452" s="2">
        <v>0.0</v>
      </c>
      <c r="F452" s="2">
        <v>50.0</v>
      </c>
      <c r="G452" s="2">
        <v>50.0</v>
      </c>
      <c r="H452" s="8">
        <f t="shared" si="8"/>
        <v>0</v>
      </c>
      <c r="I452" s="8" t="b">
        <v>0</v>
      </c>
      <c r="J452" s="2" t="s">
        <v>160</v>
      </c>
      <c r="K452" s="12">
        <f t="shared" si="21"/>
        <v>46030</v>
      </c>
      <c r="L452" s="12">
        <f t="shared" si="22"/>
        <v>46045</v>
      </c>
    </row>
    <row r="453" hidden="1">
      <c r="A453" s="4">
        <v>46017.0</v>
      </c>
      <c r="B453" s="2" t="s">
        <v>426</v>
      </c>
      <c r="C453" s="2" t="s">
        <v>520</v>
      </c>
      <c r="D453" s="2" t="s">
        <v>159</v>
      </c>
      <c r="E453" s="2">
        <v>0.0</v>
      </c>
      <c r="F453" s="2">
        <v>65.0</v>
      </c>
      <c r="G453" s="2">
        <v>65.0</v>
      </c>
      <c r="H453" s="8">
        <f t="shared" si="8"/>
        <v>0</v>
      </c>
      <c r="I453" s="8" t="b">
        <v>0</v>
      </c>
      <c r="J453" s="2" t="s">
        <v>160</v>
      </c>
      <c r="K453" s="12">
        <f t="shared" si="21"/>
        <v>46032</v>
      </c>
      <c r="L453" s="12">
        <f t="shared" si="22"/>
        <v>46047</v>
      </c>
    </row>
    <row r="454" hidden="1">
      <c r="A454" s="4">
        <v>46045.0</v>
      </c>
      <c r="B454" s="2" t="s">
        <v>426</v>
      </c>
      <c r="C454" s="2" t="s">
        <v>1194</v>
      </c>
      <c r="D454" s="2" t="s">
        <v>159</v>
      </c>
      <c r="E454" s="2">
        <v>0.0</v>
      </c>
      <c r="F454" s="2">
        <v>80.0</v>
      </c>
      <c r="G454" s="2">
        <v>80.0</v>
      </c>
      <c r="H454" s="8">
        <f t="shared" si="8"/>
        <v>0</v>
      </c>
      <c r="I454" s="2" t="b">
        <v>0</v>
      </c>
      <c r="J454" s="2" t="s">
        <v>160</v>
      </c>
      <c r="K454" s="12">
        <f t="shared" si="21"/>
        <v>46060</v>
      </c>
      <c r="L454" s="12">
        <f t="shared" si="22"/>
        <v>46075</v>
      </c>
    </row>
    <row r="455" hidden="1">
      <c r="A455" s="4">
        <v>46052.0</v>
      </c>
      <c r="B455" s="2" t="s">
        <v>426</v>
      </c>
      <c r="C455" s="2" t="s">
        <v>1195</v>
      </c>
      <c r="D455" s="2" t="s">
        <v>159</v>
      </c>
      <c r="E455" s="2">
        <v>0.0</v>
      </c>
      <c r="F455" s="2">
        <v>75.0</v>
      </c>
      <c r="G455" s="2">
        <v>75.0</v>
      </c>
      <c r="H455" s="8">
        <f t="shared" si="8"/>
        <v>0</v>
      </c>
      <c r="I455" s="2" t="b">
        <v>0</v>
      </c>
      <c r="J455" s="2" t="s">
        <v>160</v>
      </c>
      <c r="K455" s="12">
        <f t="shared" si="21"/>
        <v>46067</v>
      </c>
      <c r="L455" s="12">
        <f t="shared" si="22"/>
        <v>46082</v>
      </c>
    </row>
    <row r="456" hidden="1">
      <c r="A456" s="4">
        <v>46052.0</v>
      </c>
      <c r="B456" s="2" t="s">
        <v>426</v>
      </c>
      <c r="C456" s="2" t="s">
        <v>1196</v>
      </c>
      <c r="D456" s="2" t="s">
        <v>159</v>
      </c>
      <c r="E456" s="2">
        <v>0.0</v>
      </c>
      <c r="F456" s="2">
        <v>75.0</v>
      </c>
      <c r="G456" s="2">
        <v>75.0</v>
      </c>
      <c r="H456" s="8">
        <f t="shared" si="8"/>
        <v>0</v>
      </c>
      <c r="I456" s="2" t="b">
        <v>0</v>
      </c>
      <c r="J456" s="2" t="s">
        <v>160</v>
      </c>
      <c r="K456" s="12">
        <f t="shared" si="21"/>
        <v>46067</v>
      </c>
      <c r="L456" s="12">
        <f t="shared" si="22"/>
        <v>46082</v>
      </c>
    </row>
    <row r="457" hidden="1">
      <c r="A457" s="4">
        <v>46054.0</v>
      </c>
      <c r="B457" s="2" t="s">
        <v>426</v>
      </c>
      <c r="C457" s="2" t="s">
        <v>827</v>
      </c>
      <c r="D457" s="2" t="s">
        <v>159</v>
      </c>
      <c r="E457" s="2">
        <v>0.0</v>
      </c>
      <c r="F457" s="2">
        <v>75.0</v>
      </c>
      <c r="G457" s="2">
        <v>75.0</v>
      </c>
      <c r="H457" s="8">
        <f t="shared" si="8"/>
        <v>0</v>
      </c>
      <c r="I457" s="2" t="b">
        <v>0</v>
      </c>
      <c r="J457" s="2" t="s">
        <v>160</v>
      </c>
      <c r="K457" s="12">
        <f t="shared" si="21"/>
        <v>46069</v>
      </c>
      <c r="L457" s="12">
        <f t="shared" si="22"/>
        <v>46084</v>
      </c>
    </row>
    <row r="458" hidden="1">
      <c r="A458" s="4">
        <v>46054.0</v>
      </c>
      <c r="B458" s="2" t="s">
        <v>426</v>
      </c>
      <c r="C458" s="2" t="s">
        <v>1197</v>
      </c>
      <c r="D458" s="2" t="s">
        <v>159</v>
      </c>
      <c r="E458" s="2">
        <v>0.0</v>
      </c>
      <c r="F458" s="2">
        <v>45.0</v>
      </c>
      <c r="G458" s="2">
        <v>45.0</v>
      </c>
      <c r="H458" s="8">
        <f t="shared" si="8"/>
        <v>0</v>
      </c>
      <c r="I458" s="2" t="b">
        <v>0</v>
      </c>
      <c r="J458" s="2" t="s">
        <v>160</v>
      </c>
      <c r="K458" s="12">
        <f t="shared" si="21"/>
        <v>46069</v>
      </c>
      <c r="L458" s="12">
        <f t="shared" si="22"/>
        <v>46084</v>
      </c>
    </row>
    <row r="459" hidden="1">
      <c r="A459" s="4">
        <v>46071.0</v>
      </c>
      <c r="B459" s="2" t="s">
        <v>426</v>
      </c>
      <c r="C459" s="2" t="s">
        <v>1198</v>
      </c>
      <c r="D459" s="2" t="s">
        <v>159</v>
      </c>
      <c r="E459" s="2">
        <v>0.0</v>
      </c>
      <c r="F459" s="2">
        <v>90.0</v>
      </c>
      <c r="G459" s="2">
        <v>90.0</v>
      </c>
      <c r="H459" s="8">
        <f t="shared" si="8"/>
        <v>0</v>
      </c>
      <c r="I459" s="2" t="b">
        <v>0</v>
      </c>
      <c r="J459" s="2" t="s">
        <v>160</v>
      </c>
      <c r="K459" s="12">
        <f t="shared" si="21"/>
        <v>46086</v>
      </c>
      <c r="L459" s="12">
        <f t="shared" si="22"/>
        <v>46101</v>
      </c>
    </row>
    <row r="460" hidden="1">
      <c r="A460" s="4">
        <v>46077.0</v>
      </c>
      <c r="B460" s="2" t="s">
        <v>426</v>
      </c>
      <c r="C460" s="2" t="s">
        <v>1199</v>
      </c>
      <c r="D460" s="2" t="s">
        <v>159</v>
      </c>
      <c r="E460" s="2">
        <v>0.0</v>
      </c>
      <c r="F460" s="2">
        <v>20.0</v>
      </c>
      <c r="G460" s="2">
        <v>20.0</v>
      </c>
      <c r="H460" s="8">
        <f t="shared" si="8"/>
        <v>0</v>
      </c>
      <c r="I460" s="8" t="b">
        <v>0</v>
      </c>
      <c r="J460" s="2" t="s">
        <v>160</v>
      </c>
      <c r="K460" s="12">
        <f t="shared" si="21"/>
        <v>46092</v>
      </c>
      <c r="L460" s="12">
        <f t="shared" si="22"/>
        <v>46107</v>
      </c>
    </row>
    <row r="461" hidden="1">
      <c r="A461" s="4">
        <v>46124.0</v>
      </c>
      <c r="B461" s="2" t="s">
        <v>426</v>
      </c>
      <c r="C461" s="2" t="s">
        <v>1200</v>
      </c>
      <c r="D461" s="2" t="s">
        <v>159</v>
      </c>
      <c r="E461" s="2">
        <v>0.0</v>
      </c>
      <c r="F461" s="2">
        <v>140.0</v>
      </c>
      <c r="G461" s="2">
        <v>110.0</v>
      </c>
      <c r="H461" s="8">
        <f t="shared" si="8"/>
        <v>30</v>
      </c>
      <c r="I461" s="2" t="b">
        <v>0</v>
      </c>
      <c r="J461" s="2" t="s">
        <v>160</v>
      </c>
      <c r="K461" s="12">
        <f t="shared" si="21"/>
        <v>46139</v>
      </c>
      <c r="L461" s="12">
        <f t="shared" si="22"/>
        <v>46154</v>
      </c>
      <c r="M461" s="2" t="b">
        <v>0</v>
      </c>
    </row>
    <row r="462" hidden="1">
      <c r="A462" s="4">
        <v>46039.0</v>
      </c>
      <c r="B462" s="2" t="s">
        <v>1201</v>
      </c>
      <c r="C462" s="2" t="s">
        <v>1202</v>
      </c>
      <c r="D462" s="2" t="s">
        <v>159</v>
      </c>
      <c r="E462" s="2">
        <v>0.0</v>
      </c>
      <c r="F462" s="2">
        <v>70.0</v>
      </c>
      <c r="G462" s="2">
        <v>0.0</v>
      </c>
      <c r="H462" s="8">
        <f t="shared" si="8"/>
        <v>70</v>
      </c>
      <c r="I462" s="8" t="b">
        <v>0</v>
      </c>
      <c r="J462" s="2" t="s">
        <v>160</v>
      </c>
      <c r="K462" s="12">
        <f t="shared" si="21"/>
        <v>46054</v>
      </c>
      <c r="L462" s="12">
        <f t="shared" si="22"/>
        <v>46069</v>
      </c>
    </row>
    <row r="463" hidden="1">
      <c r="A463" s="4">
        <v>46190.0</v>
      </c>
      <c r="B463" s="2" t="s">
        <v>1203</v>
      </c>
      <c r="C463" s="2" t="s">
        <v>1204</v>
      </c>
      <c r="D463" s="2" t="s">
        <v>159</v>
      </c>
      <c r="E463" s="2" t="s">
        <v>138</v>
      </c>
      <c r="F463" s="2">
        <v>30.0</v>
      </c>
      <c r="G463" s="2">
        <v>30.0</v>
      </c>
      <c r="H463" s="8">
        <f t="shared" si="8"/>
        <v>0</v>
      </c>
      <c r="I463" s="2" t="b">
        <v>0</v>
      </c>
      <c r="J463" s="2" t="s">
        <v>160</v>
      </c>
      <c r="K463" s="12">
        <f t="shared" si="21"/>
        <v>46205</v>
      </c>
      <c r="L463" s="12">
        <f t="shared" si="22"/>
        <v>46220</v>
      </c>
    </row>
    <row r="464" hidden="1">
      <c r="A464" s="4">
        <v>46190.0</v>
      </c>
      <c r="B464" s="2" t="s">
        <v>1203</v>
      </c>
      <c r="C464" s="2" t="s">
        <v>1153</v>
      </c>
      <c r="D464" s="2" t="s">
        <v>159</v>
      </c>
      <c r="E464" s="2" t="s">
        <v>138</v>
      </c>
      <c r="F464" s="2">
        <v>46.0</v>
      </c>
      <c r="G464" s="2">
        <v>46.0</v>
      </c>
      <c r="H464" s="8">
        <f t="shared" si="8"/>
        <v>0</v>
      </c>
      <c r="I464" s="2" t="b">
        <v>0</v>
      </c>
      <c r="J464" s="2" t="s">
        <v>160</v>
      </c>
      <c r="K464" s="12">
        <f t="shared" si="21"/>
        <v>46205</v>
      </c>
      <c r="L464" s="12">
        <f t="shared" si="22"/>
        <v>46220</v>
      </c>
    </row>
    <row r="465" hidden="1">
      <c r="A465" s="4">
        <v>46190.0</v>
      </c>
      <c r="B465" s="2" t="s">
        <v>1203</v>
      </c>
      <c r="C465" s="2" t="s">
        <v>1205</v>
      </c>
      <c r="D465" s="2" t="s">
        <v>159</v>
      </c>
      <c r="E465" s="2" t="s">
        <v>138</v>
      </c>
      <c r="F465" s="2">
        <v>32.0</v>
      </c>
      <c r="G465" s="2">
        <v>32.0</v>
      </c>
      <c r="H465" s="8">
        <f t="shared" si="8"/>
        <v>0</v>
      </c>
      <c r="I465" s="2" t="b">
        <v>0</v>
      </c>
      <c r="J465" s="2" t="s">
        <v>160</v>
      </c>
      <c r="K465" s="12">
        <f t="shared" si="21"/>
        <v>46205</v>
      </c>
      <c r="L465" s="12">
        <f t="shared" si="22"/>
        <v>46220</v>
      </c>
    </row>
    <row r="466" hidden="1">
      <c r="A466" s="4">
        <v>46190.0</v>
      </c>
      <c r="B466" s="2" t="s">
        <v>1203</v>
      </c>
      <c r="C466" s="2" t="s">
        <v>1206</v>
      </c>
      <c r="D466" s="2" t="s">
        <v>159</v>
      </c>
      <c r="E466" s="2" t="s">
        <v>138</v>
      </c>
      <c r="F466" s="2">
        <v>36.0</v>
      </c>
      <c r="G466" s="2">
        <v>36.0</v>
      </c>
      <c r="H466" s="8">
        <f t="shared" si="8"/>
        <v>0</v>
      </c>
      <c r="I466" s="2" t="b">
        <v>0</v>
      </c>
      <c r="J466" s="2" t="s">
        <v>160</v>
      </c>
      <c r="K466" s="12">
        <f t="shared" si="21"/>
        <v>46205</v>
      </c>
      <c r="L466" s="12">
        <f t="shared" si="22"/>
        <v>46220</v>
      </c>
    </row>
    <row r="467" hidden="1">
      <c r="A467" s="4">
        <v>46190.0</v>
      </c>
      <c r="B467" s="2" t="s">
        <v>1203</v>
      </c>
      <c r="C467" s="2" t="s">
        <v>1207</v>
      </c>
      <c r="D467" s="2" t="s">
        <v>159</v>
      </c>
      <c r="E467" s="2" t="s">
        <v>138</v>
      </c>
      <c r="F467" s="2">
        <v>25.0</v>
      </c>
      <c r="G467" s="2">
        <v>21.0</v>
      </c>
      <c r="H467" s="8">
        <f t="shared" si="8"/>
        <v>4</v>
      </c>
      <c r="I467" s="2" t="b">
        <v>0</v>
      </c>
      <c r="J467" s="2" t="s">
        <v>160</v>
      </c>
      <c r="K467" s="12">
        <f t="shared" si="21"/>
        <v>46205</v>
      </c>
      <c r="L467" s="12">
        <f t="shared" si="22"/>
        <v>46220</v>
      </c>
    </row>
    <row r="468" hidden="1">
      <c r="A468" s="4">
        <v>46190.0</v>
      </c>
      <c r="B468" s="2" t="s">
        <v>1203</v>
      </c>
      <c r="C468" s="2" t="s">
        <v>1208</v>
      </c>
      <c r="D468" s="2" t="s">
        <v>159</v>
      </c>
      <c r="E468" s="2" t="s">
        <v>138</v>
      </c>
      <c r="F468" s="2">
        <v>51.0</v>
      </c>
      <c r="G468" s="2">
        <v>0.0</v>
      </c>
      <c r="H468" s="8">
        <f t="shared" si="8"/>
        <v>51</v>
      </c>
      <c r="I468" s="2" t="b">
        <v>0</v>
      </c>
      <c r="J468" s="2" t="s">
        <v>160</v>
      </c>
      <c r="K468" s="12">
        <f t="shared" si="21"/>
        <v>46205</v>
      </c>
      <c r="L468" s="12">
        <f t="shared" si="22"/>
        <v>46220</v>
      </c>
    </row>
    <row r="469" hidden="1">
      <c r="A469" s="4">
        <v>46192.0</v>
      </c>
      <c r="B469" s="2" t="s">
        <v>1203</v>
      </c>
      <c r="C469" s="2" t="s">
        <v>1209</v>
      </c>
      <c r="D469" s="2" t="s">
        <v>159</v>
      </c>
      <c r="E469" s="2" t="s">
        <v>0</v>
      </c>
      <c r="F469" s="2">
        <v>40.0</v>
      </c>
      <c r="G469" s="2">
        <v>40.0</v>
      </c>
      <c r="H469" s="8">
        <f t="shared" si="8"/>
        <v>0</v>
      </c>
      <c r="I469" s="2" t="b">
        <v>0</v>
      </c>
      <c r="J469" s="2" t="s">
        <v>160</v>
      </c>
      <c r="K469" s="12">
        <f t="shared" si="21"/>
        <v>46207</v>
      </c>
      <c r="L469" s="12">
        <f t="shared" si="22"/>
        <v>46222</v>
      </c>
    </row>
    <row r="470" hidden="1">
      <c r="A470" s="4">
        <v>46198.0</v>
      </c>
      <c r="B470" s="2" t="s">
        <v>1203</v>
      </c>
      <c r="C470" s="2" t="s">
        <v>1210</v>
      </c>
      <c r="D470" s="2" t="s">
        <v>159</v>
      </c>
      <c r="E470" s="2" t="s">
        <v>138</v>
      </c>
      <c r="F470" s="2">
        <v>40.0</v>
      </c>
      <c r="G470" s="2">
        <v>0.0</v>
      </c>
      <c r="H470" s="8">
        <f t="shared" si="8"/>
        <v>40</v>
      </c>
      <c r="I470" s="2" t="b">
        <v>0</v>
      </c>
      <c r="J470" s="2" t="s">
        <v>160</v>
      </c>
      <c r="K470" s="12">
        <f t="shared" si="21"/>
        <v>46213</v>
      </c>
      <c r="L470" s="12">
        <f t="shared" si="22"/>
        <v>46228</v>
      </c>
    </row>
    <row r="471" hidden="1">
      <c r="A471" s="4">
        <v>45942.0</v>
      </c>
      <c r="B471" s="2" t="s">
        <v>280</v>
      </c>
      <c r="C471" s="2" t="s">
        <v>281</v>
      </c>
      <c r="D471" s="2" t="s">
        <v>115</v>
      </c>
      <c r="E471" s="2">
        <v>175.0</v>
      </c>
      <c r="F471" s="2">
        <v>190.0</v>
      </c>
      <c r="G471" s="2">
        <v>190.0</v>
      </c>
      <c r="H471" s="8">
        <f t="shared" si="8"/>
        <v>0</v>
      </c>
      <c r="I471" s="2" t="b">
        <v>1</v>
      </c>
      <c r="J471" s="2" t="s">
        <v>160</v>
      </c>
      <c r="K471" s="12">
        <f t="shared" si="21"/>
        <v>45957</v>
      </c>
      <c r="L471" s="12">
        <f t="shared" si="22"/>
        <v>45972</v>
      </c>
    </row>
    <row r="472" hidden="1">
      <c r="A472" s="4">
        <v>46173.0</v>
      </c>
      <c r="B472" s="2" t="s">
        <v>1211</v>
      </c>
      <c r="C472" s="2" t="s">
        <v>1212</v>
      </c>
      <c r="D472" s="2" t="s">
        <v>159</v>
      </c>
      <c r="E472" s="2" t="s">
        <v>138</v>
      </c>
      <c r="F472" s="2">
        <v>38.0</v>
      </c>
      <c r="G472" s="2">
        <v>38.0</v>
      </c>
      <c r="H472" s="8">
        <f t="shared" si="8"/>
        <v>0</v>
      </c>
      <c r="I472" s="2" t="b">
        <v>1</v>
      </c>
      <c r="J472" s="2" t="s">
        <v>160</v>
      </c>
      <c r="K472" s="12">
        <f t="shared" si="21"/>
        <v>46188</v>
      </c>
      <c r="L472" s="12">
        <f t="shared" si="22"/>
        <v>46203</v>
      </c>
    </row>
    <row r="473" hidden="1">
      <c r="A473" s="4">
        <v>46173.0</v>
      </c>
      <c r="B473" s="2" t="s">
        <v>1211</v>
      </c>
      <c r="C473" s="2" t="s">
        <v>1213</v>
      </c>
      <c r="D473" s="2" t="s">
        <v>159</v>
      </c>
      <c r="E473" s="2" t="s">
        <v>138</v>
      </c>
      <c r="F473" s="2">
        <v>42.0</v>
      </c>
      <c r="G473" s="2">
        <v>42.0</v>
      </c>
      <c r="H473" s="8">
        <f t="shared" si="8"/>
        <v>0</v>
      </c>
      <c r="I473" s="2" t="b">
        <v>1</v>
      </c>
      <c r="J473" s="2" t="s">
        <v>160</v>
      </c>
      <c r="K473" s="12">
        <f t="shared" si="21"/>
        <v>46188</v>
      </c>
      <c r="L473" s="12">
        <f t="shared" si="22"/>
        <v>46203</v>
      </c>
    </row>
    <row r="474" hidden="1">
      <c r="A474" s="4">
        <v>46173.0</v>
      </c>
      <c r="B474" s="2" t="s">
        <v>1211</v>
      </c>
      <c r="C474" s="2" t="s">
        <v>1214</v>
      </c>
      <c r="D474" s="2" t="s">
        <v>159</v>
      </c>
      <c r="E474" s="2" t="s">
        <v>138</v>
      </c>
      <c r="F474" s="2">
        <v>20.0</v>
      </c>
      <c r="G474" s="2">
        <v>20.0</v>
      </c>
      <c r="H474" s="8">
        <f t="shared" si="8"/>
        <v>0</v>
      </c>
      <c r="I474" s="2" t="b">
        <v>1</v>
      </c>
      <c r="J474" s="2" t="s">
        <v>160</v>
      </c>
      <c r="K474" s="12">
        <f t="shared" si="21"/>
        <v>46188</v>
      </c>
      <c r="L474" s="12">
        <f t="shared" si="22"/>
        <v>46203</v>
      </c>
    </row>
    <row r="475" hidden="1">
      <c r="A475" s="4">
        <v>46003.0</v>
      </c>
      <c r="B475" s="2" t="s">
        <v>269</v>
      </c>
      <c r="C475" s="2" t="s">
        <v>521</v>
      </c>
      <c r="D475" s="2" t="s">
        <v>159</v>
      </c>
      <c r="E475" s="2">
        <v>0.0</v>
      </c>
      <c r="F475" s="2">
        <v>70.0</v>
      </c>
      <c r="G475" s="2">
        <v>70.0</v>
      </c>
      <c r="H475" s="8">
        <f t="shared" si="8"/>
        <v>0</v>
      </c>
      <c r="I475" s="2" t="b">
        <v>1</v>
      </c>
      <c r="J475" s="2" t="s">
        <v>160</v>
      </c>
      <c r="K475" s="12">
        <f t="shared" si="21"/>
        <v>46018</v>
      </c>
      <c r="L475" s="12">
        <f t="shared" si="22"/>
        <v>46033</v>
      </c>
    </row>
    <row r="476" hidden="1">
      <c r="A476" s="4">
        <v>46075.0</v>
      </c>
      <c r="B476" s="2" t="s">
        <v>269</v>
      </c>
      <c r="C476" s="2" t="s">
        <v>1215</v>
      </c>
      <c r="D476" s="2" t="s">
        <v>159</v>
      </c>
      <c r="E476" s="2">
        <v>0.0</v>
      </c>
      <c r="F476" s="2">
        <v>65.0</v>
      </c>
      <c r="G476" s="2">
        <v>65.0</v>
      </c>
      <c r="H476" s="8">
        <f t="shared" si="8"/>
        <v>0</v>
      </c>
      <c r="I476" s="2" t="b">
        <v>1</v>
      </c>
      <c r="J476" s="2" t="s">
        <v>160</v>
      </c>
      <c r="K476" s="12">
        <f t="shared" si="21"/>
        <v>46090</v>
      </c>
      <c r="L476" s="12">
        <f t="shared" si="22"/>
        <v>46105</v>
      </c>
    </row>
    <row r="477" hidden="1">
      <c r="A477" s="4">
        <v>46075.0</v>
      </c>
      <c r="B477" s="2" t="s">
        <v>269</v>
      </c>
      <c r="C477" s="2" t="s">
        <v>1216</v>
      </c>
      <c r="D477" s="2" t="s">
        <v>159</v>
      </c>
      <c r="E477" s="2">
        <v>0.0</v>
      </c>
      <c r="F477" s="2">
        <v>45.0</v>
      </c>
      <c r="G477" s="2">
        <v>45.0</v>
      </c>
      <c r="H477" s="8">
        <f t="shared" si="8"/>
        <v>0</v>
      </c>
      <c r="I477" s="2" t="b">
        <v>1</v>
      </c>
      <c r="J477" s="2" t="s">
        <v>160</v>
      </c>
      <c r="K477" s="12">
        <f t="shared" si="21"/>
        <v>46090</v>
      </c>
      <c r="L477" s="12">
        <f t="shared" si="22"/>
        <v>46105</v>
      </c>
    </row>
    <row r="478" hidden="1">
      <c r="A478" s="4">
        <v>46009.0</v>
      </c>
      <c r="B478" s="2" t="s">
        <v>522</v>
      </c>
      <c r="C478" s="2" t="s">
        <v>491</v>
      </c>
      <c r="D478" s="2" t="s">
        <v>159</v>
      </c>
      <c r="E478" s="2">
        <v>0.0</v>
      </c>
      <c r="F478" s="2">
        <v>58.5</v>
      </c>
      <c r="G478" s="2">
        <v>58.5</v>
      </c>
      <c r="H478" s="8">
        <f t="shared" si="8"/>
        <v>0</v>
      </c>
      <c r="I478" s="2" t="b">
        <v>1</v>
      </c>
      <c r="J478" s="2" t="s">
        <v>160</v>
      </c>
      <c r="K478" s="12">
        <f t="shared" si="21"/>
        <v>46024</v>
      </c>
      <c r="L478" s="12">
        <f t="shared" si="22"/>
        <v>46039</v>
      </c>
    </row>
    <row r="479" hidden="1">
      <c r="A479" s="4">
        <v>46190.0</v>
      </c>
      <c r="B479" s="2" t="s">
        <v>1217</v>
      </c>
      <c r="C479" s="2" t="s">
        <v>1218</v>
      </c>
      <c r="D479" s="2" t="s">
        <v>159</v>
      </c>
      <c r="E479" s="2" t="s">
        <v>138</v>
      </c>
      <c r="F479" s="2">
        <v>50.0</v>
      </c>
      <c r="G479" s="2">
        <v>50.0</v>
      </c>
      <c r="H479" s="8">
        <f t="shared" si="8"/>
        <v>0</v>
      </c>
      <c r="I479" s="2" t="b">
        <v>0</v>
      </c>
      <c r="J479" s="2" t="s">
        <v>160</v>
      </c>
      <c r="K479" s="12">
        <f t="shared" si="21"/>
        <v>46205</v>
      </c>
      <c r="L479" s="12">
        <f t="shared" si="22"/>
        <v>46220</v>
      </c>
    </row>
    <row r="480" hidden="1">
      <c r="A480" s="4">
        <v>46181.0</v>
      </c>
      <c r="B480" s="2" t="s">
        <v>1219</v>
      </c>
      <c r="C480" s="2" t="s">
        <v>1220</v>
      </c>
      <c r="D480" s="2" t="s">
        <v>159</v>
      </c>
      <c r="E480" s="2" t="s">
        <v>0</v>
      </c>
      <c r="F480" s="2">
        <v>50.0</v>
      </c>
      <c r="G480" s="2">
        <v>50.0</v>
      </c>
      <c r="H480" s="8">
        <f t="shared" si="8"/>
        <v>0</v>
      </c>
      <c r="I480" s="2" t="b">
        <v>1</v>
      </c>
      <c r="J480" s="2" t="s">
        <v>160</v>
      </c>
      <c r="K480" s="12">
        <f t="shared" si="21"/>
        <v>46196</v>
      </c>
      <c r="L480" s="12">
        <f t="shared" si="22"/>
        <v>46211</v>
      </c>
    </row>
    <row r="481" hidden="1">
      <c r="A481" s="4">
        <v>46090.0</v>
      </c>
      <c r="B481" s="2" t="s">
        <v>1221</v>
      </c>
      <c r="C481" s="2" t="s">
        <v>1222</v>
      </c>
      <c r="D481" s="2" t="s">
        <v>159</v>
      </c>
      <c r="E481" s="2">
        <v>0.0</v>
      </c>
      <c r="F481" s="2">
        <v>160.0</v>
      </c>
      <c r="G481" s="2">
        <v>160.0</v>
      </c>
      <c r="H481" s="8">
        <f t="shared" si="8"/>
        <v>0</v>
      </c>
      <c r="I481" s="2" t="b">
        <v>1</v>
      </c>
      <c r="J481" s="2" t="s">
        <v>160</v>
      </c>
      <c r="K481" s="12">
        <f t="shared" si="21"/>
        <v>46105</v>
      </c>
      <c r="L481" s="12">
        <f t="shared" si="22"/>
        <v>46120</v>
      </c>
    </row>
    <row r="482" hidden="1">
      <c r="A482" s="4">
        <v>46104.0</v>
      </c>
      <c r="B482" s="2" t="s">
        <v>1221</v>
      </c>
      <c r="C482" s="2" t="s">
        <v>1223</v>
      </c>
      <c r="D482" s="2" t="s">
        <v>159</v>
      </c>
      <c r="E482" s="2">
        <v>0.0</v>
      </c>
      <c r="F482" s="2">
        <v>65.0</v>
      </c>
      <c r="G482" s="2">
        <v>65.0</v>
      </c>
      <c r="H482" s="8">
        <f t="shared" si="8"/>
        <v>0</v>
      </c>
      <c r="I482" s="2" t="b">
        <v>1</v>
      </c>
      <c r="J482" s="2" t="s">
        <v>160</v>
      </c>
      <c r="K482" s="12">
        <f t="shared" si="21"/>
        <v>46119</v>
      </c>
      <c r="L482" s="12">
        <f t="shared" si="22"/>
        <v>46134</v>
      </c>
    </row>
    <row r="483" hidden="1">
      <c r="A483" s="4">
        <v>46104.0</v>
      </c>
      <c r="B483" s="2" t="s">
        <v>1221</v>
      </c>
      <c r="C483" s="2" t="s">
        <v>1224</v>
      </c>
      <c r="D483" s="2" t="s">
        <v>159</v>
      </c>
      <c r="E483" s="2">
        <v>0.0</v>
      </c>
      <c r="F483" s="2">
        <v>1.0</v>
      </c>
      <c r="G483" s="2">
        <v>1.0</v>
      </c>
      <c r="H483" s="8">
        <f t="shared" si="8"/>
        <v>0</v>
      </c>
      <c r="I483" s="2" t="b">
        <v>1</v>
      </c>
      <c r="J483" s="2" t="s">
        <v>160</v>
      </c>
      <c r="K483" s="12">
        <f t="shared" si="21"/>
        <v>46119</v>
      </c>
      <c r="L483" s="12">
        <f t="shared" si="22"/>
        <v>46134</v>
      </c>
    </row>
    <row r="484" hidden="1">
      <c r="A484" s="4">
        <v>46140.0</v>
      </c>
      <c r="B484" s="2" t="s">
        <v>1221</v>
      </c>
      <c r="C484" s="2" t="s">
        <v>1225</v>
      </c>
      <c r="D484" s="2" t="s">
        <v>159</v>
      </c>
      <c r="E484" s="2" t="s">
        <v>745</v>
      </c>
      <c r="F484" s="2">
        <v>75.0</v>
      </c>
      <c r="G484" s="2">
        <v>75.0</v>
      </c>
      <c r="H484" s="8">
        <f t="shared" si="8"/>
        <v>0</v>
      </c>
      <c r="I484" s="2" t="b">
        <v>1</v>
      </c>
      <c r="J484" s="2" t="s">
        <v>160</v>
      </c>
      <c r="K484" s="12">
        <f t="shared" si="21"/>
        <v>46155</v>
      </c>
      <c r="L484" s="12">
        <f t="shared" si="22"/>
        <v>46170</v>
      </c>
    </row>
    <row r="485" hidden="1">
      <c r="A485" s="4">
        <v>46166.0</v>
      </c>
      <c r="B485" s="2" t="s">
        <v>1221</v>
      </c>
      <c r="C485" s="2" t="s">
        <v>1226</v>
      </c>
      <c r="D485" s="2" t="s">
        <v>159</v>
      </c>
      <c r="E485" s="2" t="s">
        <v>0</v>
      </c>
      <c r="F485" s="2">
        <v>55.0</v>
      </c>
      <c r="G485" s="2">
        <v>55.0</v>
      </c>
      <c r="H485" s="8">
        <f t="shared" si="8"/>
        <v>0</v>
      </c>
      <c r="I485" s="8" t="b">
        <v>0</v>
      </c>
      <c r="J485" s="2" t="s">
        <v>160</v>
      </c>
      <c r="K485" s="12">
        <f t="shared" si="21"/>
        <v>46181</v>
      </c>
      <c r="L485" s="12">
        <f t="shared" si="22"/>
        <v>46196</v>
      </c>
    </row>
    <row r="486" hidden="1">
      <c r="A486" s="4">
        <v>46166.0</v>
      </c>
      <c r="B486" s="2" t="s">
        <v>1221</v>
      </c>
      <c r="C486" s="2" t="s">
        <v>1227</v>
      </c>
      <c r="D486" s="2" t="s">
        <v>159</v>
      </c>
      <c r="E486" s="2" t="s">
        <v>0</v>
      </c>
      <c r="F486" s="2">
        <v>62.0</v>
      </c>
      <c r="G486" s="2">
        <v>62.0</v>
      </c>
      <c r="H486" s="8">
        <f t="shared" si="8"/>
        <v>0</v>
      </c>
      <c r="I486" s="8" t="b">
        <v>0</v>
      </c>
      <c r="J486" s="2" t="s">
        <v>160</v>
      </c>
      <c r="K486" s="12">
        <f t="shared" si="21"/>
        <v>46181</v>
      </c>
      <c r="L486" s="12">
        <f t="shared" si="22"/>
        <v>46196</v>
      </c>
    </row>
    <row r="487" hidden="1">
      <c r="A487" s="4">
        <v>46173.0</v>
      </c>
      <c r="B487" s="2" t="s">
        <v>1221</v>
      </c>
      <c r="C487" s="2" t="s">
        <v>1228</v>
      </c>
      <c r="D487" s="2" t="s">
        <v>159</v>
      </c>
      <c r="E487" s="2" t="s">
        <v>0</v>
      </c>
      <c r="F487" s="2">
        <v>50.0</v>
      </c>
      <c r="G487" s="2">
        <v>50.0</v>
      </c>
      <c r="H487" s="8">
        <f t="shared" si="8"/>
        <v>0</v>
      </c>
      <c r="I487" s="8" t="b">
        <v>0</v>
      </c>
      <c r="J487" s="2" t="s">
        <v>160</v>
      </c>
      <c r="K487" s="12">
        <f t="shared" si="21"/>
        <v>46188</v>
      </c>
      <c r="L487" s="12">
        <f t="shared" si="22"/>
        <v>46203</v>
      </c>
    </row>
    <row r="488" hidden="1">
      <c r="A488" s="4">
        <v>46173.0</v>
      </c>
      <c r="B488" s="2" t="s">
        <v>1221</v>
      </c>
      <c r="C488" s="2" t="s">
        <v>787</v>
      </c>
      <c r="D488" s="2" t="s">
        <v>159</v>
      </c>
      <c r="E488" s="2" t="s">
        <v>0</v>
      </c>
      <c r="F488" s="2">
        <v>70.0</v>
      </c>
      <c r="G488" s="2">
        <v>70.0</v>
      </c>
      <c r="H488" s="8">
        <f t="shared" si="8"/>
        <v>0</v>
      </c>
      <c r="I488" s="8" t="b">
        <v>0</v>
      </c>
      <c r="J488" s="2" t="s">
        <v>160</v>
      </c>
      <c r="K488" s="12">
        <f t="shared" si="21"/>
        <v>46188</v>
      </c>
      <c r="L488" s="12">
        <f t="shared" si="22"/>
        <v>46203</v>
      </c>
    </row>
    <row r="489" hidden="1">
      <c r="A489" s="4">
        <v>46190.0</v>
      </c>
      <c r="B489" s="2" t="s">
        <v>1221</v>
      </c>
      <c r="C489" s="2" t="s">
        <v>1229</v>
      </c>
      <c r="D489" s="2" t="s">
        <v>159</v>
      </c>
      <c r="E489" s="2" t="s">
        <v>138</v>
      </c>
      <c r="F489" s="2">
        <v>47.0</v>
      </c>
      <c r="G489" s="2">
        <v>0.0</v>
      </c>
      <c r="H489" s="8">
        <f t="shared" si="8"/>
        <v>47</v>
      </c>
      <c r="I489" s="2" t="b">
        <v>0</v>
      </c>
      <c r="J489" s="2" t="s">
        <v>160</v>
      </c>
      <c r="K489" s="12">
        <f t="shared" si="21"/>
        <v>46205</v>
      </c>
      <c r="L489" s="12">
        <f t="shared" si="22"/>
        <v>46220</v>
      </c>
    </row>
    <row r="490" hidden="1">
      <c r="A490" s="4">
        <v>46190.0</v>
      </c>
      <c r="B490" s="2" t="s">
        <v>1230</v>
      </c>
      <c r="C490" s="2" t="s">
        <v>1231</v>
      </c>
      <c r="D490" s="2" t="s">
        <v>159</v>
      </c>
      <c r="E490" s="2" t="s">
        <v>138</v>
      </c>
      <c r="F490" s="2">
        <v>41.0</v>
      </c>
      <c r="G490" s="2">
        <v>0.0</v>
      </c>
      <c r="H490" s="8">
        <f t="shared" si="8"/>
        <v>41</v>
      </c>
      <c r="I490" s="2" t="b">
        <v>0</v>
      </c>
      <c r="J490" s="2" t="s">
        <v>160</v>
      </c>
      <c r="K490" s="12">
        <f t="shared" si="21"/>
        <v>46205</v>
      </c>
      <c r="L490" s="12">
        <f t="shared" si="22"/>
        <v>46220</v>
      </c>
    </row>
    <row r="491" hidden="1">
      <c r="A491" s="4">
        <v>46196.0</v>
      </c>
      <c r="B491" s="2" t="s">
        <v>1232</v>
      </c>
      <c r="C491" s="2" t="s">
        <v>1233</v>
      </c>
      <c r="D491" s="2" t="s">
        <v>159</v>
      </c>
      <c r="E491" s="2" t="s">
        <v>0</v>
      </c>
      <c r="F491" s="2">
        <v>300.0</v>
      </c>
      <c r="G491" s="2">
        <v>300.0</v>
      </c>
      <c r="H491" s="8">
        <f t="shared" si="8"/>
        <v>0</v>
      </c>
      <c r="I491" s="2" t="b">
        <v>1</v>
      </c>
      <c r="J491" s="2" t="s">
        <v>160</v>
      </c>
      <c r="K491" s="12">
        <f t="shared" si="21"/>
        <v>46211</v>
      </c>
      <c r="L491" s="12">
        <f t="shared" si="22"/>
        <v>46226</v>
      </c>
    </row>
    <row r="492" hidden="1">
      <c r="A492" s="4">
        <v>46147.0</v>
      </c>
      <c r="B492" s="2" t="s">
        <v>1234</v>
      </c>
      <c r="C492" s="2" t="s">
        <v>1235</v>
      </c>
      <c r="D492" s="2" t="s">
        <v>159</v>
      </c>
      <c r="E492" s="2">
        <v>0.0</v>
      </c>
      <c r="F492" s="2">
        <v>36.0</v>
      </c>
      <c r="G492" s="2">
        <v>36.0</v>
      </c>
      <c r="H492" s="8">
        <f t="shared" si="8"/>
        <v>0</v>
      </c>
      <c r="I492" s="2" t="b">
        <v>1</v>
      </c>
      <c r="J492" s="2" t="s">
        <v>160</v>
      </c>
      <c r="K492" s="12">
        <f t="shared" si="21"/>
        <v>46162</v>
      </c>
      <c r="L492" s="12">
        <f t="shared" si="22"/>
        <v>46177</v>
      </c>
    </row>
    <row r="493" hidden="1">
      <c r="A493" s="4">
        <v>46152.0</v>
      </c>
      <c r="B493" s="2" t="s">
        <v>1234</v>
      </c>
      <c r="C493" s="2" t="s">
        <v>1236</v>
      </c>
      <c r="D493" s="2" t="s">
        <v>159</v>
      </c>
      <c r="E493" s="2">
        <v>0.0</v>
      </c>
      <c r="F493" s="2">
        <v>50.0</v>
      </c>
      <c r="G493" s="2">
        <v>50.0</v>
      </c>
      <c r="H493" s="8">
        <f t="shared" si="8"/>
        <v>0</v>
      </c>
      <c r="I493" s="2" t="b">
        <v>1</v>
      </c>
      <c r="J493" s="2" t="s">
        <v>160</v>
      </c>
      <c r="K493" s="12">
        <f t="shared" si="21"/>
        <v>46167</v>
      </c>
      <c r="L493" s="12">
        <f t="shared" si="22"/>
        <v>46182</v>
      </c>
    </row>
    <row r="494" hidden="1">
      <c r="A494" s="4">
        <v>46157.0</v>
      </c>
      <c r="B494" s="2" t="s">
        <v>1234</v>
      </c>
      <c r="C494" s="2" t="s">
        <v>1062</v>
      </c>
      <c r="D494" s="2" t="s">
        <v>159</v>
      </c>
      <c r="E494" s="2" t="s">
        <v>0</v>
      </c>
      <c r="F494" s="2">
        <v>85.0</v>
      </c>
      <c r="G494" s="2">
        <v>85.0</v>
      </c>
      <c r="H494" s="8">
        <f t="shared" si="8"/>
        <v>0</v>
      </c>
      <c r="I494" s="2" t="b">
        <v>1</v>
      </c>
      <c r="J494" s="2" t="s">
        <v>160</v>
      </c>
      <c r="K494" s="12">
        <f t="shared" si="21"/>
        <v>46172</v>
      </c>
      <c r="L494" s="12">
        <f t="shared" si="22"/>
        <v>46187</v>
      </c>
    </row>
    <row r="495" hidden="1">
      <c r="A495" s="4">
        <v>46159.0</v>
      </c>
      <c r="B495" s="2" t="s">
        <v>1234</v>
      </c>
      <c r="C495" s="2" t="s">
        <v>1237</v>
      </c>
      <c r="D495" s="2" t="s">
        <v>159</v>
      </c>
      <c r="E495" s="2" t="s">
        <v>0</v>
      </c>
      <c r="F495" s="2">
        <v>60.0</v>
      </c>
      <c r="G495" s="2">
        <v>60.0</v>
      </c>
      <c r="H495" s="8">
        <f t="shared" si="8"/>
        <v>0</v>
      </c>
      <c r="I495" s="2" t="b">
        <v>1</v>
      </c>
      <c r="J495" s="2" t="s">
        <v>160</v>
      </c>
      <c r="K495" s="12">
        <f t="shared" si="21"/>
        <v>46174</v>
      </c>
      <c r="L495" s="12">
        <f t="shared" si="22"/>
        <v>46189</v>
      </c>
    </row>
    <row r="496" hidden="1">
      <c r="A496" s="4">
        <v>46166.0</v>
      </c>
      <c r="B496" s="2" t="s">
        <v>1234</v>
      </c>
      <c r="C496" s="2" t="s">
        <v>1238</v>
      </c>
      <c r="D496" s="2" t="s">
        <v>159</v>
      </c>
      <c r="E496" s="2" t="s">
        <v>0</v>
      </c>
      <c r="F496" s="2">
        <v>36.0</v>
      </c>
      <c r="G496" s="2">
        <v>36.0</v>
      </c>
      <c r="H496" s="8">
        <f t="shared" si="8"/>
        <v>0</v>
      </c>
      <c r="I496" s="2" t="b">
        <v>1</v>
      </c>
      <c r="J496" s="2" t="s">
        <v>160</v>
      </c>
      <c r="K496" s="12">
        <f t="shared" si="21"/>
        <v>46181</v>
      </c>
      <c r="L496" s="12">
        <f t="shared" si="22"/>
        <v>46196</v>
      </c>
    </row>
    <row r="497" hidden="1">
      <c r="A497" s="4">
        <v>46187.0</v>
      </c>
      <c r="B497" s="2" t="s">
        <v>1234</v>
      </c>
      <c r="C497" s="2" t="s">
        <v>1239</v>
      </c>
      <c r="D497" s="2" t="s">
        <v>159</v>
      </c>
      <c r="E497" s="2" t="s">
        <v>138</v>
      </c>
      <c r="F497" s="2">
        <v>30.0</v>
      </c>
      <c r="G497" s="2">
        <v>30.0</v>
      </c>
      <c r="H497" s="8">
        <f t="shared" si="8"/>
        <v>0</v>
      </c>
      <c r="I497" s="2" t="b">
        <v>0</v>
      </c>
      <c r="J497" s="2" t="s">
        <v>160</v>
      </c>
      <c r="K497" s="12">
        <f t="shared" si="21"/>
        <v>46202</v>
      </c>
      <c r="L497" s="12">
        <f t="shared" si="22"/>
        <v>46217</v>
      </c>
    </row>
    <row r="498" hidden="1">
      <c r="A498" s="4">
        <v>46190.0</v>
      </c>
      <c r="B498" s="2" t="s">
        <v>1234</v>
      </c>
      <c r="C498" s="2" t="s">
        <v>1240</v>
      </c>
      <c r="D498" s="2" t="s">
        <v>159</v>
      </c>
      <c r="E498" s="2" t="s">
        <v>138</v>
      </c>
      <c r="F498" s="2">
        <v>30.0</v>
      </c>
      <c r="G498" s="2">
        <v>0.0</v>
      </c>
      <c r="H498" s="8">
        <f t="shared" si="8"/>
        <v>30</v>
      </c>
      <c r="I498" s="2" t="b">
        <v>0</v>
      </c>
      <c r="J498" s="2" t="s">
        <v>160</v>
      </c>
      <c r="K498" s="12">
        <f t="shared" si="21"/>
        <v>46205</v>
      </c>
      <c r="L498" s="12">
        <f t="shared" si="22"/>
        <v>46220</v>
      </c>
    </row>
    <row r="499" hidden="1">
      <c r="A499" s="4">
        <v>46190.0</v>
      </c>
      <c r="B499" s="2" t="s">
        <v>1234</v>
      </c>
      <c r="C499" s="2" t="s">
        <v>1241</v>
      </c>
      <c r="D499" s="2" t="s">
        <v>159</v>
      </c>
      <c r="E499" s="2" t="s">
        <v>138</v>
      </c>
      <c r="F499" s="2">
        <v>30.0</v>
      </c>
      <c r="G499" s="2">
        <v>0.0</v>
      </c>
      <c r="H499" s="8">
        <f t="shared" si="8"/>
        <v>30</v>
      </c>
      <c r="I499" s="2" t="b">
        <v>0</v>
      </c>
      <c r="J499" s="2" t="s">
        <v>160</v>
      </c>
      <c r="K499" s="12">
        <f t="shared" si="21"/>
        <v>46205</v>
      </c>
      <c r="L499" s="12">
        <f t="shared" si="22"/>
        <v>46220</v>
      </c>
    </row>
    <row r="500" hidden="1">
      <c r="A500" s="4">
        <v>46192.0</v>
      </c>
      <c r="B500" s="2" t="s">
        <v>1234</v>
      </c>
      <c r="C500" s="2" t="s">
        <v>1242</v>
      </c>
      <c r="D500" s="2" t="s">
        <v>159</v>
      </c>
      <c r="E500" s="2" t="s">
        <v>0</v>
      </c>
      <c r="F500" s="2">
        <v>42.0</v>
      </c>
      <c r="G500" s="2">
        <v>0.0</v>
      </c>
      <c r="H500" s="8">
        <f t="shared" si="8"/>
        <v>42</v>
      </c>
      <c r="I500" s="2" t="b">
        <v>0</v>
      </c>
      <c r="J500" s="2" t="s">
        <v>160</v>
      </c>
      <c r="K500" s="12">
        <f t="shared" si="21"/>
        <v>46207</v>
      </c>
      <c r="L500" s="12">
        <f t="shared" si="22"/>
        <v>46222</v>
      </c>
    </row>
    <row r="501" hidden="1">
      <c r="A501" s="4">
        <v>46192.0</v>
      </c>
      <c r="B501" s="2" t="s">
        <v>1234</v>
      </c>
      <c r="C501" s="2" t="s">
        <v>1243</v>
      </c>
      <c r="D501" s="2" t="s">
        <v>159</v>
      </c>
      <c r="E501" s="2" t="s">
        <v>0</v>
      </c>
      <c r="F501" s="2">
        <v>45.0</v>
      </c>
      <c r="G501" s="2">
        <v>0.0</v>
      </c>
      <c r="H501" s="8">
        <f t="shared" si="8"/>
        <v>45</v>
      </c>
      <c r="I501" s="2" t="b">
        <v>0</v>
      </c>
      <c r="J501" s="2" t="s">
        <v>160</v>
      </c>
      <c r="K501" s="12">
        <f t="shared" si="21"/>
        <v>46207</v>
      </c>
      <c r="L501" s="12">
        <f t="shared" si="22"/>
        <v>46222</v>
      </c>
    </row>
    <row r="502" hidden="1">
      <c r="A502" s="4">
        <v>46166.0</v>
      </c>
      <c r="B502" s="2" t="s">
        <v>1244</v>
      </c>
      <c r="C502" s="2" t="s">
        <v>592</v>
      </c>
      <c r="D502" s="2" t="s">
        <v>159</v>
      </c>
      <c r="E502" s="2" t="s">
        <v>138</v>
      </c>
      <c r="F502" s="2">
        <v>38.0</v>
      </c>
      <c r="G502" s="2">
        <v>38.0</v>
      </c>
      <c r="H502" s="8">
        <f t="shared" si="8"/>
        <v>0</v>
      </c>
      <c r="I502" s="2" t="b">
        <v>1</v>
      </c>
      <c r="J502" s="2" t="s">
        <v>160</v>
      </c>
      <c r="K502" s="12">
        <f t="shared" si="21"/>
        <v>46181</v>
      </c>
      <c r="L502" s="12">
        <f t="shared" si="22"/>
        <v>46196</v>
      </c>
    </row>
    <row r="503" hidden="1">
      <c r="A503" s="4">
        <v>46190.0</v>
      </c>
      <c r="B503" s="2" t="s">
        <v>1244</v>
      </c>
      <c r="C503" s="2" t="s">
        <v>1245</v>
      </c>
      <c r="D503" s="2" t="s">
        <v>159</v>
      </c>
      <c r="E503" s="2" t="s">
        <v>138</v>
      </c>
      <c r="F503" s="2">
        <v>32.0</v>
      </c>
      <c r="G503" s="2">
        <v>0.0</v>
      </c>
      <c r="H503" s="8">
        <f t="shared" si="8"/>
        <v>32</v>
      </c>
      <c r="I503" s="2" t="b">
        <v>0</v>
      </c>
      <c r="J503" s="2" t="s">
        <v>160</v>
      </c>
      <c r="K503" s="12">
        <f t="shared" si="21"/>
        <v>46205</v>
      </c>
      <c r="L503" s="12">
        <f t="shared" si="22"/>
        <v>46220</v>
      </c>
    </row>
    <row r="504" hidden="1">
      <c r="A504" s="4">
        <v>46124.0</v>
      </c>
      <c r="B504" s="2" t="s">
        <v>1246</v>
      </c>
      <c r="C504" s="2" t="s">
        <v>1247</v>
      </c>
      <c r="D504" s="2" t="s">
        <v>159</v>
      </c>
      <c r="E504" s="2" t="s">
        <v>745</v>
      </c>
      <c r="F504" s="2">
        <v>30.0</v>
      </c>
      <c r="G504" s="2">
        <v>30.0</v>
      </c>
      <c r="H504" s="8">
        <f t="shared" si="8"/>
        <v>0</v>
      </c>
      <c r="I504" s="2" t="b">
        <v>1</v>
      </c>
      <c r="J504" s="2" t="s">
        <v>160</v>
      </c>
      <c r="K504" s="12">
        <f t="shared" si="21"/>
        <v>46139</v>
      </c>
      <c r="L504" s="12">
        <f t="shared" si="22"/>
        <v>46154</v>
      </c>
      <c r="M504" s="2" t="b">
        <v>0</v>
      </c>
    </row>
    <row r="505" hidden="1">
      <c r="A505" s="4">
        <v>45988.0</v>
      </c>
      <c r="B505" s="2" t="s">
        <v>523</v>
      </c>
      <c r="C505" s="2" t="s">
        <v>524</v>
      </c>
      <c r="D505" s="2" t="s">
        <v>159</v>
      </c>
      <c r="E505" s="2">
        <v>0.0</v>
      </c>
      <c r="F505" s="2">
        <v>4.0</v>
      </c>
      <c r="G505" s="2">
        <v>4.0</v>
      </c>
      <c r="H505" s="8">
        <f t="shared" si="8"/>
        <v>0</v>
      </c>
      <c r="I505" s="2" t="b">
        <v>1</v>
      </c>
      <c r="J505" s="2" t="s">
        <v>160</v>
      </c>
      <c r="K505" s="12">
        <f t="shared" si="21"/>
        <v>46003</v>
      </c>
      <c r="L505" s="12">
        <f t="shared" si="22"/>
        <v>46018</v>
      </c>
    </row>
    <row r="506" hidden="1">
      <c r="A506" s="4">
        <v>46052.0</v>
      </c>
      <c r="B506" s="2" t="s">
        <v>523</v>
      </c>
      <c r="C506" s="2" t="s">
        <v>1248</v>
      </c>
      <c r="D506" s="2" t="s">
        <v>159</v>
      </c>
      <c r="E506" s="2">
        <v>0.0</v>
      </c>
      <c r="F506" s="2">
        <v>15.0</v>
      </c>
      <c r="G506" s="2">
        <v>15.0</v>
      </c>
      <c r="H506" s="8">
        <f t="shared" si="8"/>
        <v>0</v>
      </c>
      <c r="I506" s="2" t="b">
        <v>0</v>
      </c>
      <c r="J506" s="2" t="s">
        <v>160</v>
      </c>
      <c r="K506" s="12">
        <f t="shared" si="21"/>
        <v>46067</v>
      </c>
      <c r="L506" s="12">
        <f t="shared" si="22"/>
        <v>46082</v>
      </c>
    </row>
    <row r="507" hidden="1">
      <c r="A507" s="4">
        <v>46071.0</v>
      </c>
      <c r="B507" s="2" t="s">
        <v>1249</v>
      </c>
      <c r="C507" s="2" t="s">
        <v>1250</v>
      </c>
      <c r="D507" s="2" t="s">
        <v>159</v>
      </c>
      <c r="E507" s="2">
        <v>0.0</v>
      </c>
      <c r="F507" s="2">
        <v>80.0</v>
      </c>
      <c r="G507" s="2">
        <v>80.0</v>
      </c>
      <c r="H507" s="8">
        <f t="shared" si="8"/>
        <v>0</v>
      </c>
      <c r="I507" s="2" t="b">
        <v>1</v>
      </c>
      <c r="J507" s="2" t="s">
        <v>160</v>
      </c>
      <c r="K507" s="12">
        <f t="shared" si="21"/>
        <v>46086</v>
      </c>
      <c r="L507" s="12">
        <f t="shared" si="22"/>
        <v>46101</v>
      </c>
    </row>
    <row r="508" hidden="1">
      <c r="A508" s="4">
        <v>46181.0</v>
      </c>
      <c r="B508" s="2" t="s">
        <v>1251</v>
      </c>
      <c r="C508" s="2" t="s">
        <v>1252</v>
      </c>
      <c r="D508" s="2" t="s">
        <v>159</v>
      </c>
      <c r="E508" s="2" t="s">
        <v>138</v>
      </c>
      <c r="F508" s="2">
        <v>65.0</v>
      </c>
      <c r="G508" s="2">
        <v>10.0</v>
      </c>
      <c r="H508" s="8">
        <f t="shared" si="8"/>
        <v>55</v>
      </c>
      <c r="I508" s="2" t="b">
        <v>0</v>
      </c>
      <c r="J508" s="2" t="s">
        <v>160</v>
      </c>
      <c r="K508" s="12">
        <f t="shared" si="21"/>
        <v>46196</v>
      </c>
      <c r="L508" s="12">
        <f t="shared" si="22"/>
        <v>46211</v>
      </c>
    </row>
    <row r="509" hidden="1">
      <c r="A509" s="4">
        <v>46187.0</v>
      </c>
      <c r="B509" s="2" t="s">
        <v>1251</v>
      </c>
      <c r="C509" s="2" t="s">
        <v>1253</v>
      </c>
      <c r="D509" s="2" t="s">
        <v>159</v>
      </c>
      <c r="E509" s="2" t="s">
        <v>138</v>
      </c>
      <c r="F509" s="2">
        <v>35.0</v>
      </c>
      <c r="G509" s="2">
        <v>0.0</v>
      </c>
      <c r="H509" s="8">
        <f t="shared" si="8"/>
        <v>35</v>
      </c>
      <c r="I509" s="2" t="b">
        <v>0</v>
      </c>
      <c r="J509" s="2" t="s">
        <v>160</v>
      </c>
      <c r="K509" s="12">
        <f t="shared" si="21"/>
        <v>46202</v>
      </c>
      <c r="L509" s="12">
        <f t="shared" si="22"/>
        <v>46217</v>
      </c>
    </row>
    <row r="510" hidden="1">
      <c r="A510" s="4">
        <v>46143.0</v>
      </c>
      <c r="B510" s="2" t="s">
        <v>1254</v>
      </c>
      <c r="C510" s="2" t="s">
        <v>1167</v>
      </c>
      <c r="D510" s="2" t="s">
        <v>159</v>
      </c>
      <c r="E510" s="2" t="s">
        <v>0</v>
      </c>
      <c r="F510" s="2">
        <v>70.0</v>
      </c>
      <c r="G510" s="2">
        <v>10.0</v>
      </c>
      <c r="H510" s="8">
        <f t="shared" si="8"/>
        <v>60</v>
      </c>
      <c r="I510" s="8" t="b">
        <v>0</v>
      </c>
      <c r="J510" s="2" t="s">
        <v>160</v>
      </c>
      <c r="K510" s="12">
        <f t="shared" si="21"/>
        <v>46158</v>
      </c>
      <c r="L510" s="12">
        <f t="shared" si="22"/>
        <v>46173</v>
      </c>
    </row>
    <row r="511" hidden="1">
      <c r="A511" s="4">
        <v>45945.0</v>
      </c>
      <c r="B511" s="2" t="s">
        <v>525</v>
      </c>
      <c r="C511" s="2" t="s">
        <v>526</v>
      </c>
      <c r="D511" s="2" t="s">
        <v>115</v>
      </c>
      <c r="E511" s="2">
        <v>181.0</v>
      </c>
      <c r="F511" s="2">
        <v>1650.0</v>
      </c>
      <c r="G511" s="2">
        <v>1650.0</v>
      </c>
      <c r="H511" s="8">
        <f t="shared" si="8"/>
        <v>0</v>
      </c>
      <c r="I511" s="2" t="b">
        <v>1</v>
      </c>
      <c r="J511" s="2" t="s">
        <v>160</v>
      </c>
      <c r="K511" s="12">
        <f t="shared" si="21"/>
        <v>45960</v>
      </c>
      <c r="L511" s="12">
        <f t="shared" si="22"/>
        <v>45975</v>
      </c>
    </row>
    <row r="512" hidden="1">
      <c r="A512" s="4">
        <v>45947.0</v>
      </c>
      <c r="B512" s="2" t="s">
        <v>525</v>
      </c>
      <c r="C512" s="2" t="s">
        <v>533</v>
      </c>
      <c r="D512" s="2" t="s">
        <v>113</v>
      </c>
      <c r="E512" s="2">
        <v>0.0</v>
      </c>
      <c r="F512" s="2">
        <v>55.0</v>
      </c>
      <c r="G512" s="2">
        <v>55.0</v>
      </c>
      <c r="H512" s="8">
        <f t="shared" si="8"/>
        <v>0</v>
      </c>
      <c r="I512" s="2" t="b">
        <v>1</v>
      </c>
      <c r="J512" s="2" t="s">
        <v>160</v>
      </c>
      <c r="K512" s="12">
        <f t="shared" si="21"/>
        <v>45962</v>
      </c>
      <c r="L512" s="12">
        <f t="shared" si="22"/>
        <v>45977</v>
      </c>
    </row>
    <row r="513" hidden="1">
      <c r="A513" s="4">
        <v>45977.0</v>
      </c>
      <c r="B513" s="2" t="s">
        <v>525</v>
      </c>
      <c r="C513" s="2" t="s">
        <v>537</v>
      </c>
      <c r="D513" s="2" t="s">
        <v>159</v>
      </c>
      <c r="E513" s="2">
        <v>0.0</v>
      </c>
      <c r="F513" s="2">
        <v>33.0</v>
      </c>
      <c r="G513" s="2">
        <v>33.0</v>
      </c>
      <c r="H513" s="8">
        <f t="shared" si="8"/>
        <v>0</v>
      </c>
      <c r="I513" s="2" t="b">
        <v>1</v>
      </c>
      <c r="J513" s="2" t="s">
        <v>160</v>
      </c>
      <c r="K513" s="12">
        <f t="shared" si="21"/>
        <v>45992</v>
      </c>
      <c r="L513" s="12">
        <f t="shared" si="22"/>
        <v>46007</v>
      </c>
    </row>
    <row r="514" hidden="1">
      <c r="A514" s="4">
        <v>46124.0</v>
      </c>
      <c r="B514" s="2" t="s">
        <v>930</v>
      </c>
      <c r="C514" s="2" t="s">
        <v>1255</v>
      </c>
      <c r="D514" s="2" t="s">
        <v>159</v>
      </c>
      <c r="E514" s="2" t="s">
        <v>745</v>
      </c>
      <c r="F514" s="2">
        <v>50.0</v>
      </c>
      <c r="G514" s="2">
        <v>50.0</v>
      </c>
      <c r="H514" s="8">
        <f t="shared" si="8"/>
        <v>0</v>
      </c>
      <c r="I514" s="2" t="b">
        <v>1</v>
      </c>
      <c r="J514" s="2" t="s">
        <v>160</v>
      </c>
      <c r="K514" s="12">
        <f t="shared" si="21"/>
        <v>46139</v>
      </c>
      <c r="L514" s="12">
        <f t="shared" si="22"/>
        <v>46154</v>
      </c>
      <c r="M514" s="2" t="b">
        <v>0</v>
      </c>
    </row>
    <row r="515" hidden="1">
      <c r="A515" s="4">
        <v>46124.0</v>
      </c>
      <c r="B515" s="2" t="s">
        <v>930</v>
      </c>
      <c r="C515" s="2" t="s">
        <v>1256</v>
      </c>
      <c r="D515" s="2" t="s">
        <v>159</v>
      </c>
      <c r="E515" s="2" t="s">
        <v>745</v>
      </c>
      <c r="F515" s="2">
        <v>47.0</v>
      </c>
      <c r="G515" s="2">
        <v>47.0</v>
      </c>
      <c r="H515" s="8">
        <f t="shared" si="8"/>
        <v>0</v>
      </c>
      <c r="I515" s="2" t="b">
        <v>1</v>
      </c>
      <c r="J515" s="2" t="s">
        <v>160</v>
      </c>
      <c r="K515" s="12">
        <f t="shared" si="21"/>
        <v>46139</v>
      </c>
      <c r="L515" s="12">
        <f t="shared" si="22"/>
        <v>46154</v>
      </c>
      <c r="M515" s="2" t="b">
        <v>1</v>
      </c>
    </row>
    <row r="516" hidden="1">
      <c r="A516" s="4">
        <v>46124.0</v>
      </c>
      <c r="B516" s="2" t="s">
        <v>930</v>
      </c>
      <c r="C516" s="2" t="s">
        <v>1257</v>
      </c>
      <c r="D516" s="2" t="s">
        <v>159</v>
      </c>
      <c r="E516" s="2" t="s">
        <v>745</v>
      </c>
      <c r="F516" s="2">
        <v>15.0</v>
      </c>
      <c r="G516" s="2">
        <v>15.0</v>
      </c>
      <c r="H516" s="8">
        <f t="shared" si="8"/>
        <v>0</v>
      </c>
      <c r="I516" s="2" t="b">
        <v>1</v>
      </c>
      <c r="J516" s="2" t="s">
        <v>160</v>
      </c>
      <c r="K516" s="12">
        <f t="shared" si="21"/>
        <v>46139</v>
      </c>
      <c r="L516" s="12">
        <f t="shared" si="22"/>
        <v>46154</v>
      </c>
      <c r="M516" s="2" t="b">
        <v>0</v>
      </c>
    </row>
    <row r="517" hidden="1">
      <c r="A517" s="4">
        <v>46124.0</v>
      </c>
      <c r="B517" s="2" t="s">
        <v>930</v>
      </c>
      <c r="C517" s="2" t="s">
        <v>1258</v>
      </c>
      <c r="D517" s="2" t="s">
        <v>159</v>
      </c>
      <c r="E517" s="2">
        <v>0.0</v>
      </c>
      <c r="F517" s="2">
        <v>85.0</v>
      </c>
      <c r="G517" s="2">
        <v>85.0</v>
      </c>
      <c r="H517" s="8">
        <f t="shared" si="8"/>
        <v>0</v>
      </c>
      <c r="I517" s="2" t="b">
        <v>1</v>
      </c>
      <c r="J517" s="2" t="s">
        <v>160</v>
      </c>
      <c r="K517" s="12">
        <f t="shared" si="21"/>
        <v>46139</v>
      </c>
      <c r="L517" s="12">
        <f t="shared" si="22"/>
        <v>46154</v>
      </c>
      <c r="M517" s="2" t="b">
        <v>0</v>
      </c>
    </row>
    <row r="518" hidden="1">
      <c r="A518" s="4">
        <v>46140.0</v>
      </c>
      <c r="B518" s="2" t="s">
        <v>930</v>
      </c>
      <c r="C518" s="2" t="s">
        <v>1259</v>
      </c>
      <c r="D518" s="2" t="s">
        <v>159</v>
      </c>
      <c r="E518" s="2" t="s">
        <v>745</v>
      </c>
      <c r="F518" s="2">
        <v>140.0</v>
      </c>
      <c r="G518" s="2">
        <v>140.0</v>
      </c>
      <c r="H518" s="8">
        <f t="shared" si="8"/>
        <v>0</v>
      </c>
      <c r="I518" s="2" t="b">
        <v>1</v>
      </c>
      <c r="J518" s="2" t="s">
        <v>160</v>
      </c>
      <c r="K518" s="12">
        <f t="shared" si="21"/>
        <v>46155</v>
      </c>
      <c r="L518" s="12">
        <f t="shared" si="22"/>
        <v>46170</v>
      </c>
    </row>
    <row r="519" hidden="1">
      <c r="A519" s="4">
        <v>46143.0</v>
      </c>
      <c r="B519" s="2" t="s">
        <v>1260</v>
      </c>
      <c r="C519" s="2" t="s">
        <v>1261</v>
      </c>
      <c r="D519" s="2" t="s">
        <v>159</v>
      </c>
      <c r="E519" s="2" t="s">
        <v>745</v>
      </c>
      <c r="F519" s="2">
        <v>100.0</v>
      </c>
      <c r="G519" s="2">
        <v>100.0</v>
      </c>
      <c r="H519" s="8">
        <f t="shared" si="8"/>
        <v>0</v>
      </c>
      <c r="I519" s="2" t="b">
        <v>1</v>
      </c>
      <c r="J519" s="2" t="s">
        <v>160</v>
      </c>
      <c r="K519" s="12">
        <f t="shared" si="21"/>
        <v>46158</v>
      </c>
      <c r="L519" s="12">
        <f t="shared" si="22"/>
        <v>46173</v>
      </c>
    </row>
    <row r="520" hidden="1">
      <c r="A520" s="4">
        <v>46124.0</v>
      </c>
      <c r="B520" s="2" t="s">
        <v>1262</v>
      </c>
      <c r="C520" s="2" t="s">
        <v>1263</v>
      </c>
      <c r="D520" s="2" t="s">
        <v>159</v>
      </c>
      <c r="E520" s="2" t="s">
        <v>745</v>
      </c>
      <c r="F520" s="2">
        <v>25.0</v>
      </c>
      <c r="G520" s="2">
        <v>25.0</v>
      </c>
      <c r="H520" s="8">
        <f t="shared" si="8"/>
        <v>0</v>
      </c>
      <c r="I520" s="2" t="b">
        <v>1</v>
      </c>
      <c r="J520" s="2" t="s">
        <v>160</v>
      </c>
      <c r="K520" s="12">
        <f t="shared" si="21"/>
        <v>46139</v>
      </c>
      <c r="L520" s="12">
        <f t="shared" si="22"/>
        <v>46154</v>
      </c>
    </row>
    <row r="521" hidden="1">
      <c r="A521" s="4">
        <v>46125.0</v>
      </c>
      <c r="B521" s="2" t="s">
        <v>1262</v>
      </c>
      <c r="C521" s="2" t="s">
        <v>1264</v>
      </c>
      <c r="D521" s="2" t="s">
        <v>159</v>
      </c>
      <c r="E521" s="2" t="s">
        <v>745</v>
      </c>
      <c r="F521" s="2">
        <v>65.0</v>
      </c>
      <c r="G521" s="2">
        <v>65.0</v>
      </c>
      <c r="H521" s="8">
        <f t="shared" si="8"/>
        <v>0</v>
      </c>
      <c r="I521" s="2" t="b">
        <v>1</v>
      </c>
      <c r="J521" s="2" t="s">
        <v>160</v>
      </c>
      <c r="K521" s="12">
        <f t="shared" si="21"/>
        <v>46140</v>
      </c>
      <c r="L521" s="12">
        <f t="shared" si="22"/>
        <v>46155</v>
      </c>
    </row>
    <row r="522" hidden="1">
      <c r="A522" s="4">
        <v>46062.0</v>
      </c>
      <c r="B522" s="2" t="s">
        <v>1265</v>
      </c>
      <c r="C522" s="2" t="s">
        <v>519</v>
      </c>
      <c r="D522" s="2" t="s">
        <v>159</v>
      </c>
      <c r="E522" s="2">
        <v>0.0</v>
      </c>
      <c r="F522" s="2">
        <v>70.0</v>
      </c>
      <c r="G522" s="2">
        <v>70.0</v>
      </c>
      <c r="H522" s="8">
        <f t="shared" si="8"/>
        <v>0</v>
      </c>
      <c r="I522" s="2" t="b">
        <v>1</v>
      </c>
      <c r="J522" s="2" t="s">
        <v>160</v>
      </c>
      <c r="K522" s="12">
        <f t="shared" si="21"/>
        <v>46077</v>
      </c>
      <c r="L522" s="12">
        <f t="shared" si="22"/>
        <v>46092</v>
      </c>
    </row>
    <row r="523" hidden="1">
      <c r="A523" s="4">
        <v>46065.0</v>
      </c>
      <c r="B523" s="2" t="s">
        <v>1265</v>
      </c>
      <c r="C523" s="2" t="s">
        <v>1266</v>
      </c>
      <c r="D523" s="2" t="s">
        <v>159</v>
      </c>
      <c r="E523" s="2">
        <v>0.0</v>
      </c>
      <c r="F523" s="2">
        <v>65.0</v>
      </c>
      <c r="G523" s="2">
        <v>65.0</v>
      </c>
      <c r="H523" s="8">
        <f t="shared" si="8"/>
        <v>0</v>
      </c>
      <c r="I523" s="2" t="b">
        <v>1</v>
      </c>
      <c r="J523" s="2" t="s">
        <v>160</v>
      </c>
      <c r="K523" s="12">
        <f t="shared" si="21"/>
        <v>46080</v>
      </c>
      <c r="L523" s="12">
        <f t="shared" si="22"/>
        <v>46095</v>
      </c>
    </row>
    <row r="524" hidden="1">
      <c r="A524" s="4">
        <v>46187.0</v>
      </c>
      <c r="B524" s="2" t="s">
        <v>1267</v>
      </c>
      <c r="C524" s="2" t="s">
        <v>1268</v>
      </c>
      <c r="D524" s="2" t="s">
        <v>159</v>
      </c>
      <c r="E524" s="2" t="s">
        <v>0</v>
      </c>
      <c r="F524" s="2">
        <v>90.0</v>
      </c>
      <c r="G524" s="2">
        <v>14.0</v>
      </c>
      <c r="H524" s="8">
        <f t="shared" si="8"/>
        <v>76</v>
      </c>
      <c r="I524" s="2" t="b">
        <v>0</v>
      </c>
      <c r="J524" s="2" t="s">
        <v>160</v>
      </c>
      <c r="K524" s="12">
        <f t="shared" si="21"/>
        <v>46202</v>
      </c>
      <c r="L524" s="12">
        <f t="shared" si="22"/>
        <v>46217</v>
      </c>
    </row>
    <row r="525" hidden="1">
      <c r="A525" s="4">
        <v>46180.0</v>
      </c>
      <c r="B525" s="2" t="s">
        <v>1269</v>
      </c>
      <c r="C525" s="2" t="s">
        <v>1270</v>
      </c>
      <c r="D525" s="2" t="s">
        <v>159</v>
      </c>
      <c r="E525" s="2" t="s">
        <v>0</v>
      </c>
      <c r="F525" s="2">
        <v>170.0</v>
      </c>
      <c r="G525" s="2">
        <v>0.0</v>
      </c>
      <c r="H525" s="8">
        <f t="shared" si="8"/>
        <v>170</v>
      </c>
      <c r="I525" s="2" t="b">
        <v>0</v>
      </c>
      <c r="J525" s="2" t="s">
        <v>160</v>
      </c>
      <c r="K525" s="12">
        <f t="shared" si="21"/>
        <v>46195</v>
      </c>
      <c r="L525" s="12">
        <f t="shared" si="22"/>
        <v>46210</v>
      </c>
    </row>
    <row r="526" hidden="1">
      <c r="A526" s="4">
        <v>46140.0</v>
      </c>
      <c r="B526" s="2" t="s">
        <v>1271</v>
      </c>
      <c r="C526" s="2" t="s">
        <v>1272</v>
      </c>
      <c r="D526" s="2" t="s">
        <v>159</v>
      </c>
      <c r="E526" s="2" t="s">
        <v>745</v>
      </c>
      <c r="F526" s="2">
        <v>35.0</v>
      </c>
      <c r="G526" s="2">
        <v>10.0</v>
      </c>
      <c r="H526" s="8">
        <f t="shared" si="8"/>
        <v>25</v>
      </c>
      <c r="I526" s="8" t="b">
        <v>0</v>
      </c>
      <c r="J526" s="2" t="s">
        <v>160</v>
      </c>
      <c r="K526" s="12">
        <f t="shared" si="21"/>
        <v>46155</v>
      </c>
      <c r="L526" s="12">
        <f t="shared" si="22"/>
        <v>46170</v>
      </c>
    </row>
    <row r="527" hidden="1">
      <c r="A527" s="4">
        <v>46065.0</v>
      </c>
      <c r="B527" s="2" t="s">
        <v>1273</v>
      </c>
      <c r="C527" s="2" t="s">
        <v>1274</v>
      </c>
      <c r="D527" s="2" t="s">
        <v>159</v>
      </c>
      <c r="E527" s="2">
        <v>0.0</v>
      </c>
      <c r="F527" s="2">
        <v>50.0</v>
      </c>
      <c r="G527" s="2">
        <v>50.0</v>
      </c>
      <c r="H527" s="8">
        <f t="shared" si="8"/>
        <v>0</v>
      </c>
      <c r="I527" s="2" t="b">
        <v>1</v>
      </c>
      <c r="J527" s="2" t="s">
        <v>160</v>
      </c>
      <c r="K527" s="12">
        <f t="shared" si="21"/>
        <v>46080</v>
      </c>
      <c r="L527" s="12">
        <f t="shared" si="22"/>
        <v>46095</v>
      </c>
    </row>
    <row r="528" hidden="1">
      <c r="A528" s="4">
        <v>46065.0</v>
      </c>
      <c r="B528" s="2" t="s">
        <v>1273</v>
      </c>
      <c r="C528" s="2" t="s">
        <v>1275</v>
      </c>
      <c r="D528" s="2" t="s">
        <v>159</v>
      </c>
      <c r="E528" s="2">
        <v>0.0</v>
      </c>
      <c r="F528" s="2">
        <v>35.0</v>
      </c>
      <c r="G528" s="2">
        <v>35.0</v>
      </c>
      <c r="H528" s="8">
        <f t="shared" si="8"/>
        <v>0</v>
      </c>
      <c r="I528" s="2" t="b">
        <v>1</v>
      </c>
      <c r="J528" s="2" t="s">
        <v>160</v>
      </c>
      <c r="K528" s="12">
        <f t="shared" si="21"/>
        <v>46080</v>
      </c>
      <c r="L528" s="12">
        <f t="shared" si="22"/>
        <v>46095</v>
      </c>
    </row>
    <row r="529" hidden="1">
      <c r="A529" s="4">
        <v>46068.0</v>
      </c>
      <c r="B529" s="2" t="s">
        <v>1273</v>
      </c>
      <c r="C529" s="2" t="s">
        <v>1276</v>
      </c>
      <c r="D529" s="2" t="s">
        <v>159</v>
      </c>
      <c r="E529" s="2">
        <v>0.0</v>
      </c>
      <c r="F529" s="2">
        <v>90.0</v>
      </c>
      <c r="G529" s="2">
        <v>90.0</v>
      </c>
      <c r="H529" s="8">
        <f t="shared" si="8"/>
        <v>0</v>
      </c>
      <c r="I529" s="2" t="b">
        <v>1</v>
      </c>
      <c r="J529" s="2" t="s">
        <v>160</v>
      </c>
      <c r="K529" s="12">
        <f t="shared" si="21"/>
        <v>46083</v>
      </c>
      <c r="L529" s="12">
        <f t="shared" si="22"/>
        <v>46098</v>
      </c>
    </row>
    <row r="530" hidden="1">
      <c r="A530" s="4">
        <v>46052.0</v>
      </c>
      <c r="B530" s="2" t="s">
        <v>1277</v>
      </c>
      <c r="C530" s="2" t="s">
        <v>1278</v>
      </c>
      <c r="D530" s="2" t="s">
        <v>159</v>
      </c>
      <c r="E530" s="2">
        <v>0.0</v>
      </c>
      <c r="F530" s="2">
        <v>90.0</v>
      </c>
      <c r="G530" s="2">
        <v>90.0</v>
      </c>
      <c r="H530" s="8">
        <f t="shared" si="8"/>
        <v>0</v>
      </c>
      <c r="I530" s="2" t="b">
        <v>1</v>
      </c>
      <c r="J530" s="2" t="s">
        <v>160</v>
      </c>
      <c r="K530" s="12">
        <f t="shared" si="21"/>
        <v>46067</v>
      </c>
      <c r="L530" s="12">
        <f t="shared" si="22"/>
        <v>46082</v>
      </c>
    </row>
    <row r="531" hidden="1">
      <c r="A531" s="4">
        <v>46052.0</v>
      </c>
      <c r="B531" s="2" t="s">
        <v>1277</v>
      </c>
      <c r="C531" s="2" t="s">
        <v>1279</v>
      </c>
      <c r="D531" s="2" t="s">
        <v>159</v>
      </c>
      <c r="E531" s="2">
        <v>0.0</v>
      </c>
      <c r="F531" s="2">
        <v>60.0</v>
      </c>
      <c r="G531" s="2">
        <v>60.0</v>
      </c>
      <c r="H531" s="8">
        <f t="shared" si="8"/>
        <v>0</v>
      </c>
      <c r="I531" s="2" t="b">
        <v>1</v>
      </c>
      <c r="J531" s="2" t="s">
        <v>160</v>
      </c>
      <c r="K531" s="12">
        <f t="shared" si="21"/>
        <v>46067</v>
      </c>
      <c r="L531" s="12">
        <f t="shared" si="22"/>
        <v>46082</v>
      </c>
    </row>
    <row r="532" hidden="1">
      <c r="A532" s="4">
        <v>46124.0</v>
      </c>
      <c r="B532" s="2" t="s">
        <v>1280</v>
      </c>
      <c r="C532" s="2" t="s">
        <v>1281</v>
      </c>
      <c r="D532" s="2" t="s">
        <v>159</v>
      </c>
      <c r="E532" s="2" t="s">
        <v>745</v>
      </c>
      <c r="F532" s="2">
        <v>80.0</v>
      </c>
      <c r="G532" s="2">
        <v>80.0</v>
      </c>
      <c r="H532" s="8">
        <f t="shared" si="8"/>
        <v>0</v>
      </c>
      <c r="I532" s="2" t="b">
        <v>1</v>
      </c>
      <c r="J532" s="2" t="s">
        <v>160</v>
      </c>
      <c r="K532" s="12">
        <f t="shared" si="21"/>
        <v>46139</v>
      </c>
      <c r="L532" s="12">
        <f t="shared" si="22"/>
        <v>46154</v>
      </c>
      <c r="M532" s="2" t="b">
        <v>0</v>
      </c>
    </row>
    <row r="533" hidden="1">
      <c r="A533" s="4">
        <v>46124.0</v>
      </c>
      <c r="B533" s="2" t="s">
        <v>1280</v>
      </c>
      <c r="C533" s="2" t="s">
        <v>1282</v>
      </c>
      <c r="D533" s="2" t="s">
        <v>159</v>
      </c>
      <c r="E533" s="2" t="s">
        <v>745</v>
      </c>
      <c r="F533" s="2">
        <v>15.0</v>
      </c>
      <c r="G533" s="2">
        <v>15.0</v>
      </c>
      <c r="H533" s="8">
        <f t="shared" si="8"/>
        <v>0</v>
      </c>
      <c r="I533" s="2" t="b">
        <v>1</v>
      </c>
      <c r="J533" s="2" t="s">
        <v>160</v>
      </c>
      <c r="K533" s="12">
        <f t="shared" si="21"/>
        <v>46139</v>
      </c>
      <c r="L533" s="12">
        <f t="shared" si="22"/>
        <v>46154</v>
      </c>
      <c r="M533" s="2" t="b">
        <v>0</v>
      </c>
    </row>
    <row r="534" hidden="1">
      <c r="A534" s="4">
        <v>46124.0</v>
      </c>
      <c r="B534" s="2" t="s">
        <v>1280</v>
      </c>
      <c r="C534" s="2" t="s">
        <v>1283</v>
      </c>
      <c r="D534" s="2" t="s">
        <v>159</v>
      </c>
      <c r="E534" s="2" t="s">
        <v>745</v>
      </c>
      <c r="F534" s="2">
        <v>30.0</v>
      </c>
      <c r="G534" s="2">
        <v>30.0</v>
      </c>
      <c r="H534" s="8">
        <f t="shared" si="8"/>
        <v>0</v>
      </c>
      <c r="I534" s="2" t="b">
        <v>1</v>
      </c>
      <c r="J534" s="2" t="s">
        <v>160</v>
      </c>
      <c r="K534" s="12">
        <f t="shared" si="21"/>
        <v>46139</v>
      </c>
      <c r="L534" s="12">
        <f t="shared" si="22"/>
        <v>46154</v>
      </c>
      <c r="M534" s="2" t="b">
        <v>0</v>
      </c>
    </row>
    <row r="535" hidden="1">
      <c r="A535" s="4">
        <v>46124.0</v>
      </c>
      <c r="B535" s="2" t="s">
        <v>1280</v>
      </c>
      <c r="C535" s="2" t="s">
        <v>1008</v>
      </c>
      <c r="D535" s="2" t="s">
        <v>159</v>
      </c>
      <c r="E535" s="2" t="s">
        <v>745</v>
      </c>
      <c r="F535" s="2">
        <v>25.0</v>
      </c>
      <c r="G535" s="2">
        <v>25.0</v>
      </c>
      <c r="H535" s="8">
        <f t="shared" si="8"/>
        <v>0</v>
      </c>
      <c r="I535" s="2" t="b">
        <v>1</v>
      </c>
      <c r="J535" s="2" t="s">
        <v>160</v>
      </c>
      <c r="K535" s="12">
        <f t="shared" si="21"/>
        <v>46139</v>
      </c>
      <c r="L535" s="12">
        <f t="shared" si="22"/>
        <v>46154</v>
      </c>
      <c r="M535" s="2" t="b">
        <v>0</v>
      </c>
    </row>
    <row r="536" hidden="1">
      <c r="A536" s="4">
        <v>46124.0</v>
      </c>
      <c r="B536" s="2" t="s">
        <v>1280</v>
      </c>
      <c r="C536" s="2" t="s">
        <v>1284</v>
      </c>
      <c r="D536" s="2" t="s">
        <v>159</v>
      </c>
      <c r="E536" s="2" t="s">
        <v>745</v>
      </c>
      <c r="F536" s="2">
        <v>30.0</v>
      </c>
      <c r="G536" s="2">
        <v>30.0</v>
      </c>
      <c r="H536" s="8">
        <f t="shared" si="8"/>
        <v>0</v>
      </c>
      <c r="I536" s="2" t="b">
        <v>1</v>
      </c>
      <c r="J536" s="2" t="s">
        <v>160</v>
      </c>
      <c r="K536" s="12">
        <f t="shared" si="21"/>
        <v>46139</v>
      </c>
      <c r="L536" s="12">
        <f t="shared" si="22"/>
        <v>46154</v>
      </c>
      <c r="M536" s="2" t="b">
        <v>0</v>
      </c>
    </row>
    <row r="537" hidden="1">
      <c r="A537" s="4">
        <v>46124.0</v>
      </c>
      <c r="B537" s="2" t="s">
        <v>1280</v>
      </c>
      <c r="C537" s="2" t="s">
        <v>1285</v>
      </c>
      <c r="D537" s="2" t="s">
        <v>159</v>
      </c>
      <c r="E537" s="2" t="s">
        <v>745</v>
      </c>
      <c r="F537" s="2">
        <v>35.0</v>
      </c>
      <c r="G537" s="2">
        <v>35.0</v>
      </c>
      <c r="H537" s="8">
        <f t="shared" si="8"/>
        <v>0</v>
      </c>
      <c r="I537" s="2" t="b">
        <v>1</v>
      </c>
      <c r="J537" s="2" t="s">
        <v>160</v>
      </c>
      <c r="K537" s="12">
        <f t="shared" si="21"/>
        <v>46139</v>
      </c>
      <c r="L537" s="12">
        <f t="shared" si="22"/>
        <v>46154</v>
      </c>
      <c r="M537" s="2" t="b">
        <v>0</v>
      </c>
    </row>
    <row r="538" hidden="1">
      <c r="A538" s="4">
        <v>46041.0</v>
      </c>
      <c r="B538" s="2" t="s">
        <v>1286</v>
      </c>
      <c r="C538" s="2" t="s">
        <v>1287</v>
      </c>
      <c r="D538" s="2" t="s">
        <v>159</v>
      </c>
      <c r="E538" s="2">
        <v>0.0</v>
      </c>
      <c r="F538" s="2">
        <v>35.0</v>
      </c>
      <c r="G538" s="2">
        <v>35.0</v>
      </c>
      <c r="H538" s="8">
        <f t="shared" si="8"/>
        <v>0</v>
      </c>
      <c r="I538" s="2" t="b">
        <v>1</v>
      </c>
      <c r="J538" s="2" t="s">
        <v>160</v>
      </c>
      <c r="K538" s="12">
        <f t="shared" si="21"/>
        <v>46056</v>
      </c>
      <c r="L538" s="12">
        <f t="shared" si="22"/>
        <v>46071</v>
      </c>
    </row>
    <row r="539" hidden="1">
      <c r="A539" s="4">
        <v>46192.0</v>
      </c>
      <c r="B539" s="2" t="s">
        <v>1288</v>
      </c>
      <c r="C539" s="2" t="s">
        <v>1289</v>
      </c>
      <c r="D539" s="2" t="s">
        <v>159</v>
      </c>
      <c r="E539" s="2" t="s">
        <v>0</v>
      </c>
      <c r="F539" s="2">
        <v>48.0</v>
      </c>
      <c r="G539" s="2">
        <v>0.0</v>
      </c>
      <c r="H539" s="8">
        <f t="shared" si="8"/>
        <v>48</v>
      </c>
      <c r="I539" s="2" t="b">
        <v>0</v>
      </c>
      <c r="J539" s="2" t="s">
        <v>160</v>
      </c>
      <c r="K539" s="12">
        <f t="shared" si="21"/>
        <v>46207</v>
      </c>
      <c r="L539" s="12">
        <f t="shared" si="22"/>
        <v>46222</v>
      </c>
    </row>
    <row r="540" hidden="1">
      <c r="A540" s="4">
        <v>46177.0</v>
      </c>
      <c r="B540" s="2" t="s">
        <v>1290</v>
      </c>
      <c r="C540" s="2" t="s">
        <v>1291</v>
      </c>
      <c r="D540" s="2" t="s">
        <v>159</v>
      </c>
      <c r="E540" s="2" t="s">
        <v>0</v>
      </c>
      <c r="F540" s="2">
        <v>130.0</v>
      </c>
      <c r="G540" s="2">
        <v>10.0</v>
      </c>
      <c r="H540" s="8">
        <f t="shared" si="8"/>
        <v>120</v>
      </c>
      <c r="I540" s="2" t="b">
        <v>0</v>
      </c>
      <c r="J540" s="2" t="s">
        <v>160</v>
      </c>
      <c r="K540" s="12">
        <f t="shared" si="21"/>
        <v>46192</v>
      </c>
      <c r="L540" s="12">
        <f t="shared" si="22"/>
        <v>46207</v>
      </c>
    </row>
    <row r="541" hidden="1">
      <c r="A541" s="254">
        <v>46038.0</v>
      </c>
      <c r="B541" s="2" t="s">
        <v>1292</v>
      </c>
      <c r="C541" s="2" t="s">
        <v>1293</v>
      </c>
      <c r="D541" s="2" t="s">
        <v>159</v>
      </c>
      <c r="E541" s="2">
        <v>0.0</v>
      </c>
      <c r="F541" s="2">
        <v>125.0</v>
      </c>
      <c r="G541" s="2">
        <v>125.0</v>
      </c>
      <c r="H541" s="8">
        <f t="shared" si="8"/>
        <v>0</v>
      </c>
      <c r="I541" s="2" t="b">
        <v>1</v>
      </c>
      <c r="J541" s="2" t="s">
        <v>160</v>
      </c>
      <c r="K541" s="12">
        <f t="shared" si="21"/>
        <v>46053</v>
      </c>
      <c r="L541" s="12">
        <f t="shared" si="22"/>
        <v>46068</v>
      </c>
    </row>
    <row r="542" hidden="1">
      <c r="A542" s="4">
        <v>46041.0</v>
      </c>
      <c r="B542" s="2" t="s">
        <v>1292</v>
      </c>
      <c r="C542" s="2" t="s">
        <v>1294</v>
      </c>
      <c r="D542" s="2" t="s">
        <v>159</v>
      </c>
      <c r="E542" s="2">
        <v>0.0</v>
      </c>
      <c r="F542" s="2">
        <v>65.0</v>
      </c>
      <c r="G542" s="2">
        <v>65.0</v>
      </c>
      <c r="H542" s="8">
        <f t="shared" si="8"/>
        <v>0</v>
      </c>
      <c r="I542" s="2" t="b">
        <v>1</v>
      </c>
      <c r="J542" s="2" t="s">
        <v>160</v>
      </c>
      <c r="K542" s="12">
        <f t="shared" si="21"/>
        <v>46056</v>
      </c>
      <c r="L542" s="12">
        <f t="shared" si="22"/>
        <v>46071</v>
      </c>
    </row>
    <row r="543">
      <c r="A543" s="4">
        <v>46185.0</v>
      </c>
      <c r="B543" s="2" t="s">
        <v>1295</v>
      </c>
      <c r="C543" s="2" t="s">
        <v>1296</v>
      </c>
      <c r="D543" s="2" t="s">
        <v>159</v>
      </c>
      <c r="E543" s="2" t="s">
        <v>138</v>
      </c>
      <c r="F543" s="2">
        <v>40.0</v>
      </c>
      <c r="G543" s="2">
        <v>40.0</v>
      </c>
      <c r="H543" s="8">
        <f t="shared" si="8"/>
        <v>0</v>
      </c>
      <c r="I543" s="2" t="b">
        <v>0</v>
      </c>
      <c r="J543" s="2" t="s">
        <v>160</v>
      </c>
      <c r="K543" s="12">
        <f t="shared" si="21"/>
        <v>46200</v>
      </c>
      <c r="L543" s="12">
        <f t="shared" si="22"/>
        <v>46215</v>
      </c>
    </row>
    <row r="544" hidden="1">
      <c r="A544" s="4">
        <v>45924.0</v>
      </c>
      <c r="B544" s="2" t="s">
        <v>471</v>
      </c>
      <c r="C544" s="2" t="s">
        <v>538</v>
      </c>
      <c r="D544" s="2" t="s">
        <v>113</v>
      </c>
      <c r="E544" s="2">
        <v>0.0</v>
      </c>
      <c r="F544" s="2">
        <v>220.0</v>
      </c>
      <c r="G544" s="2">
        <v>220.0</v>
      </c>
      <c r="H544" s="8">
        <f t="shared" si="8"/>
        <v>0</v>
      </c>
      <c r="I544" s="2" t="b">
        <v>1</v>
      </c>
      <c r="J544" s="2" t="s">
        <v>160</v>
      </c>
      <c r="K544" s="12">
        <f t="shared" si="21"/>
        <v>45939</v>
      </c>
      <c r="L544" s="12">
        <f t="shared" si="22"/>
        <v>45954</v>
      </c>
    </row>
    <row r="545" hidden="1">
      <c r="A545" s="4">
        <v>45930.0</v>
      </c>
      <c r="B545" s="2" t="s">
        <v>471</v>
      </c>
      <c r="C545" s="2" t="s">
        <v>540</v>
      </c>
      <c r="D545" s="2" t="s">
        <v>113</v>
      </c>
      <c r="E545" s="2">
        <v>0.0</v>
      </c>
      <c r="F545" s="2">
        <v>85.0</v>
      </c>
      <c r="G545" s="2">
        <v>85.0</v>
      </c>
      <c r="H545" s="8">
        <f t="shared" si="8"/>
        <v>0</v>
      </c>
      <c r="I545" s="2" t="b">
        <v>1</v>
      </c>
      <c r="J545" s="2" t="s">
        <v>160</v>
      </c>
      <c r="K545" s="12">
        <f t="shared" si="21"/>
        <v>45945</v>
      </c>
      <c r="L545" s="12">
        <f t="shared" si="22"/>
        <v>45960</v>
      </c>
    </row>
    <row r="546" hidden="1">
      <c r="A546" s="4">
        <v>45930.0</v>
      </c>
      <c r="B546" s="2" t="s">
        <v>471</v>
      </c>
      <c r="C546" s="2" t="s">
        <v>542</v>
      </c>
      <c r="D546" s="2" t="s">
        <v>113</v>
      </c>
      <c r="E546" s="2">
        <v>0.0</v>
      </c>
      <c r="F546" s="2">
        <v>85.0</v>
      </c>
      <c r="G546" s="2">
        <v>85.0</v>
      </c>
      <c r="H546" s="8">
        <f t="shared" si="8"/>
        <v>0</v>
      </c>
      <c r="I546" s="2" t="b">
        <v>1</v>
      </c>
      <c r="J546" s="2" t="s">
        <v>160</v>
      </c>
      <c r="K546" s="12">
        <f t="shared" si="21"/>
        <v>45945</v>
      </c>
      <c r="L546" s="12">
        <f t="shared" si="22"/>
        <v>45960</v>
      </c>
    </row>
    <row r="547" hidden="1">
      <c r="A547" s="4">
        <v>45930.0</v>
      </c>
      <c r="B547" s="2" t="s">
        <v>471</v>
      </c>
      <c r="C547" s="2" t="s">
        <v>539</v>
      </c>
      <c r="D547" s="2" t="s">
        <v>113</v>
      </c>
      <c r="E547" s="2">
        <v>0.0</v>
      </c>
      <c r="F547" s="2">
        <v>85.0</v>
      </c>
      <c r="G547" s="2">
        <v>85.0</v>
      </c>
      <c r="H547" s="8">
        <f t="shared" si="8"/>
        <v>0</v>
      </c>
      <c r="I547" s="2" t="b">
        <v>1</v>
      </c>
      <c r="J547" s="2" t="s">
        <v>160</v>
      </c>
      <c r="K547" s="12">
        <f t="shared" si="21"/>
        <v>45945</v>
      </c>
      <c r="L547" s="12">
        <f t="shared" si="22"/>
        <v>45960</v>
      </c>
    </row>
    <row r="548" hidden="1">
      <c r="A548" s="4">
        <v>45930.0</v>
      </c>
      <c r="B548" s="2" t="s">
        <v>471</v>
      </c>
      <c r="C548" s="2" t="s">
        <v>541</v>
      </c>
      <c r="D548" s="2" t="s">
        <v>113</v>
      </c>
      <c r="E548" s="2">
        <v>0.0</v>
      </c>
      <c r="F548" s="2">
        <v>80.0</v>
      </c>
      <c r="G548" s="2">
        <v>80.0</v>
      </c>
      <c r="H548" s="8">
        <f t="shared" si="8"/>
        <v>0</v>
      </c>
      <c r="I548" s="2" t="b">
        <v>1</v>
      </c>
      <c r="J548" s="2" t="s">
        <v>160</v>
      </c>
      <c r="K548" s="12">
        <f t="shared" si="21"/>
        <v>45945</v>
      </c>
      <c r="L548" s="12">
        <f t="shared" si="22"/>
        <v>45960</v>
      </c>
    </row>
    <row r="549" hidden="1">
      <c r="A549" s="4">
        <v>45977.0</v>
      </c>
      <c r="B549" s="2" t="s">
        <v>471</v>
      </c>
      <c r="C549" s="2" t="s">
        <v>552</v>
      </c>
      <c r="D549" s="2" t="s">
        <v>159</v>
      </c>
      <c r="E549" s="2">
        <v>0.0</v>
      </c>
      <c r="F549" s="2">
        <v>1.0</v>
      </c>
      <c r="G549" s="2">
        <v>1.0</v>
      </c>
      <c r="H549" s="8">
        <f t="shared" si="8"/>
        <v>0</v>
      </c>
      <c r="I549" s="2" t="b">
        <v>1</v>
      </c>
      <c r="J549" s="2" t="s">
        <v>160</v>
      </c>
      <c r="K549" s="12">
        <f t="shared" si="21"/>
        <v>45992</v>
      </c>
      <c r="L549" s="12">
        <f t="shared" si="22"/>
        <v>46007</v>
      </c>
    </row>
    <row r="550" hidden="1">
      <c r="A550" s="4">
        <v>45977.0</v>
      </c>
      <c r="B550" s="2" t="s">
        <v>471</v>
      </c>
      <c r="C550" s="2" t="s">
        <v>213</v>
      </c>
      <c r="D550" s="2" t="s">
        <v>159</v>
      </c>
      <c r="E550" s="2">
        <v>0.0</v>
      </c>
      <c r="F550" s="2">
        <v>50.0</v>
      </c>
      <c r="G550" s="2">
        <v>50.0</v>
      </c>
      <c r="H550" s="8">
        <f t="shared" si="8"/>
        <v>0</v>
      </c>
      <c r="I550" s="2" t="b">
        <v>1</v>
      </c>
      <c r="J550" s="2" t="s">
        <v>160</v>
      </c>
      <c r="K550" s="12">
        <f t="shared" si="21"/>
        <v>45992</v>
      </c>
      <c r="L550" s="12">
        <f t="shared" si="22"/>
        <v>46007</v>
      </c>
    </row>
    <row r="551" hidden="1">
      <c r="A551" s="4">
        <v>45993.0</v>
      </c>
      <c r="B551" s="2" t="s">
        <v>471</v>
      </c>
      <c r="C551" s="2" t="s">
        <v>554</v>
      </c>
      <c r="D551" s="2" t="s">
        <v>113</v>
      </c>
      <c r="E551" s="2">
        <v>0.0</v>
      </c>
      <c r="F551" s="2">
        <v>70.0</v>
      </c>
      <c r="G551" s="2">
        <v>70.0</v>
      </c>
      <c r="H551" s="8">
        <f t="shared" si="8"/>
        <v>0</v>
      </c>
      <c r="I551" s="2" t="b">
        <v>1</v>
      </c>
      <c r="J551" s="2" t="s">
        <v>160</v>
      </c>
      <c r="K551" s="12">
        <f t="shared" si="21"/>
        <v>46008</v>
      </c>
      <c r="L551" s="12">
        <f t="shared" si="22"/>
        <v>46023</v>
      </c>
    </row>
    <row r="552" hidden="1">
      <c r="A552" s="4">
        <v>46010.0</v>
      </c>
      <c r="B552" s="2" t="s">
        <v>471</v>
      </c>
      <c r="C552" s="2" t="s">
        <v>557</v>
      </c>
      <c r="D552" s="2" t="s">
        <v>159</v>
      </c>
      <c r="E552" s="2">
        <v>0.0</v>
      </c>
      <c r="F552" s="2">
        <v>58.5</v>
      </c>
      <c r="G552" s="2">
        <v>58.5</v>
      </c>
      <c r="H552" s="8">
        <f t="shared" si="8"/>
        <v>0</v>
      </c>
      <c r="I552" s="2" t="b">
        <v>1</v>
      </c>
      <c r="J552" s="2" t="s">
        <v>160</v>
      </c>
      <c r="K552" s="12">
        <f t="shared" si="21"/>
        <v>46025</v>
      </c>
      <c r="L552" s="12">
        <f t="shared" si="22"/>
        <v>46040</v>
      </c>
    </row>
    <row r="553" hidden="1">
      <c r="A553" s="4">
        <v>46173.0</v>
      </c>
      <c r="B553" s="2" t="s">
        <v>1297</v>
      </c>
      <c r="C553" s="2" t="s">
        <v>1298</v>
      </c>
      <c r="D553" s="2" t="s">
        <v>159</v>
      </c>
      <c r="E553" s="2" t="s">
        <v>138</v>
      </c>
      <c r="F553" s="2">
        <v>51.0</v>
      </c>
      <c r="G553" s="2">
        <v>51.0</v>
      </c>
      <c r="H553" s="8">
        <f t="shared" si="8"/>
        <v>0</v>
      </c>
      <c r="I553" s="2" t="b">
        <v>1</v>
      </c>
      <c r="J553" s="2" t="s">
        <v>160</v>
      </c>
      <c r="K553" s="12">
        <f t="shared" si="21"/>
        <v>46188</v>
      </c>
      <c r="L553" s="12">
        <f t="shared" si="22"/>
        <v>46203</v>
      </c>
    </row>
    <row r="554" hidden="1">
      <c r="A554" s="4">
        <v>46173.0</v>
      </c>
      <c r="B554" s="2" t="s">
        <v>1297</v>
      </c>
      <c r="C554" s="2" t="s">
        <v>1299</v>
      </c>
      <c r="D554" s="2" t="s">
        <v>159</v>
      </c>
      <c r="E554" s="2" t="s">
        <v>0</v>
      </c>
      <c r="F554" s="2">
        <v>50.0</v>
      </c>
      <c r="G554" s="2">
        <v>50.0</v>
      </c>
      <c r="H554" s="8">
        <f t="shared" si="8"/>
        <v>0</v>
      </c>
      <c r="I554" s="2" t="b">
        <v>1</v>
      </c>
      <c r="J554" s="2" t="s">
        <v>160</v>
      </c>
      <c r="K554" s="12">
        <f t="shared" si="21"/>
        <v>46188</v>
      </c>
      <c r="L554" s="12">
        <f t="shared" si="22"/>
        <v>46203</v>
      </c>
    </row>
    <row r="555" hidden="1">
      <c r="A555" s="4">
        <v>46182.0</v>
      </c>
      <c r="B555" s="2" t="s">
        <v>1297</v>
      </c>
      <c r="C555" s="2" t="s">
        <v>1300</v>
      </c>
      <c r="D555" s="2" t="s">
        <v>159</v>
      </c>
      <c r="E555" s="2" t="s">
        <v>138</v>
      </c>
      <c r="F555" s="2">
        <v>45.0</v>
      </c>
      <c r="G555" s="2">
        <v>20.0</v>
      </c>
      <c r="H555" s="8">
        <f t="shared" si="8"/>
        <v>25</v>
      </c>
      <c r="I555" s="2" t="b">
        <v>0</v>
      </c>
      <c r="J555" s="2" t="s">
        <v>160</v>
      </c>
      <c r="K555" s="12">
        <f t="shared" si="21"/>
        <v>46197</v>
      </c>
      <c r="L555" s="12">
        <f t="shared" si="22"/>
        <v>46212</v>
      </c>
    </row>
    <row r="556" hidden="1">
      <c r="A556" s="4">
        <v>46041.0</v>
      </c>
      <c r="B556" s="2" t="s">
        <v>508</v>
      </c>
      <c r="C556" s="2" t="s">
        <v>1301</v>
      </c>
      <c r="D556" s="2" t="s">
        <v>159</v>
      </c>
      <c r="E556" s="2">
        <v>0.0</v>
      </c>
      <c r="F556" s="2">
        <v>65.0</v>
      </c>
      <c r="G556" s="2">
        <v>65.0</v>
      </c>
      <c r="H556" s="8">
        <f t="shared" si="8"/>
        <v>0</v>
      </c>
      <c r="I556" s="2" t="b">
        <v>1</v>
      </c>
      <c r="J556" s="2" t="s">
        <v>160</v>
      </c>
      <c r="K556" s="12">
        <f t="shared" si="21"/>
        <v>46056</v>
      </c>
      <c r="L556" s="12">
        <f t="shared" si="22"/>
        <v>46071</v>
      </c>
    </row>
    <row r="557" hidden="1">
      <c r="A557" s="4">
        <v>46058.0</v>
      </c>
      <c r="B557" s="2" t="s">
        <v>508</v>
      </c>
      <c r="C557" s="2" t="s">
        <v>1302</v>
      </c>
      <c r="D557" s="2" t="s">
        <v>159</v>
      </c>
      <c r="E557" s="2">
        <v>0.0</v>
      </c>
      <c r="F557" s="2">
        <v>120.0</v>
      </c>
      <c r="G557" s="2">
        <v>120.0</v>
      </c>
      <c r="H557" s="8">
        <f t="shared" si="8"/>
        <v>0</v>
      </c>
      <c r="I557" s="2" t="b">
        <v>1</v>
      </c>
      <c r="J557" s="2" t="s">
        <v>160</v>
      </c>
      <c r="K557" s="12">
        <f t="shared" si="21"/>
        <v>46073</v>
      </c>
      <c r="L557" s="12">
        <f t="shared" si="22"/>
        <v>46088</v>
      </c>
    </row>
    <row r="558" hidden="1">
      <c r="A558" s="4">
        <v>46124.0</v>
      </c>
      <c r="B558" s="2" t="s">
        <v>1303</v>
      </c>
      <c r="C558" s="2" t="s">
        <v>1304</v>
      </c>
      <c r="D558" s="2" t="s">
        <v>159</v>
      </c>
      <c r="E558" s="2" t="s">
        <v>745</v>
      </c>
      <c r="F558" s="2">
        <v>25.0</v>
      </c>
      <c r="G558" s="2">
        <v>25.0</v>
      </c>
      <c r="H558" s="8">
        <f t="shared" si="8"/>
        <v>0</v>
      </c>
      <c r="I558" s="2" t="b">
        <v>1</v>
      </c>
      <c r="J558" s="2" t="s">
        <v>160</v>
      </c>
      <c r="K558" s="12">
        <f t="shared" si="21"/>
        <v>46139</v>
      </c>
      <c r="L558" s="12">
        <f t="shared" si="22"/>
        <v>46154</v>
      </c>
      <c r="M558" s="2" t="b">
        <v>0</v>
      </c>
    </row>
    <row r="559" hidden="1">
      <c r="A559" s="4">
        <v>46052.0</v>
      </c>
      <c r="B559" s="2" t="s">
        <v>1305</v>
      </c>
      <c r="C559" s="2" t="s">
        <v>951</v>
      </c>
      <c r="D559" s="2" t="s">
        <v>159</v>
      </c>
      <c r="E559" s="2">
        <v>0.0</v>
      </c>
      <c r="F559" s="2">
        <v>65.0</v>
      </c>
      <c r="G559" s="2">
        <v>65.0</v>
      </c>
      <c r="H559" s="8">
        <f t="shared" si="8"/>
        <v>0</v>
      </c>
      <c r="I559" s="2" t="b">
        <v>1</v>
      </c>
      <c r="J559" s="2" t="s">
        <v>160</v>
      </c>
      <c r="K559" s="12">
        <f t="shared" si="21"/>
        <v>46067</v>
      </c>
      <c r="L559" s="12">
        <f t="shared" si="22"/>
        <v>46082</v>
      </c>
    </row>
    <row r="560" hidden="1">
      <c r="A560" s="4">
        <v>46177.0</v>
      </c>
      <c r="B560" s="2" t="s">
        <v>1306</v>
      </c>
      <c r="C560" s="2" t="s">
        <v>1307</v>
      </c>
      <c r="D560" s="2" t="s">
        <v>159</v>
      </c>
      <c r="E560" s="2" t="s">
        <v>138</v>
      </c>
      <c r="F560" s="2">
        <v>75.0</v>
      </c>
      <c r="G560" s="2">
        <v>0.0</v>
      </c>
      <c r="H560" s="8">
        <f t="shared" si="8"/>
        <v>75</v>
      </c>
      <c r="I560" s="2" t="b">
        <v>0</v>
      </c>
      <c r="J560" s="2" t="s">
        <v>160</v>
      </c>
      <c r="K560" s="12">
        <f t="shared" si="21"/>
        <v>46192</v>
      </c>
      <c r="L560" s="12">
        <f t="shared" si="22"/>
        <v>46207</v>
      </c>
    </row>
    <row r="561" hidden="1">
      <c r="A561" s="4">
        <v>46180.0</v>
      </c>
      <c r="B561" s="2" t="s">
        <v>1306</v>
      </c>
      <c r="C561" s="2" t="s">
        <v>1308</v>
      </c>
      <c r="D561" s="2" t="s">
        <v>159</v>
      </c>
      <c r="E561" s="2" t="s">
        <v>138</v>
      </c>
      <c r="F561" s="2">
        <v>75.0</v>
      </c>
      <c r="G561" s="2">
        <v>0.0</v>
      </c>
      <c r="H561" s="8">
        <f t="shared" si="8"/>
        <v>75</v>
      </c>
      <c r="I561" s="2" t="b">
        <v>0</v>
      </c>
      <c r="J561" s="2" t="s">
        <v>160</v>
      </c>
      <c r="K561" s="12">
        <f t="shared" si="21"/>
        <v>46195</v>
      </c>
      <c r="L561" s="12">
        <f t="shared" si="22"/>
        <v>46210</v>
      </c>
    </row>
    <row r="562" hidden="1">
      <c r="A562" s="4">
        <v>46090.0</v>
      </c>
      <c r="B562" s="2" t="s">
        <v>1309</v>
      </c>
      <c r="C562" s="2" t="s">
        <v>1310</v>
      </c>
      <c r="D562" s="2" t="s">
        <v>159</v>
      </c>
      <c r="E562" s="2">
        <v>0.0</v>
      </c>
      <c r="F562" s="2">
        <v>80.0</v>
      </c>
      <c r="G562" s="2">
        <v>80.0</v>
      </c>
      <c r="H562" s="8">
        <f t="shared" si="8"/>
        <v>0</v>
      </c>
      <c r="I562" s="2" t="b">
        <v>1</v>
      </c>
      <c r="J562" s="2" t="s">
        <v>160</v>
      </c>
      <c r="K562" s="12">
        <f t="shared" si="21"/>
        <v>46105</v>
      </c>
      <c r="L562" s="12">
        <f t="shared" si="22"/>
        <v>46120</v>
      </c>
      <c r="M562" s="2" t="b">
        <v>0</v>
      </c>
    </row>
    <row r="563" hidden="1">
      <c r="A563" s="4">
        <v>46090.0</v>
      </c>
      <c r="B563" s="2" t="s">
        <v>1309</v>
      </c>
      <c r="C563" s="2" t="s">
        <v>1311</v>
      </c>
      <c r="D563" s="2" t="s">
        <v>159</v>
      </c>
      <c r="E563" s="2">
        <v>0.0</v>
      </c>
      <c r="F563" s="2">
        <v>50.0</v>
      </c>
      <c r="G563" s="2">
        <v>50.0</v>
      </c>
      <c r="H563" s="8">
        <f t="shared" si="8"/>
        <v>0</v>
      </c>
      <c r="I563" s="2" t="b">
        <v>1</v>
      </c>
      <c r="J563" s="2" t="s">
        <v>160</v>
      </c>
      <c r="K563" s="12">
        <f t="shared" si="21"/>
        <v>46105</v>
      </c>
      <c r="L563" s="12">
        <f t="shared" si="22"/>
        <v>46120</v>
      </c>
      <c r="M563" s="2" t="b">
        <v>0</v>
      </c>
    </row>
    <row r="564" hidden="1">
      <c r="A564" s="4">
        <v>46097.0</v>
      </c>
      <c r="B564" s="2" t="s">
        <v>1309</v>
      </c>
      <c r="C564" s="2" t="s">
        <v>1312</v>
      </c>
      <c r="D564" s="2" t="s">
        <v>159</v>
      </c>
      <c r="E564" s="2">
        <v>0.0</v>
      </c>
      <c r="F564" s="2">
        <v>70.0</v>
      </c>
      <c r="G564" s="2">
        <v>70.0</v>
      </c>
      <c r="H564" s="8">
        <f t="shared" si="8"/>
        <v>0</v>
      </c>
      <c r="I564" s="2" t="b">
        <v>1</v>
      </c>
      <c r="J564" s="2" t="s">
        <v>160</v>
      </c>
      <c r="K564" s="12">
        <f t="shared" si="21"/>
        <v>46112</v>
      </c>
      <c r="L564" s="12">
        <f t="shared" si="22"/>
        <v>46127</v>
      </c>
      <c r="M564" s="2" t="b">
        <v>0</v>
      </c>
    </row>
    <row r="565" hidden="1">
      <c r="A565" s="4">
        <v>46097.0</v>
      </c>
      <c r="B565" s="2" t="s">
        <v>1309</v>
      </c>
      <c r="C565" s="2" t="s">
        <v>1313</v>
      </c>
      <c r="D565" s="2" t="s">
        <v>159</v>
      </c>
      <c r="E565" s="2">
        <v>0.0</v>
      </c>
      <c r="F565" s="2">
        <v>45.0</v>
      </c>
      <c r="G565" s="2">
        <v>45.0</v>
      </c>
      <c r="H565" s="8">
        <f t="shared" si="8"/>
        <v>0</v>
      </c>
      <c r="I565" s="2" t="b">
        <v>1</v>
      </c>
      <c r="J565" s="2" t="s">
        <v>160</v>
      </c>
      <c r="K565" s="12">
        <f t="shared" si="21"/>
        <v>46112</v>
      </c>
      <c r="L565" s="12">
        <f t="shared" si="22"/>
        <v>46127</v>
      </c>
      <c r="M565" s="2" t="b">
        <v>0</v>
      </c>
    </row>
    <row r="566" hidden="1">
      <c r="A566" s="4">
        <v>46097.0</v>
      </c>
      <c r="B566" s="2" t="s">
        <v>1309</v>
      </c>
      <c r="C566" s="2" t="s">
        <v>1314</v>
      </c>
      <c r="D566" s="2" t="s">
        <v>159</v>
      </c>
      <c r="E566" s="2">
        <v>0.0</v>
      </c>
      <c r="F566" s="2">
        <v>115.0</v>
      </c>
      <c r="G566" s="2">
        <v>115.0</v>
      </c>
      <c r="H566" s="8">
        <f t="shared" si="8"/>
        <v>0</v>
      </c>
      <c r="I566" s="2" t="b">
        <v>1</v>
      </c>
      <c r="J566" s="2" t="s">
        <v>160</v>
      </c>
      <c r="K566" s="12">
        <f t="shared" si="21"/>
        <v>46112</v>
      </c>
      <c r="L566" s="12">
        <f t="shared" si="22"/>
        <v>46127</v>
      </c>
      <c r="M566" s="2" t="b">
        <v>0</v>
      </c>
    </row>
    <row r="567" hidden="1">
      <c r="A567" s="4">
        <v>46097.0</v>
      </c>
      <c r="B567" s="2" t="s">
        <v>1309</v>
      </c>
      <c r="C567" s="2" t="s">
        <v>385</v>
      </c>
      <c r="D567" s="2" t="s">
        <v>159</v>
      </c>
      <c r="E567" s="2">
        <v>0.0</v>
      </c>
      <c r="F567" s="2">
        <v>220.0</v>
      </c>
      <c r="G567" s="2">
        <v>220.0</v>
      </c>
      <c r="H567" s="8">
        <f t="shared" si="8"/>
        <v>0</v>
      </c>
      <c r="I567" s="2" t="b">
        <v>1</v>
      </c>
      <c r="J567" s="2" t="s">
        <v>160</v>
      </c>
      <c r="K567" s="12">
        <f t="shared" si="21"/>
        <v>46112</v>
      </c>
      <c r="L567" s="12">
        <f t="shared" si="22"/>
        <v>46127</v>
      </c>
      <c r="M567" s="2" t="b">
        <v>0</v>
      </c>
    </row>
    <row r="568" hidden="1">
      <c r="A568" s="4">
        <v>46097.0</v>
      </c>
      <c r="B568" s="2" t="s">
        <v>1309</v>
      </c>
      <c r="C568" s="2" t="s">
        <v>1315</v>
      </c>
      <c r="D568" s="2" t="s">
        <v>159</v>
      </c>
      <c r="E568" s="2">
        <v>0.0</v>
      </c>
      <c r="F568" s="2">
        <v>43.0</v>
      </c>
      <c r="G568" s="2">
        <v>43.0</v>
      </c>
      <c r="H568" s="8">
        <f t="shared" si="8"/>
        <v>0</v>
      </c>
      <c r="I568" s="2" t="b">
        <v>1</v>
      </c>
      <c r="J568" s="2" t="s">
        <v>160</v>
      </c>
      <c r="K568" s="12">
        <f t="shared" si="21"/>
        <v>46112</v>
      </c>
      <c r="L568" s="12">
        <f t="shared" si="22"/>
        <v>46127</v>
      </c>
      <c r="M568" s="2" t="b">
        <v>0</v>
      </c>
    </row>
    <row r="569" hidden="1">
      <c r="A569" s="4">
        <v>46100.0</v>
      </c>
      <c r="B569" s="2" t="s">
        <v>1309</v>
      </c>
      <c r="C569" s="2" t="s">
        <v>1316</v>
      </c>
      <c r="D569" s="2" t="s">
        <v>159</v>
      </c>
      <c r="E569" s="2">
        <v>0.0</v>
      </c>
      <c r="F569" s="2">
        <v>90.0</v>
      </c>
      <c r="G569" s="2">
        <v>90.0</v>
      </c>
      <c r="H569" s="8">
        <f t="shared" si="8"/>
        <v>0</v>
      </c>
      <c r="I569" s="2" t="b">
        <v>1</v>
      </c>
      <c r="J569" s="2" t="s">
        <v>160</v>
      </c>
      <c r="K569" s="12">
        <f t="shared" si="21"/>
        <v>46115</v>
      </c>
      <c r="L569" s="12">
        <f t="shared" si="22"/>
        <v>46130</v>
      </c>
      <c r="M569" s="2" t="b">
        <v>0</v>
      </c>
    </row>
    <row r="570" hidden="1">
      <c r="A570" s="4">
        <v>46102.0</v>
      </c>
      <c r="B570" s="2" t="s">
        <v>1309</v>
      </c>
      <c r="C570" s="2" t="s">
        <v>1317</v>
      </c>
      <c r="D570" s="2" t="s">
        <v>159</v>
      </c>
      <c r="E570" s="2">
        <v>0.0</v>
      </c>
      <c r="F570" s="2">
        <v>10.0</v>
      </c>
      <c r="G570" s="2">
        <v>10.0</v>
      </c>
      <c r="H570" s="8">
        <f t="shared" si="8"/>
        <v>0</v>
      </c>
      <c r="I570" s="2" t="b">
        <v>1</v>
      </c>
      <c r="J570" s="2" t="s">
        <v>160</v>
      </c>
      <c r="K570" s="12">
        <f t="shared" si="21"/>
        <v>46117</v>
      </c>
      <c r="L570" s="12">
        <f t="shared" si="22"/>
        <v>46132</v>
      </c>
      <c r="M570" s="2" t="b">
        <v>0</v>
      </c>
    </row>
    <row r="571" hidden="1">
      <c r="A571" s="4">
        <v>46102.0</v>
      </c>
      <c r="B571" s="2" t="s">
        <v>1309</v>
      </c>
      <c r="C571" s="2" t="s">
        <v>1318</v>
      </c>
      <c r="D571" s="2" t="s">
        <v>159</v>
      </c>
      <c r="E571" s="2">
        <v>0.0</v>
      </c>
      <c r="F571" s="2">
        <v>80.0</v>
      </c>
      <c r="G571" s="2">
        <v>80.0</v>
      </c>
      <c r="H571" s="8">
        <f t="shared" si="8"/>
        <v>0</v>
      </c>
      <c r="I571" s="2" t="b">
        <v>1</v>
      </c>
      <c r="J571" s="2" t="s">
        <v>160</v>
      </c>
      <c r="K571" s="12">
        <f t="shared" si="21"/>
        <v>46117</v>
      </c>
      <c r="L571" s="12">
        <f t="shared" si="22"/>
        <v>46132</v>
      </c>
      <c r="M571" s="2" t="b">
        <v>0</v>
      </c>
    </row>
    <row r="572" hidden="1">
      <c r="A572" s="4">
        <v>46104.0</v>
      </c>
      <c r="B572" s="2" t="s">
        <v>1309</v>
      </c>
      <c r="C572" s="2" t="s">
        <v>1319</v>
      </c>
      <c r="D572" s="2" t="s">
        <v>159</v>
      </c>
      <c r="E572" s="2">
        <v>0.0</v>
      </c>
      <c r="F572" s="2">
        <v>100.0</v>
      </c>
      <c r="G572" s="2">
        <v>100.0</v>
      </c>
      <c r="H572" s="8">
        <f t="shared" si="8"/>
        <v>0</v>
      </c>
      <c r="I572" s="2" t="b">
        <v>1</v>
      </c>
      <c r="J572" s="2" t="s">
        <v>160</v>
      </c>
      <c r="K572" s="12">
        <f t="shared" si="21"/>
        <v>46119</v>
      </c>
      <c r="L572" s="12">
        <f t="shared" si="22"/>
        <v>46134</v>
      </c>
      <c r="M572" s="2" t="b">
        <v>0</v>
      </c>
    </row>
    <row r="573" hidden="1">
      <c r="A573" s="4">
        <v>46108.0</v>
      </c>
      <c r="B573" s="2" t="s">
        <v>1309</v>
      </c>
      <c r="C573" s="2" t="s">
        <v>1243</v>
      </c>
      <c r="D573" s="2" t="s">
        <v>159</v>
      </c>
      <c r="E573" s="2">
        <v>0.0</v>
      </c>
      <c r="F573" s="2">
        <v>45.0</v>
      </c>
      <c r="G573" s="2">
        <v>45.0</v>
      </c>
      <c r="H573" s="8">
        <f t="shared" si="8"/>
        <v>0</v>
      </c>
      <c r="I573" s="2" t="b">
        <v>1</v>
      </c>
      <c r="J573" s="2" t="s">
        <v>160</v>
      </c>
      <c r="K573" s="12">
        <f t="shared" si="21"/>
        <v>46123</v>
      </c>
      <c r="L573" s="12">
        <f t="shared" si="22"/>
        <v>46138</v>
      </c>
      <c r="M573" s="2" t="b">
        <v>0</v>
      </c>
    </row>
    <row r="574" hidden="1">
      <c r="A574" s="4">
        <v>46124.0</v>
      </c>
      <c r="B574" s="2" t="s">
        <v>1309</v>
      </c>
      <c r="C574" s="2" t="s">
        <v>1287</v>
      </c>
      <c r="D574" s="2" t="s">
        <v>159</v>
      </c>
      <c r="E574" s="2" t="s">
        <v>745</v>
      </c>
      <c r="F574" s="2">
        <v>20.0</v>
      </c>
      <c r="G574" s="2">
        <v>20.0</v>
      </c>
      <c r="H574" s="8">
        <f t="shared" si="8"/>
        <v>0</v>
      </c>
      <c r="I574" s="2" t="b">
        <v>1</v>
      </c>
      <c r="J574" s="2" t="s">
        <v>160</v>
      </c>
      <c r="K574" s="12">
        <f t="shared" si="21"/>
        <v>46139</v>
      </c>
      <c r="L574" s="12">
        <f t="shared" si="22"/>
        <v>46154</v>
      </c>
      <c r="M574" s="2" t="b">
        <v>1</v>
      </c>
    </row>
    <row r="575" hidden="1">
      <c r="A575" s="4">
        <v>46124.0</v>
      </c>
      <c r="B575" s="2" t="s">
        <v>1309</v>
      </c>
      <c r="C575" s="2" t="s">
        <v>1320</v>
      </c>
      <c r="D575" s="2" t="s">
        <v>159</v>
      </c>
      <c r="E575" s="2" t="s">
        <v>745</v>
      </c>
      <c r="F575" s="2">
        <v>20.0</v>
      </c>
      <c r="G575" s="2">
        <v>20.0</v>
      </c>
      <c r="H575" s="8">
        <f t="shared" si="8"/>
        <v>0</v>
      </c>
      <c r="I575" s="2" t="b">
        <v>1</v>
      </c>
      <c r="J575" s="2" t="s">
        <v>160</v>
      </c>
      <c r="K575" s="12">
        <f t="shared" si="21"/>
        <v>46139</v>
      </c>
      <c r="L575" s="12">
        <f t="shared" si="22"/>
        <v>46154</v>
      </c>
      <c r="M575" s="2" t="b">
        <v>1</v>
      </c>
    </row>
    <row r="576" hidden="1">
      <c r="A576" s="4">
        <v>46124.0</v>
      </c>
      <c r="B576" s="2" t="s">
        <v>1309</v>
      </c>
      <c r="C576" s="2" t="s">
        <v>1321</v>
      </c>
      <c r="D576" s="2" t="s">
        <v>159</v>
      </c>
      <c r="E576" s="2" t="s">
        <v>745</v>
      </c>
      <c r="F576" s="2">
        <v>30.0</v>
      </c>
      <c r="G576" s="2">
        <v>30.0</v>
      </c>
      <c r="H576" s="8">
        <f t="shared" si="8"/>
        <v>0</v>
      </c>
      <c r="I576" s="2" t="b">
        <v>1</v>
      </c>
      <c r="J576" s="2" t="s">
        <v>160</v>
      </c>
      <c r="K576" s="12">
        <f t="shared" si="21"/>
        <v>46139</v>
      </c>
      <c r="L576" s="12">
        <f t="shared" si="22"/>
        <v>46154</v>
      </c>
      <c r="M576" s="2" t="b">
        <v>1</v>
      </c>
    </row>
    <row r="577" hidden="1">
      <c r="A577" s="4">
        <v>46124.0</v>
      </c>
      <c r="B577" s="2" t="s">
        <v>1309</v>
      </c>
      <c r="C577" s="2" t="s">
        <v>1235</v>
      </c>
      <c r="D577" s="2" t="s">
        <v>159</v>
      </c>
      <c r="E577" s="2" t="s">
        <v>745</v>
      </c>
      <c r="F577" s="2">
        <v>25.0</v>
      </c>
      <c r="G577" s="2">
        <v>25.0</v>
      </c>
      <c r="H577" s="8">
        <f t="shared" si="8"/>
        <v>0</v>
      </c>
      <c r="I577" s="2" t="b">
        <v>1</v>
      </c>
      <c r="J577" s="2" t="s">
        <v>160</v>
      </c>
      <c r="K577" s="12">
        <f t="shared" si="21"/>
        <v>46139</v>
      </c>
      <c r="L577" s="12">
        <f t="shared" si="22"/>
        <v>46154</v>
      </c>
      <c r="M577" s="2" t="b">
        <v>1</v>
      </c>
    </row>
    <row r="578" hidden="1">
      <c r="A578" s="4">
        <v>46124.0</v>
      </c>
      <c r="B578" s="2" t="s">
        <v>1309</v>
      </c>
      <c r="C578" s="2" t="s">
        <v>792</v>
      </c>
      <c r="D578" s="2" t="s">
        <v>159</v>
      </c>
      <c r="E578" s="2" t="s">
        <v>745</v>
      </c>
      <c r="F578" s="2">
        <v>25.0</v>
      </c>
      <c r="G578" s="2">
        <v>25.0</v>
      </c>
      <c r="H578" s="8">
        <f t="shared" si="8"/>
        <v>0</v>
      </c>
      <c r="I578" s="2" t="b">
        <v>1</v>
      </c>
      <c r="J578" s="2" t="s">
        <v>160</v>
      </c>
      <c r="K578" s="12">
        <f t="shared" si="21"/>
        <v>46139</v>
      </c>
      <c r="L578" s="12">
        <f t="shared" si="22"/>
        <v>46154</v>
      </c>
      <c r="M578" s="2" t="b">
        <v>1</v>
      </c>
    </row>
    <row r="579" hidden="1">
      <c r="A579" s="4">
        <v>46124.0</v>
      </c>
      <c r="B579" s="2" t="s">
        <v>1309</v>
      </c>
      <c r="C579" s="2" t="s">
        <v>1322</v>
      </c>
      <c r="D579" s="2" t="s">
        <v>159</v>
      </c>
      <c r="E579" s="2" t="s">
        <v>745</v>
      </c>
      <c r="F579" s="2">
        <v>30.0</v>
      </c>
      <c r="G579" s="2">
        <v>30.0</v>
      </c>
      <c r="H579" s="8">
        <f t="shared" si="8"/>
        <v>0</v>
      </c>
      <c r="I579" s="2" t="b">
        <v>1</v>
      </c>
      <c r="J579" s="2" t="s">
        <v>160</v>
      </c>
      <c r="K579" s="12">
        <f t="shared" si="21"/>
        <v>46139</v>
      </c>
      <c r="L579" s="12">
        <f t="shared" si="22"/>
        <v>46154</v>
      </c>
      <c r="M579" s="2" t="b">
        <v>1</v>
      </c>
    </row>
    <row r="580" hidden="1">
      <c r="A580" s="4">
        <v>46124.0</v>
      </c>
      <c r="B580" s="2" t="s">
        <v>1309</v>
      </c>
      <c r="C580" s="2" t="s">
        <v>1323</v>
      </c>
      <c r="D580" s="2" t="s">
        <v>159</v>
      </c>
      <c r="E580" s="2" t="s">
        <v>745</v>
      </c>
      <c r="F580" s="2">
        <v>25.0</v>
      </c>
      <c r="G580" s="2">
        <v>25.0</v>
      </c>
      <c r="H580" s="8">
        <f t="shared" si="8"/>
        <v>0</v>
      </c>
      <c r="I580" s="2" t="b">
        <v>1</v>
      </c>
      <c r="J580" s="2" t="s">
        <v>160</v>
      </c>
      <c r="K580" s="12">
        <f t="shared" si="21"/>
        <v>46139</v>
      </c>
      <c r="L580" s="12">
        <f t="shared" si="22"/>
        <v>46154</v>
      </c>
      <c r="M580" s="2" t="b">
        <v>1</v>
      </c>
    </row>
    <row r="581" hidden="1">
      <c r="A581" s="4">
        <v>46124.0</v>
      </c>
      <c r="B581" s="2" t="s">
        <v>1309</v>
      </c>
      <c r="C581" s="2" t="s">
        <v>1324</v>
      </c>
      <c r="D581" s="2" t="s">
        <v>159</v>
      </c>
      <c r="E581" s="2" t="s">
        <v>745</v>
      </c>
      <c r="F581" s="2">
        <v>45.0</v>
      </c>
      <c r="G581" s="2">
        <v>45.0</v>
      </c>
      <c r="H581" s="8">
        <f t="shared" si="8"/>
        <v>0</v>
      </c>
      <c r="I581" s="2" t="b">
        <v>1</v>
      </c>
      <c r="J581" s="2" t="s">
        <v>160</v>
      </c>
      <c r="K581" s="12">
        <f t="shared" si="21"/>
        <v>46139</v>
      </c>
      <c r="L581" s="12">
        <f t="shared" si="22"/>
        <v>46154</v>
      </c>
      <c r="M581" s="2" t="b">
        <v>1</v>
      </c>
    </row>
    <row r="582" hidden="1">
      <c r="A582" s="4">
        <v>46124.0</v>
      </c>
      <c r="B582" s="2" t="s">
        <v>1309</v>
      </c>
      <c r="C582" s="2" t="s">
        <v>1325</v>
      </c>
      <c r="D582" s="2" t="s">
        <v>159</v>
      </c>
      <c r="E582" s="2" t="s">
        <v>745</v>
      </c>
      <c r="F582" s="2">
        <v>30.0</v>
      </c>
      <c r="G582" s="2">
        <v>30.0</v>
      </c>
      <c r="H582" s="8">
        <f t="shared" si="8"/>
        <v>0</v>
      </c>
      <c r="I582" s="2" t="b">
        <v>1</v>
      </c>
      <c r="J582" s="2" t="s">
        <v>160</v>
      </c>
      <c r="K582" s="12">
        <f t="shared" si="21"/>
        <v>46139</v>
      </c>
      <c r="L582" s="12">
        <f t="shared" si="22"/>
        <v>46154</v>
      </c>
      <c r="M582" s="8" t="b">
        <v>0</v>
      </c>
    </row>
    <row r="583" hidden="1">
      <c r="A583" s="4">
        <v>46124.0</v>
      </c>
      <c r="B583" s="2" t="s">
        <v>1309</v>
      </c>
      <c r="C583" s="2" t="s">
        <v>1326</v>
      </c>
      <c r="D583" s="2" t="s">
        <v>159</v>
      </c>
      <c r="E583" s="2" t="s">
        <v>745</v>
      </c>
      <c r="F583" s="2">
        <v>35.0</v>
      </c>
      <c r="G583" s="2">
        <v>35.0</v>
      </c>
      <c r="H583" s="8">
        <f t="shared" si="8"/>
        <v>0</v>
      </c>
      <c r="I583" s="2" t="b">
        <v>1</v>
      </c>
      <c r="J583" s="2" t="s">
        <v>160</v>
      </c>
      <c r="K583" s="12">
        <f t="shared" si="21"/>
        <v>46139</v>
      </c>
      <c r="L583" s="12">
        <f t="shared" si="22"/>
        <v>46154</v>
      </c>
      <c r="M583" s="2" t="b">
        <v>1</v>
      </c>
    </row>
    <row r="584" hidden="1">
      <c r="A584" s="4">
        <v>46124.0</v>
      </c>
      <c r="B584" s="2" t="s">
        <v>1309</v>
      </c>
      <c r="C584" s="2" t="s">
        <v>1327</v>
      </c>
      <c r="D584" s="2" t="s">
        <v>159</v>
      </c>
      <c r="E584" s="2" t="s">
        <v>745</v>
      </c>
      <c r="F584" s="2">
        <v>25.0</v>
      </c>
      <c r="G584" s="2">
        <v>25.0</v>
      </c>
      <c r="H584" s="8">
        <f t="shared" si="8"/>
        <v>0</v>
      </c>
      <c r="I584" s="2" t="b">
        <v>1</v>
      </c>
      <c r="J584" s="2" t="s">
        <v>160</v>
      </c>
      <c r="K584" s="12">
        <f t="shared" si="21"/>
        <v>46139</v>
      </c>
      <c r="L584" s="12">
        <f t="shared" si="22"/>
        <v>46154</v>
      </c>
      <c r="M584" s="2" t="b">
        <v>1</v>
      </c>
    </row>
    <row r="585" hidden="1">
      <c r="A585" s="4">
        <v>46124.0</v>
      </c>
      <c r="B585" s="2" t="s">
        <v>1309</v>
      </c>
      <c r="C585" s="2" t="s">
        <v>916</v>
      </c>
      <c r="D585" s="2" t="s">
        <v>159</v>
      </c>
      <c r="E585" s="2" t="s">
        <v>745</v>
      </c>
      <c r="F585" s="2">
        <v>25.0</v>
      </c>
      <c r="G585" s="2">
        <v>25.0</v>
      </c>
      <c r="H585" s="8">
        <f t="shared" si="8"/>
        <v>0</v>
      </c>
      <c r="I585" s="2" t="b">
        <v>1</v>
      </c>
      <c r="J585" s="2" t="s">
        <v>160</v>
      </c>
      <c r="K585" s="12">
        <f t="shared" si="21"/>
        <v>46139</v>
      </c>
      <c r="L585" s="12">
        <f t="shared" si="22"/>
        <v>46154</v>
      </c>
      <c r="M585" s="2" t="b">
        <v>1</v>
      </c>
    </row>
    <row r="586" hidden="1">
      <c r="A586" s="4">
        <v>46125.0</v>
      </c>
      <c r="B586" s="2" t="s">
        <v>1309</v>
      </c>
      <c r="C586" s="2" t="s">
        <v>1328</v>
      </c>
      <c r="D586" s="2" t="s">
        <v>159</v>
      </c>
      <c r="E586" s="2">
        <v>0.0</v>
      </c>
      <c r="F586" s="2">
        <v>45.0</v>
      </c>
      <c r="G586" s="2">
        <v>45.0</v>
      </c>
      <c r="H586" s="8">
        <f t="shared" si="8"/>
        <v>0</v>
      </c>
      <c r="I586" s="2" t="b">
        <v>1</v>
      </c>
      <c r="J586" s="2" t="s">
        <v>160</v>
      </c>
      <c r="K586" s="12">
        <f t="shared" si="21"/>
        <v>46140</v>
      </c>
      <c r="L586" s="12">
        <f t="shared" si="22"/>
        <v>46155</v>
      </c>
    </row>
    <row r="587" hidden="1">
      <c r="A587" s="4">
        <v>46125.0</v>
      </c>
      <c r="B587" s="2" t="s">
        <v>1309</v>
      </c>
      <c r="C587" s="2" t="s">
        <v>1329</v>
      </c>
      <c r="D587" s="2" t="s">
        <v>159</v>
      </c>
      <c r="E587" s="2">
        <v>0.0</v>
      </c>
      <c r="F587" s="2">
        <v>100.0</v>
      </c>
      <c r="G587" s="2">
        <v>100.0</v>
      </c>
      <c r="H587" s="8">
        <f t="shared" si="8"/>
        <v>0</v>
      </c>
      <c r="I587" s="2" t="b">
        <v>1</v>
      </c>
      <c r="J587" s="2" t="s">
        <v>160</v>
      </c>
      <c r="K587" s="12">
        <f t="shared" si="21"/>
        <v>46140</v>
      </c>
      <c r="L587" s="12">
        <f t="shared" si="22"/>
        <v>46155</v>
      </c>
    </row>
    <row r="588" hidden="1">
      <c r="A588" s="4">
        <v>46125.0</v>
      </c>
      <c r="B588" s="2" t="s">
        <v>1309</v>
      </c>
      <c r="C588" s="2" t="s">
        <v>1330</v>
      </c>
      <c r="D588" s="2" t="s">
        <v>159</v>
      </c>
      <c r="E588" s="2">
        <v>0.0</v>
      </c>
      <c r="F588" s="2">
        <v>55.0</v>
      </c>
      <c r="G588" s="2">
        <v>55.0</v>
      </c>
      <c r="H588" s="8">
        <f t="shared" si="8"/>
        <v>0</v>
      </c>
      <c r="I588" s="2" t="b">
        <v>1</v>
      </c>
      <c r="J588" s="2" t="s">
        <v>160</v>
      </c>
      <c r="K588" s="12">
        <f t="shared" si="21"/>
        <v>46140</v>
      </c>
      <c r="L588" s="12">
        <f t="shared" si="22"/>
        <v>46155</v>
      </c>
    </row>
    <row r="589" hidden="1">
      <c r="A589" s="4">
        <v>46141.0</v>
      </c>
      <c r="B589" s="2" t="s">
        <v>1309</v>
      </c>
      <c r="C589" s="2" t="s">
        <v>1331</v>
      </c>
      <c r="D589" s="2" t="s">
        <v>159</v>
      </c>
      <c r="E589" s="2" t="s">
        <v>745</v>
      </c>
      <c r="F589" s="2">
        <v>50.0</v>
      </c>
      <c r="G589" s="2">
        <v>50.0</v>
      </c>
      <c r="H589" s="8">
        <f t="shared" si="8"/>
        <v>0</v>
      </c>
      <c r="I589" s="2" t="b">
        <v>1</v>
      </c>
      <c r="J589" s="2" t="s">
        <v>160</v>
      </c>
      <c r="K589" s="12">
        <f t="shared" si="21"/>
        <v>46156</v>
      </c>
      <c r="L589" s="12">
        <f t="shared" si="22"/>
        <v>46171</v>
      </c>
    </row>
    <row r="590" hidden="1">
      <c r="A590" s="4">
        <v>46146.0</v>
      </c>
      <c r="B590" s="2" t="s">
        <v>1309</v>
      </c>
      <c r="C590" s="2" t="s">
        <v>1332</v>
      </c>
      <c r="D590" s="2" t="s">
        <v>159</v>
      </c>
      <c r="E590" s="2">
        <v>0.0</v>
      </c>
      <c r="F590" s="2">
        <v>48.0</v>
      </c>
      <c r="G590" s="2">
        <v>48.0</v>
      </c>
      <c r="H590" s="8">
        <f t="shared" si="8"/>
        <v>0</v>
      </c>
      <c r="I590" s="2" t="b">
        <v>1</v>
      </c>
      <c r="J590" s="2" t="s">
        <v>160</v>
      </c>
      <c r="K590" s="12">
        <f t="shared" si="21"/>
        <v>46161</v>
      </c>
      <c r="L590" s="12">
        <f t="shared" si="22"/>
        <v>46176</v>
      </c>
      <c r="M590" s="8">
        <f>K590-L590</f>
        <v>-15</v>
      </c>
    </row>
    <row r="591" hidden="1">
      <c r="A591" s="4">
        <v>46146.0</v>
      </c>
      <c r="B591" s="2" t="s">
        <v>1309</v>
      </c>
      <c r="C591" s="2" t="s">
        <v>1333</v>
      </c>
      <c r="D591" s="2" t="s">
        <v>159</v>
      </c>
      <c r="E591" s="2">
        <v>0.0</v>
      </c>
      <c r="F591" s="2">
        <v>35.0</v>
      </c>
      <c r="G591" s="2">
        <v>35.0</v>
      </c>
      <c r="H591" s="8">
        <f t="shared" si="8"/>
        <v>0</v>
      </c>
      <c r="I591" s="2" t="b">
        <v>1</v>
      </c>
      <c r="J591" s="2" t="s">
        <v>160</v>
      </c>
      <c r="K591" s="12">
        <f t="shared" si="21"/>
        <v>46161</v>
      </c>
      <c r="L591" s="12">
        <f t="shared" si="22"/>
        <v>46176</v>
      </c>
    </row>
    <row r="592" hidden="1">
      <c r="A592" s="4">
        <v>46150.0</v>
      </c>
      <c r="B592" s="2" t="s">
        <v>1334</v>
      </c>
      <c r="C592" s="2" t="s">
        <v>1335</v>
      </c>
      <c r="D592" s="2" t="s">
        <v>159</v>
      </c>
      <c r="E592" s="2">
        <v>0.0</v>
      </c>
      <c r="F592" s="2">
        <v>140.0</v>
      </c>
      <c r="G592" s="2">
        <v>140.0</v>
      </c>
      <c r="H592" s="8">
        <f t="shared" si="8"/>
        <v>0</v>
      </c>
      <c r="I592" s="2" t="b">
        <v>1</v>
      </c>
      <c r="J592" s="2" t="s">
        <v>160</v>
      </c>
      <c r="K592" s="12">
        <f t="shared" si="21"/>
        <v>46165</v>
      </c>
      <c r="L592" s="12">
        <f t="shared" si="22"/>
        <v>46180</v>
      </c>
    </row>
    <row r="593" hidden="1">
      <c r="A593" s="4">
        <v>46151.0</v>
      </c>
      <c r="B593" s="2" t="s">
        <v>1334</v>
      </c>
      <c r="C593" s="2" t="s">
        <v>1336</v>
      </c>
      <c r="D593" s="2" t="s">
        <v>159</v>
      </c>
      <c r="E593" s="2">
        <v>0.0</v>
      </c>
      <c r="F593" s="2">
        <v>35.0</v>
      </c>
      <c r="G593" s="2">
        <v>35.0</v>
      </c>
      <c r="H593" s="8">
        <f t="shared" si="8"/>
        <v>0</v>
      </c>
      <c r="I593" s="2" t="b">
        <v>1</v>
      </c>
      <c r="J593" s="2" t="s">
        <v>160</v>
      </c>
      <c r="K593" s="12">
        <f t="shared" si="21"/>
        <v>46166</v>
      </c>
      <c r="L593" s="12">
        <f t="shared" si="22"/>
        <v>46181</v>
      </c>
    </row>
    <row r="594" hidden="1">
      <c r="A594" s="4">
        <v>46152.0</v>
      </c>
      <c r="B594" s="2" t="s">
        <v>1334</v>
      </c>
      <c r="C594" s="2" t="s">
        <v>1337</v>
      </c>
      <c r="D594" s="2" t="s">
        <v>159</v>
      </c>
      <c r="E594" s="2">
        <v>0.0</v>
      </c>
      <c r="F594" s="2">
        <v>110.0</v>
      </c>
      <c r="G594" s="2">
        <v>110.0</v>
      </c>
      <c r="H594" s="8">
        <f t="shared" si="8"/>
        <v>0</v>
      </c>
      <c r="I594" s="2" t="b">
        <v>1</v>
      </c>
      <c r="J594" s="2" t="s">
        <v>160</v>
      </c>
      <c r="K594" s="12">
        <f t="shared" si="21"/>
        <v>46167</v>
      </c>
      <c r="L594" s="12">
        <f t="shared" si="22"/>
        <v>46182</v>
      </c>
    </row>
    <row r="595" hidden="1">
      <c r="A595" s="4">
        <v>46166.0</v>
      </c>
      <c r="B595" s="2" t="s">
        <v>1334</v>
      </c>
      <c r="C595" s="2" t="s">
        <v>247</v>
      </c>
      <c r="D595" s="2" t="s">
        <v>159</v>
      </c>
      <c r="E595" s="2" t="s">
        <v>138</v>
      </c>
      <c r="F595" s="2">
        <v>45.0</v>
      </c>
      <c r="G595" s="2">
        <v>45.0</v>
      </c>
      <c r="H595" s="8">
        <f t="shared" si="8"/>
        <v>0</v>
      </c>
      <c r="I595" s="8" t="b">
        <v>0</v>
      </c>
      <c r="J595" s="2" t="s">
        <v>160</v>
      </c>
      <c r="K595" s="12">
        <f t="shared" si="21"/>
        <v>46181</v>
      </c>
      <c r="L595" s="12">
        <f t="shared" si="22"/>
        <v>46196</v>
      </c>
    </row>
    <row r="596" hidden="1">
      <c r="A596" s="4">
        <v>46190.0</v>
      </c>
      <c r="B596" s="2" t="s">
        <v>1338</v>
      </c>
      <c r="C596" s="2" t="s">
        <v>1339</v>
      </c>
      <c r="D596" s="2" t="s">
        <v>159</v>
      </c>
      <c r="E596" s="2" t="s">
        <v>138</v>
      </c>
      <c r="F596" s="2">
        <v>17.0</v>
      </c>
      <c r="G596" s="2">
        <v>17.0</v>
      </c>
      <c r="H596" s="8">
        <f t="shared" si="8"/>
        <v>0</v>
      </c>
      <c r="I596" s="2" t="b">
        <v>0</v>
      </c>
      <c r="J596" s="2" t="s">
        <v>160</v>
      </c>
      <c r="K596" s="12">
        <f t="shared" si="21"/>
        <v>46205</v>
      </c>
      <c r="L596" s="12">
        <f t="shared" si="22"/>
        <v>46220</v>
      </c>
    </row>
    <row r="597" hidden="1">
      <c r="A597" s="4">
        <v>46182.0</v>
      </c>
      <c r="B597" s="2" t="s">
        <v>1340</v>
      </c>
      <c r="C597" s="2" t="s">
        <v>1341</v>
      </c>
      <c r="D597" s="2" t="s">
        <v>159</v>
      </c>
      <c r="E597" s="2" t="s">
        <v>138</v>
      </c>
      <c r="F597" s="2">
        <v>25.0</v>
      </c>
      <c r="G597" s="2">
        <v>25.0</v>
      </c>
      <c r="H597" s="8">
        <f t="shared" si="8"/>
        <v>0</v>
      </c>
      <c r="I597" s="2" t="b">
        <v>0</v>
      </c>
      <c r="J597" s="2" t="s">
        <v>160</v>
      </c>
      <c r="K597" s="12">
        <f t="shared" si="21"/>
        <v>46197</v>
      </c>
      <c r="L597" s="12">
        <f t="shared" si="22"/>
        <v>46212</v>
      </c>
    </row>
    <row r="598" hidden="1">
      <c r="A598" s="4">
        <v>46077.0</v>
      </c>
      <c r="B598" s="2" t="s">
        <v>1342</v>
      </c>
      <c r="C598" s="2" t="s">
        <v>1343</v>
      </c>
      <c r="D598" s="2" t="s">
        <v>159</v>
      </c>
      <c r="E598" s="2">
        <v>0.0</v>
      </c>
      <c r="F598" s="2">
        <v>65.0</v>
      </c>
      <c r="G598" s="2">
        <v>65.0</v>
      </c>
      <c r="H598" s="8">
        <f t="shared" si="8"/>
        <v>0</v>
      </c>
      <c r="I598" s="2" t="b">
        <v>1</v>
      </c>
      <c r="J598" s="2" t="s">
        <v>160</v>
      </c>
      <c r="K598" s="12">
        <f t="shared" si="21"/>
        <v>46092</v>
      </c>
      <c r="L598" s="12">
        <f t="shared" si="22"/>
        <v>46107</v>
      </c>
    </row>
    <row r="599" hidden="1">
      <c r="A599" s="4">
        <v>45945.0</v>
      </c>
      <c r="B599" s="2" t="s">
        <v>123</v>
      </c>
      <c r="C599" s="2" t="s">
        <v>578</v>
      </c>
      <c r="D599" s="2" t="s">
        <v>115</v>
      </c>
      <c r="E599" s="2">
        <v>186.0</v>
      </c>
      <c r="F599" s="2">
        <v>35.0</v>
      </c>
      <c r="G599" s="2">
        <v>35.0</v>
      </c>
      <c r="H599" s="8">
        <f t="shared" si="8"/>
        <v>0</v>
      </c>
      <c r="I599" s="2" t="b">
        <v>1</v>
      </c>
      <c r="J599" s="2" t="s">
        <v>160</v>
      </c>
      <c r="K599" s="12">
        <f t="shared" si="21"/>
        <v>45960</v>
      </c>
      <c r="L599" s="12">
        <f t="shared" si="22"/>
        <v>45975</v>
      </c>
    </row>
    <row r="600" hidden="1">
      <c r="A600" s="4">
        <v>45945.0</v>
      </c>
      <c r="B600" s="2" t="s">
        <v>123</v>
      </c>
      <c r="C600" s="2" t="s">
        <v>576</v>
      </c>
      <c r="D600" s="2" t="s">
        <v>115</v>
      </c>
      <c r="E600" s="2">
        <v>186.0</v>
      </c>
      <c r="F600" s="2">
        <v>35.0</v>
      </c>
      <c r="G600" s="2">
        <v>35.0</v>
      </c>
      <c r="H600" s="8">
        <f t="shared" si="8"/>
        <v>0</v>
      </c>
      <c r="I600" s="2" t="b">
        <v>1</v>
      </c>
      <c r="J600" s="2" t="s">
        <v>160</v>
      </c>
      <c r="K600" s="12">
        <f t="shared" si="21"/>
        <v>45960</v>
      </c>
      <c r="L600" s="12">
        <f t="shared" si="22"/>
        <v>45975</v>
      </c>
    </row>
    <row r="601" hidden="1">
      <c r="A601" s="4">
        <v>45954.0</v>
      </c>
      <c r="B601" s="2" t="s">
        <v>123</v>
      </c>
      <c r="C601" s="2" t="s">
        <v>730</v>
      </c>
      <c r="D601" s="2" t="s">
        <v>115</v>
      </c>
      <c r="E601" s="2">
        <v>185.0</v>
      </c>
      <c r="F601" s="2">
        <v>60.0</v>
      </c>
      <c r="G601" s="2">
        <v>60.0</v>
      </c>
      <c r="H601" s="8">
        <f t="shared" si="8"/>
        <v>0</v>
      </c>
      <c r="I601" s="2" t="b">
        <v>1</v>
      </c>
      <c r="J601" s="2" t="s">
        <v>160</v>
      </c>
      <c r="K601" s="12">
        <f t="shared" si="21"/>
        <v>45969</v>
      </c>
      <c r="L601" s="12">
        <f t="shared" si="22"/>
        <v>45984</v>
      </c>
    </row>
    <row r="602" hidden="1">
      <c r="A602" s="4">
        <v>46125.0</v>
      </c>
      <c r="B602" s="2" t="s">
        <v>1344</v>
      </c>
      <c r="C602" s="2" t="s">
        <v>1345</v>
      </c>
      <c r="D602" s="2" t="s">
        <v>159</v>
      </c>
      <c r="E602" s="2" t="s">
        <v>745</v>
      </c>
      <c r="F602" s="2">
        <v>20.0</v>
      </c>
      <c r="G602" s="2">
        <v>20.0</v>
      </c>
      <c r="H602" s="8">
        <f t="shared" si="8"/>
        <v>0</v>
      </c>
      <c r="I602" s="2" t="b">
        <v>1</v>
      </c>
      <c r="J602" s="2" t="s">
        <v>160</v>
      </c>
      <c r="K602" s="12">
        <f t="shared" si="21"/>
        <v>46140</v>
      </c>
      <c r="L602" s="12">
        <f t="shared" si="22"/>
        <v>46155</v>
      </c>
    </row>
    <row r="603" hidden="1">
      <c r="A603" s="4">
        <v>46125.0</v>
      </c>
      <c r="B603" s="2" t="s">
        <v>1344</v>
      </c>
      <c r="C603" s="2" t="s">
        <v>1346</v>
      </c>
      <c r="D603" s="2" t="s">
        <v>159</v>
      </c>
      <c r="E603" s="2" t="s">
        <v>745</v>
      </c>
      <c r="F603" s="2">
        <v>15.0</v>
      </c>
      <c r="G603" s="2">
        <v>15.0</v>
      </c>
      <c r="H603" s="8">
        <f t="shared" si="8"/>
        <v>0</v>
      </c>
      <c r="I603" s="2" t="b">
        <v>1</v>
      </c>
      <c r="J603" s="2" t="s">
        <v>160</v>
      </c>
      <c r="K603" s="12">
        <f t="shared" si="21"/>
        <v>46140</v>
      </c>
      <c r="L603" s="12">
        <f t="shared" si="22"/>
        <v>46155</v>
      </c>
    </row>
    <row r="604" hidden="1">
      <c r="A604" s="4">
        <v>46125.0</v>
      </c>
      <c r="B604" s="2" t="s">
        <v>1344</v>
      </c>
      <c r="C604" s="2" t="s">
        <v>1298</v>
      </c>
      <c r="D604" s="2" t="s">
        <v>159</v>
      </c>
      <c r="E604" s="2">
        <v>0.0</v>
      </c>
      <c r="F604" s="2">
        <v>40.0</v>
      </c>
      <c r="G604" s="2">
        <v>40.0</v>
      </c>
      <c r="H604" s="8">
        <f t="shared" si="8"/>
        <v>0</v>
      </c>
      <c r="I604" s="2" t="b">
        <v>1</v>
      </c>
      <c r="J604" s="2" t="s">
        <v>160</v>
      </c>
      <c r="K604" s="12">
        <f t="shared" si="21"/>
        <v>46140</v>
      </c>
      <c r="L604" s="12">
        <f t="shared" si="22"/>
        <v>46155</v>
      </c>
    </row>
    <row r="605" hidden="1">
      <c r="A605" s="4">
        <v>46143.0</v>
      </c>
      <c r="B605" s="2" t="s">
        <v>1344</v>
      </c>
      <c r="C605" s="2" t="s">
        <v>1347</v>
      </c>
      <c r="D605" s="2" t="s">
        <v>159</v>
      </c>
      <c r="E605" s="2">
        <v>0.0</v>
      </c>
      <c r="F605" s="2">
        <v>45.0</v>
      </c>
      <c r="G605" s="2">
        <v>45.0</v>
      </c>
      <c r="H605" s="8">
        <f t="shared" si="8"/>
        <v>0</v>
      </c>
      <c r="I605" s="2" t="b">
        <v>1</v>
      </c>
      <c r="J605" s="2" t="s">
        <v>160</v>
      </c>
      <c r="K605" s="12">
        <f t="shared" si="21"/>
        <v>46158</v>
      </c>
      <c r="L605" s="12">
        <f t="shared" si="22"/>
        <v>46173</v>
      </c>
    </row>
    <row r="606" hidden="1">
      <c r="A606" s="4">
        <v>46144.0</v>
      </c>
      <c r="B606" s="2" t="s">
        <v>1344</v>
      </c>
      <c r="C606" s="2" t="s">
        <v>1348</v>
      </c>
      <c r="D606" s="2" t="s">
        <v>166</v>
      </c>
      <c r="E606" s="2">
        <v>303.0</v>
      </c>
      <c r="F606" s="2">
        <v>75.0</v>
      </c>
      <c r="G606" s="2">
        <v>75.0</v>
      </c>
      <c r="H606" s="8">
        <f t="shared" si="8"/>
        <v>0</v>
      </c>
      <c r="I606" s="2" t="b">
        <v>1</v>
      </c>
      <c r="J606" s="2" t="s">
        <v>160</v>
      </c>
      <c r="K606" s="12">
        <f t="shared" si="21"/>
        <v>46159</v>
      </c>
      <c r="L606" s="12">
        <f t="shared" si="22"/>
        <v>46174</v>
      </c>
    </row>
    <row r="607" hidden="1">
      <c r="A607" s="4">
        <v>46145.0</v>
      </c>
      <c r="B607" s="2" t="s">
        <v>1344</v>
      </c>
      <c r="C607" s="2" t="s">
        <v>1349</v>
      </c>
      <c r="D607" s="2" t="s">
        <v>166</v>
      </c>
      <c r="E607" s="2">
        <v>303.0</v>
      </c>
      <c r="F607" s="2">
        <v>95.0</v>
      </c>
      <c r="G607" s="2">
        <v>95.0</v>
      </c>
      <c r="H607" s="8">
        <f t="shared" si="8"/>
        <v>0</v>
      </c>
      <c r="I607" s="2" t="b">
        <v>1</v>
      </c>
      <c r="J607" s="2" t="s">
        <v>160</v>
      </c>
      <c r="K607" s="12">
        <f t="shared" si="21"/>
        <v>46160</v>
      </c>
      <c r="L607" s="12">
        <f t="shared" si="22"/>
        <v>46175</v>
      </c>
      <c r="M607" s="8">
        <f>K607-L607</f>
        <v>-15</v>
      </c>
    </row>
    <row r="608" hidden="1">
      <c r="A608" s="4">
        <v>46156.0</v>
      </c>
      <c r="B608" s="2" t="s">
        <v>1344</v>
      </c>
      <c r="C608" s="2" t="s">
        <v>1350</v>
      </c>
      <c r="D608" s="2" t="s">
        <v>159</v>
      </c>
      <c r="E608" s="2">
        <v>0.0</v>
      </c>
      <c r="F608" s="2">
        <v>85.0</v>
      </c>
      <c r="G608" s="2">
        <v>85.0</v>
      </c>
      <c r="H608" s="8">
        <f t="shared" si="8"/>
        <v>0</v>
      </c>
      <c r="I608" s="2" t="b">
        <v>1</v>
      </c>
      <c r="J608" s="2" t="s">
        <v>160</v>
      </c>
      <c r="K608" s="12">
        <f t="shared" si="21"/>
        <v>46171</v>
      </c>
      <c r="L608" s="12">
        <f t="shared" si="22"/>
        <v>46186</v>
      </c>
    </row>
    <row r="609" hidden="1">
      <c r="A609" s="4">
        <v>46177.0</v>
      </c>
      <c r="B609" s="2" t="s">
        <v>1344</v>
      </c>
      <c r="C609" s="2" t="s">
        <v>1351</v>
      </c>
      <c r="D609" s="2" t="s">
        <v>159</v>
      </c>
      <c r="E609" s="2" t="s">
        <v>138</v>
      </c>
      <c r="F609" s="2">
        <v>30.0</v>
      </c>
      <c r="G609" s="2">
        <v>0.0</v>
      </c>
      <c r="H609" s="8">
        <f t="shared" si="8"/>
        <v>30</v>
      </c>
      <c r="I609" s="2" t="b">
        <v>0</v>
      </c>
      <c r="J609" s="2" t="s">
        <v>160</v>
      </c>
      <c r="K609" s="12">
        <f t="shared" si="21"/>
        <v>46192</v>
      </c>
      <c r="L609" s="12">
        <f t="shared" si="22"/>
        <v>46207</v>
      </c>
    </row>
    <row r="610" hidden="1">
      <c r="A610" s="4">
        <v>46198.0</v>
      </c>
      <c r="B610" s="2" t="s">
        <v>1344</v>
      </c>
      <c r="C610" s="2" t="s">
        <v>1352</v>
      </c>
      <c r="D610" s="2" t="s">
        <v>159</v>
      </c>
      <c r="E610" s="2" t="s">
        <v>745</v>
      </c>
      <c r="F610" s="2">
        <v>40.0</v>
      </c>
      <c r="G610" s="2">
        <v>0.0</v>
      </c>
      <c r="H610" s="8">
        <f t="shared" si="8"/>
        <v>40</v>
      </c>
      <c r="I610" s="2" t="b">
        <v>0</v>
      </c>
      <c r="J610" s="2" t="s">
        <v>160</v>
      </c>
      <c r="K610" s="12">
        <f t="shared" si="21"/>
        <v>46213</v>
      </c>
      <c r="L610" s="12">
        <f t="shared" si="22"/>
        <v>46228</v>
      </c>
    </row>
    <row r="611" hidden="1">
      <c r="A611" s="4">
        <v>46124.0</v>
      </c>
      <c r="B611" s="2" t="s">
        <v>1353</v>
      </c>
      <c r="C611" s="2" t="s">
        <v>1354</v>
      </c>
      <c r="D611" s="2" t="s">
        <v>159</v>
      </c>
      <c r="E611" s="2" t="s">
        <v>745</v>
      </c>
      <c r="F611" s="2">
        <v>18.0</v>
      </c>
      <c r="G611" s="2">
        <v>18.0</v>
      </c>
      <c r="H611" s="8">
        <f t="shared" si="8"/>
        <v>0</v>
      </c>
      <c r="I611" s="2" t="b">
        <v>1</v>
      </c>
      <c r="J611" s="2" t="s">
        <v>160</v>
      </c>
      <c r="K611" s="12">
        <f t="shared" si="21"/>
        <v>46139</v>
      </c>
      <c r="L611" s="12">
        <f t="shared" si="22"/>
        <v>46154</v>
      </c>
      <c r="M611" s="2" t="b">
        <v>0</v>
      </c>
    </row>
    <row r="612" hidden="1">
      <c r="A612" s="4">
        <v>46124.0</v>
      </c>
      <c r="B612" s="2" t="s">
        <v>1353</v>
      </c>
      <c r="C612" s="2" t="s">
        <v>1355</v>
      </c>
      <c r="D612" s="2" t="s">
        <v>159</v>
      </c>
      <c r="E612" s="2" t="s">
        <v>745</v>
      </c>
      <c r="F612" s="2">
        <v>25.0</v>
      </c>
      <c r="G612" s="2">
        <v>25.0</v>
      </c>
      <c r="H612" s="8">
        <f t="shared" si="8"/>
        <v>0</v>
      </c>
      <c r="I612" s="2" t="b">
        <v>1</v>
      </c>
      <c r="J612" s="2" t="s">
        <v>160</v>
      </c>
      <c r="K612" s="12">
        <f t="shared" si="21"/>
        <v>46139</v>
      </c>
      <c r="L612" s="12">
        <f t="shared" si="22"/>
        <v>46154</v>
      </c>
      <c r="M612" s="2" t="b">
        <v>0</v>
      </c>
    </row>
    <row r="613" hidden="1">
      <c r="A613" s="4">
        <v>46125.0</v>
      </c>
      <c r="B613" s="2" t="s">
        <v>1353</v>
      </c>
      <c r="C613" s="2" t="s">
        <v>1356</v>
      </c>
      <c r="D613" s="2" t="s">
        <v>159</v>
      </c>
      <c r="E613" s="2" t="s">
        <v>745</v>
      </c>
      <c r="F613" s="2">
        <v>15.0</v>
      </c>
      <c r="G613" s="2">
        <v>15.0</v>
      </c>
      <c r="H613" s="8">
        <f t="shared" si="8"/>
        <v>0</v>
      </c>
      <c r="I613" s="2" t="b">
        <v>1</v>
      </c>
      <c r="J613" s="2" t="s">
        <v>160</v>
      </c>
      <c r="K613" s="12">
        <f t="shared" si="21"/>
        <v>46140</v>
      </c>
      <c r="L613" s="12">
        <f t="shared" si="22"/>
        <v>46155</v>
      </c>
    </row>
    <row r="614" hidden="1">
      <c r="A614" s="4">
        <v>46152.0</v>
      </c>
      <c r="B614" s="2" t="s">
        <v>1357</v>
      </c>
      <c r="C614" s="2" t="s">
        <v>1358</v>
      </c>
      <c r="D614" s="2" t="s">
        <v>159</v>
      </c>
      <c r="E614" s="2">
        <v>0.0</v>
      </c>
      <c r="F614" s="2">
        <v>85.0</v>
      </c>
      <c r="G614" s="2">
        <v>85.0</v>
      </c>
      <c r="H614" s="8">
        <f t="shared" si="8"/>
        <v>0</v>
      </c>
      <c r="I614" s="2" t="b">
        <v>1</v>
      </c>
      <c r="J614" s="2" t="s">
        <v>160</v>
      </c>
      <c r="K614" s="12">
        <f t="shared" si="21"/>
        <v>46167</v>
      </c>
      <c r="L614" s="12">
        <f t="shared" si="22"/>
        <v>46182</v>
      </c>
      <c r="M614" s="2" t="s">
        <v>1359</v>
      </c>
    </row>
    <row r="615" hidden="1">
      <c r="A615" s="4">
        <v>45935.0</v>
      </c>
      <c r="B615" s="2" t="s">
        <v>238</v>
      </c>
      <c r="C615" s="2" t="s">
        <v>558</v>
      </c>
      <c r="D615" s="2" t="s">
        <v>159</v>
      </c>
      <c r="E615" s="2">
        <v>168.0</v>
      </c>
      <c r="F615" s="2">
        <v>70.0</v>
      </c>
      <c r="G615" s="2">
        <v>70.0</v>
      </c>
      <c r="H615" s="8">
        <f t="shared" si="8"/>
        <v>0</v>
      </c>
      <c r="I615" s="2" t="b">
        <v>1</v>
      </c>
      <c r="J615" s="2" t="s">
        <v>160</v>
      </c>
      <c r="K615" s="12">
        <f t="shared" si="21"/>
        <v>45950</v>
      </c>
      <c r="L615" s="12">
        <f t="shared" si="22"/>
        <v>45965</v>
      </c>
    </row>
    <row r="616" hidden="1">
      <c r="A616" s="4">
        <v>46054.0</v>
      </c>
      <c r="B616" s="2" t="s">
        <v>238</v>
      </c>
      <c r="C616" s="2" t="s">
        <v>1360</v>
      </c>
      <c r="D616" s="2" t="s">
        <v>159</v>
      </c>
      <c r="E616" s="2" t="s">
        <v>138</v>
      </c>
      <c r="F616" s="2">
        <v>70.0</v>
      </c>
      <c r="G616" s="2">
        <v>70.0</v>
      </c>
      <c r="H616" s="8">
        <f t="shared" si="8"/>
        <v>0</v>
      </c>
      <c r="I616" s="2" t="b">
        <v>1</v>
      </c>
      <c r="J616" s="2" t="s">
        <v>160</v>
      </c>
      <c r="K616" s="12">
        <f t="shared" si="21"/>
        <v>46069</v>
      </c>
      <c r="L616" s="12">
        <f t="shared" si="22"/>
        <v>46084</v>
      </c>
    </row>
    <row r="617" hidden="1">
      <c r="A617" s="4">
        <v>46054.0</v>
      </c>
      <c r="B617" s="2" t="s">
        <v>238</v>
      </c>
      <c r="C617" s="2" t="s">
        <v>1361</v>
      </c>
      <c r="D617" s="2" t="s">
        <v>159</v>
      </c>
      <c r="E617" s="2" t="s">
        <v>138</v>
      </c>
      <c r="F617" s="2">
        <v>20.0</v>
      </c>
      <c r="G617" s="2">
        <v>20.0</v>
      </c>
      <c r="H617" s="8">
        <f t="shared" si="8"/>
        <v>0</v>
      </c>
      <c r="I617" s="2" t="b">
        <v>1</v>
      </c>
      <c r="J617" s="2" t="s">
        <v>160</v>
      </c>
      <c r="K617" s="12">
        <f t="shared" si="21"/>
        <v>46069</v>
      </c>
      <c r="L617" s="12">
        <f t="shared" si="22"/>
        <v>46084</v>
      </c>
    </row>
    <row r="618" hidden="1">
      <c r="A618" s="4">
        <v>46056.0</v>
      </c>
      <c r="B618" s="2" t="s">
        <v>238</v>
      </c>
      <c r="C618" s="2" t="s">
        <v>1362</v>
      </c>
      <c r="D618" s="2" t="s">
        <v>159</v>
      </c>
      <c r="E618" s="2" t="s">
        <v>0</v>
      </c>
      <c r="F618" s="2">
        <v>75.0</v>
      </c>
      <c r="G618" s="2">
        <v>75.0</v>
      </c>
      <c r="H618" s="8">
        <f t="shared" si="8"/>
        <v>0</v>
      </c>
      <c r="I618" s="2" t="b">
        <v>1</v>
      </c>
      <c r="J618" s="2" t="s">
        <v>160</v>
      </c>
      <c r="K618" s="12">
        <f t="shared" si="21"/>
        <v>46071</v>
      </c>
      <c r="L618" s="12">
        <f t="shared" si="22"/>
        <v>46086</v>
      </c>
    </row>
    <row r="619" hidden="1">
      <c r="A619" s="4">
        <v>46056.0</v>
      </c>
      <c r="B619" s="2" t="s">
        <v>1363</v>
      </c>
      <c r="C619" s="2" t="s">
        <v>1364</v>
      </c>
      <c r="D619" s="2" t="s">
        <v>159</v>
      </c>
      <c r="E619" s="2">
        <v>0.0</v>
      </c>
      <c r="F619" s="2">
        <v>40.0</v>
      </c>
      <c r="G619" s="2">
        <v>40.0</v>
      </c>
      <c r="H619" s="8">
        <f t="shared" si="8"/>
        <v>0</v>
      </c>
      <c r="I619" s="2" t="b">
        <v>1</v>
      </c>
      <c r="J619" s="2" t="s">
        <v>160</v>
      </c>
      <c r="K619" s="12">
        <f t="shared" si="21"/>
        <v>46071</v>
      </c>
      <c r="L619" s="12">
        <f t="shared" si="22"/>
        <v>46086</v>
      </c>
    </row>
    <row r="620" hidden="1">
      <c r="A620" s="4">
        <v>46152.0</v>
      </c>
      <c r="B620" s="2" t="s">
        <v>1365</v>
      </c>
      <c r="C620" s="2" t="s">
        <v>1366</v>
      </c>
      <c r="D620" s="2" t="s">
        <v>159</v>
      </c>
      <c r="E620" s="2">
        <v>0.0</v>
      </c>
      <c r="F620" s="2">
        <v>60.0</v>
      </c>
      <c r="G620" s="2">
        <v>60.0</v>
      </c>
      <c r="H620" s="8">
        <f t="shared" si="8"/>
        <v>0</v>
      </c>
      <c r="I620" s="2" t="b">
        <v>1</v>
      </c>
      <c r="J620" s="2" t="s">
        <v>160</v>
      </c>
      <c r="K620" s="12">
        <f t="shared" si="21"/>
        <v>46167</v>
      </c>
      <c r="L620" s="12">
        <f t="shared" si="22"/>
        <v>46182</v>
      </c>
    </row>
    <row r="621" hidden="1">
      <c r="A621" s="4">
        <v>46055.0</v>
      </c>
      <c r="B621" s="2" t="s">
        <v>133</v>
      </c>
      <c r="C621" s="2" t="s">
        <v>1367</v>
      </c>
      <c r="D621" s="2" t="s">
        <v>159</v>
      </c>
      <c r="E621" s="2">
        <v>0.0</v>
      </c>
      <c r="F621" s="2">
        <v>65.0</v>
      </c>
      <c r="G621" s="2">
        <v>65.0</v>
      </c>
      <c r="H621" s="8">
        <f t="shared" si="8"/>
        <v>0</v>
      </c>
      <c r="I621" s="2" t="b">
        <v>1</v>
      </c>
      <c r="J621" s="2" t="s">
        <v>160</v>
      </c>
      <c r="K621" s="12">
        <f t="shared" si="21"/>
        <v>46070</v>
      </c>
      <c r="L621" s="12">
        <f t="shared" si="22"/>
        <v>46085</v>
      </c>
    </row>
    <row r="622" hidden="1">
      <c r="A622" s="4">
        <v>46170.0</v>
      </c>
      <c r="B622" s="2" t="s">
        <v>133</v>
      </c>
      <c r="C622" s="2" t="s">
        <v>1368</v>
      </c>
      <c r="D622" s="2" t="s">
        <v>159</v>
      </c>
      <c r="E622" s="2" t="s">
        <v>0</v>
      </c>
      <c r="F622" s="2">
        <v>135.0</v>
      </c>
      <c r="G622" s="2">
        <v>60.0</v>
      </c>
      <c r="H622" s="8">
        <f t="shared" si="8"/>
        <v>75</v>
      </c>
      <c r="I622" s="8" t="b">
        <v>0</v>
      </c>
      <c r="J622" s="2" t="s">
        <v>160</v>
      </c>
      <c r="K622" s="12">
        <f t="shared" si="21"/>
        <v>46185</v>
      </c>
      <c r="L622" s="12">
        <f t="shared" si="22"/>
        <v>46200</v>
      </c>
    </row>
    <row r="623" hidden="1">
      <c r="A623" s="4">
        <v>46138.0</v>
      </c>
      <c r="B623" s="2" t="s">
        <v>1369</v>
      </c>
      <c r="C623" s="2" t="s">
        <v>1370</v>
      </c>
      <c r="D623" s="2" t="s">
        <v>159</v>
      </c>
      <c r="E623" s="2" t="s">
        <v>745</v>
      </c>
      <c r="F623" s="2">
        <v>35.0</v>
      </c>
      <c r="G623" s="2">
        <v>35.0</v>
      </c>
      <c r="H623" s="8">
        <f t="shared" si="8"/>
        <v>0</v>
      </c>
      <c r="I623" s="8" t="b">
        <v>0</v>
      </c>
      <c r="J623" s="2" t="s">
        <v>160</v>
      </c>
      <c r="K623" s="12">
        <f t="shared" si="21"/>
        <v>46153</v>
      </c>
      <c r="L623" s="12">
        <f t="shared" si="22"/>
        <v>46168</v>
      </c>
    </row>
    <row r="624" hidden="1">
      <c r="A624" s="4">
        <v>46138.0</v>
      </c>
      <c r="B624" s="2" t="s">
        <v>1369</v>
      </c>
      <c r="C624" s="2" t="s">
        <v>1371</v>
      </c>
      <c r="D624" s="2" t="s">
        <v>159</v>
      </c>
      <c r="E624" s="2" t="s">
        <v>745</v>
      </c>
      <c r="F624" s="2">
        <v>35.0</v>
      </c>
      <c r="G624" s="2">
        <v>35.0</v>
      </c>
      <c r="H624" s="8">
        <f t="shared" si="8"/>
        <v>0</v>
      </c>
      <c r="I624" s="8" t="b">
        <v>0</v>
      </c>
      <c r="J624" s="2" t="s">
        <v>160</v>
      </c>
      <c r="K624" s="12">
        <f t="shared" si="21"/>
        <v>46153</v>
      </c>
      <c r="L624" s="12">
        <f t="shared" si="22"/>
        <v>46168</v>
      </c>
    </row>
    <row r="625" hidden="1">
      <c r="A625" s="4">
        <v>46139.0</v>
      </c>
      <c r="B625" s="2" t="s">
        <v>1369</v>
      </c>
      <c r="C625" s="2" t="s">
        <v>869</v>
      </c>
      <c r="D625" s="2" t="s">
        <v>159</v>
      </c>
      <c r="E625" s="2">
        <v>0.0</v>
      </c>
      <c r="F625" s="2">
        <v>68.0</v>
      </c>
      <c r="G625" s="2">
        <v>68.0</v>
      </c>
      <c r="H625" s="8">
        <f t="shared" si="8"/>
        <v>0</v>
      </c>
      <c r="I625" s="8" t="b">
        <v>0</v>
      </c>
      <c r="J625" s="2" t="s">
        <v>160</v>
      </c>
      <c r="K625" s="12">
        <f t="shared" si="21"/>
        <v>46154</v>
      </c>
      <c r="L625" s="12">
        <f t="shared" si="22"/>
        <v>46169</v>
      </c>
    </row>
    <row r="626" hidden="1">
      <c r="A626" s="4">
        <v>46017.0</v>
      </c>
      <c r="B626" s="2" t="s">
        <v>566</v>
      </c>
      <c r="C626" s="2" t="s">
        <v>1372</v>
      </c>
      <c r="D626" s="2" t="s">
        <v>159</v>
      </c>
      <c r="E626" s="2">
        <v>0.0</v>
      </c>
      <c r="F626" s="2">
        <v>447.0</v>
      </c>
      <c r="G626" s="2">
        <v>0.0</v>
      </c>
      <c r="I626" s="8" t="b">
        <v>0</v>
      </c>
      <c r="J626" s="2" t="s">
        <v>160</v>
      </c>
      <c r="K626" s="12">
        <f t="shared" si="21"/>
        <v>46032</v>
      </c>
      <c r="L626" s="12">
        <f t="shared" si="22"/>
        <v>46047</v>
      </c>
    </row>
    <row r="627" hidden="1">
      <c r="A627" s="4">
        <v>46049.0</v>
      </c>
      <c r="B627" s="261" t="s">
        <v>1373</v>
      </c>
      <c r="C627" s="2" t="s">
        <v>1374</v>
      </c>
      <c r="D627" s="2" t="s">
        <v>159</v>
      </c>
      <c r="E627" s="2">
        <v>0.0</v>
      </c>
      <c r="F627" s="2">
        <v>65.0</v>
      </c>
      <c r="G627" s="2">
        <v>65.0</v>
      </c>
      <c r="H627" s="8">
        <f t="shared" ref="H627:H630" si="23">F627-G627</f>
        <v>0</v>
      </c>
      <c r="I627" s="2" t="b">
        <v>1</v>
      </c>
      <c r="J627" s="2" t="s">
        <v>160</v>
      </c>
      <c r="K627" s="12">
        <f t="shared" si="21"/>
        <v>46064</v>
      </c>
      <c r="L627" s="12">
        <f t="shared" si="22"/>
        <v>46079</v>
      </c>
    </row>
    <row r="628" hidden="1">
      <c r="A628" s="4">
        <v>46171.0</v>
      </c>
      <c r="B628" s="2" t="s">
        <v>1375</v>
      </c>
      <c r="C628" s="2" t="s">
        <v>219</v>
      </c>
      <c r="D628" s="2" t="s">
        <v>159</v>
      </c>
      <c r="E628" s="2" t="s">
        <v>0</v>
      </c>
      <c r="F628" s="2">
        <v>50.0</v>
      </c>
      <c r="G628" s="2">
        <v>50.0</v>
      </c>
      <c r="H628" s="8">
        <f t="shared" si="23"/>
        <v>0</v>
      </c>
      <c r="I628" s="2" t="b">
        <v>1</v>
      </c>
      <c r="J628" s="2" t="s">
        <v>160</v>
      </c>
      <c r="K628" s="12">
        <f t="shared" si="21"/>
        <v>46186</v>
      </c>
      <c r="L628" s="12">
        <f t="shared" si="22"/>
        <v>46201</v>
      </c>
    </row>
    <row r="629" hidden="1">
      <c r="A629" s="4">
        <v>46171.0</v>
      </c>
      <c r="B629" s="2" t="s">
        <v>1375</v>
      </c>
      <c r="C629" s="2" t="s">
        <v>1376</v>
      </c>
      <c r="D629" s="2" t="s">
        <v>159</v>
      </c>
      <c r="E629" s="2" t="s">
        <v>138</v>
      </c>
      <c r="F629" s="2">
        <v>40.0</v>
      </c>
      <c r="G629" s="2">
        <v>40.0</v>
      </c>
      <c r="H629" s="8">
        <f t="shared" si="23"/>
        <v>0</v>
      </c>
      <c r="I629" s="2" t="b">
        <v>1</v>
      </c>
      <c r="J629" s="2" t="s">
        <v>160</v>
      </c>
      <c r="K629" s="12">
        <f t="shared" si="21"/>
        <v>46186</v>
      </c>
      <c r="L629" s="12">
        <f t="shared" si="22"/>
        <v>46201</v>
      </c>
    </row>
    <row r="630" hidden="1">
      <c r="A630" s="4">
        <v>46202.0</v>
      </c>
      <c r="B630" s="2" t="s">
        <v>1344</v>
      </c>
      <c r="C630" s="2" t="s">
        <v>1377</v>
      </c>
      <c r="D630" s="2" t="s">
        <v>159</v>
      </c>
      <c r="E630" s="2" t="s">
        <v>0</v>
      </c>
      <c r="F630" s="2">
        <v>70.0</v>
      </c>
      <c r="G630" s="2">
        <v>0.0</v>
      </c>
      <c r="H630" s="8">
        <f t="shared" si="23"/>
        <v>70</v>
      </c>
      <c r="I630" s="2" t="b">
        <v>0</v>
      </c>
      <c r="J630" s="2" t="s">
        <v>160</v>
      </c>
      <c r="K630" s="12">
        <f t="shared" si="21"/>
        <v>46217</v>
      </c>
      <c r="L630" s="12">
        <f t="shared" si="22"/>
        <v>46232</v>
      </c>
    </row>
    <row r="631">
      <c r="A631" s="12"/>
      <c r="G631" s="8"/>
    </row>
    <row r="632">
      <c r="A632" s="12"/>
      <c r="G632" s="8"/>
    </row>
    <row r="633">
      <c r="A633" s="12"/>
      <c r="G633" s="8"/>
    </row>
    <row r="634">
      <c r="A634" s="12"/>
      <c r="G634" s="8"/>
    </row>
    <row r="635">
      <c r="A635" s="12"/>
      <c r="G635" s="8"/>
    </row>
    <row r="636">
      <c r="A636" s="12"/>
      <c r="G636" s="8"/>
    </row>
    <row r="637">
      <c r="A637" s="12"/>
      <c r="G637" s="8"/>
    </row>
    <row r="638">
      <c r="A638" s="12"/>
      <c r="G638" s="8"/>
    </row>
    <row r="639">
      <c r="A639" s="12"/>
      <c r="G639" s="8"/>
    </row>
    <row r="640">
      <c r="A640" s="12"/>
      <c r="G640" s="8"/>
    </row>
    <row r="641">
      <c r="A641" s="12"/>
      <c r="G641" s="8"/>
    </row>
    <row r="642">
      <c r="A642" s="12"/>
      <c r="G642" s="8"/>
    </row>
    <row r="643">
      <c r="A643" s="12"/>
      <c r="G643" s="8"/>
    </row>
    <row r="644">
      <c r="A644" s="12"/>
      <c r="G644" s="8"/>
    </row>
    <row r="645">
      <c r="A645" s="12"/>
      <c r="G645" s="8"/>
    </row>
    <row r="646">
      <c r="A646" s="12"/>
      <c r="G646" s="8"/>
    </row>
    <row r="647">
      <c r="A647" s="12"/>
      <c r="G647" s="8"/>
    </row>
    <row r="648">
      <c r="A648" s="12"/>
      <c r="G648" s="8"/>
    </row>
    <row r="649">
      <c r="A649" s="12"/>
      <c r="G649" s="8"/>
    </row>
    <row r="650">
      <c r="A650" s="12"/>
      <c r="G650" s="8"/>
    </row>
    <row r="651">
      <c r="A651" s="12"/>
      <c r="G651" s="8"/>
    </row>
    <row r="652">
      <c r="A652" s="12"/>
      <c r="G652" s="8"/>
    </row>
    <row r="653">
      <c r="A653" s="12"/>
      <c r="G653" s="8"/>
    </row>
    <row r="654">
      <c r="A654" s="12"/>
      <c r="G654" s="8"/>
    </row>
    <row r="655">
      <c r="A655" s="12"/>
      <c r="G655" s="8"/>
    </row>
    <row r="656">
      <c r="A656" s="12"/>
      <c r="G656" s="8"/>
    </row>
    <row r="657">
      <c r="A657" s="12"/>
      <c r="G657" s="8"/>
    </row>
    <row r="658">
      <c r="A658" s="12"/>
      <c r="G658" s="8"/>
    </row>
    <row r="659">
      <c r="A659" s="12"/>
      <c r="G659" s="8"/>
    </row>
    <row r="660">
      <c r="A660" s="12"/>
      <c r="G660" s="8"/>
    </row>
    <row r="661">
      <c r="A661" s="12"/>
      <c r="G661" s="8"/>
    </row>
    <row r="662">
      <c r="A662" s="12"/>
      <c r="G662" s="8"/>
    </row>
    <row r="663">
      <c r="A663" s="12"/>
      <c r="G663" s="8"/>
    </row>
    <row r="664">
      <c r="A664" s="12"/>
      <c r="G664" s="8"/>
    </row>
    <row r="665">
      <c r="A665" s="12"/>
      <c r="G665" s="8"/>
    </row>
    <row r="666">
      <c r="A666" s="12"/>
      <c r="G666" s="8"/>
    </row>
    <row r="667">
      <c r="A667" s="12"/>
      <c r="G667" s="8"/>
    </row>
    <row r="668">
      <c r="A668" s="12"/>
      <c r="G668" s="8"/>
    </row>
    <row r="669">
      <c r="A669" s="12"/>
      <c r="G669" s="8"/>
    </row>
    <row r="670">
      <c r="A670" s="12"/>
      <c r="G670" s="8"/>
    </row>
    <row r="671">
      <c r="A671" s="12"/>
      <c r="G671" s="8"/>
    </row>
    <row r="672">
      <c r="A672" s="12"/>
      <c r="G672" s="8"/>
    </row>
    <row r="673">
      <c r="A673" s="12"/>
      <c r="G673" s="8"/>
    </row>
    <row r="674">
      <c r="A674" s="12"/>
      <c r="G674" s="8"/>
    </row>
    <row r="675">
      <c r="A675" s="12"/>
      <c r="G675" s="8"/>
    </row>
    <row r="676">
      <c r="A676" s="12"/>
      <c r="G676" s="8"/>
    </row>
    <row r="677">
      <c r="A677" s="12"/>
      <c r="G677" s="8"/>
    </row>
    <row r="678">
      <c r="A678" s="12"/>
      <c r="G678" s="8"/>
    </row>
    <row r="679">
      <c r="A679" s="12"/>
      <c r="G679" s="8"/>
    </row>
    <row r="680">
      <c r="A680" s="12"/>
      <c r="G680" s="8"/>
    </row>
    <row r="681">
      <c r="A681" s="12"/>
      <c r="G681" s="8"/>
    </row>
    <row r="682">
      <c r="A682" s="12"/>
      <c r="G682" s="8"/>
    </row>
    <row r="683">
      <c r="A683" s="12"/>
      <c r="G683" s="8"/>
    </row>
    <row r="684">
      <c r="A684" s="12"/>
      <c r="G684" s="8"/>
    </row>
    <row r="685">
      <c r="A685" s="12"/>
      <c r="G685" s="8"/>
    </row>
    <row r="686">
      <c r="A686" s="12"/>
      <c r="G686" s="8"/>
    </row>
    <row r="687">
      <c r="A687" s="12"/>
      <c r="G687" s="8"/>
    </row>
    <row r="688">
      <c r="A688" s="12"/>
      <c r="G688" s="8"/>
    </row>
    <row r="689">
      <c r="A689" s="12"/>
      <c r="G689" s="8"/>
    </row>
    <row r="690">
      <c r="A690" s="12"/>
      <c r="G690" s="8"/>
    </row>
    <row r="691">
      <c r="A691" s="12"/>
      <c r="G691" s="8"/>
    </row>
    <row r="692">
      <c r="A692" s="12"/>
      <c r="G692" s="8"/>
    </row>
    <row r="693">
      <c r="A693" s="12"/>
      <c r="G693" s="8"/>
    </row>
    <row r="694">
      <c r="A694" s="12"/>
      <c r="G694" s="8"/>
    </row>
    <row r="695">
      <c r="A695" s="12"/>
      <c r="G695" s="8"/>
    </row>
    <row r="696">
      <c r="A696" s="12"/>
      <c r="G696" s="8"/>
    </row>
    <row r="697">
      <c r="A697" s="12"/>
      <c r="G697" s="8"/>
    </row>
    <row r="698">
      <c r="A698" s="12"/>
      <c r="G698" s="8"/>
    </row>
    <row r="699">
      <c r="A699" s="12"/>
      <c r="G699" s="8"/>
    </row>
    <row r="700">
      <c r="A700" s="12"/>
      <c r="G700" s="8"/>
    </row>
    <row r="701">
      <c r="A701" s="12"/>
      <c r="G701" s="8"/>
    </row>
    <row r="702">
      <c r="A702" s="12"/>
      <c r="G702" s="8"/>
    </row>
    <row r="703">
      <c r="A703" s="12"/>
      <c r="G703" s="8"/>
    </row>
    <row r="704">
      <c r="A704" s="12"/>
      <c r="G704" s="8"/>
    </row>
    <row r="705">
      <c r="A705" s="12"/>
      <c r="G705" s="8"/>
    </row>
    <row r="706">
      <c r="A706" s="12"/>
      <c r="G706" s="8"/>
    </row>
    <row r="707">
      <c r="A707" s="12"/>
      <c r="G707" s="8"/>
    </row>
    <row r="708">
      <c r="A708" s="12"/>
      <c r="G708" s="8"/>
    </row>
    <row r="709">
      <c r="A709" s="12"/>
      <c r="G709" s="8"/>
    </row>
    <row r="710">
      <c r="A710" s="12"/>
      <c r="G710" s="8"/>
    </row>
    <row r="711">
      <c r="A711" s="12"/>
      <c r="G711" s="8"/>
    </row>
    <row r="712">
      <c r="A712" s="12"/>
      <c r="G712" s="8"/>
    </row>
    <row r="713">
      <c r="A713" s="12"/>
      <c r="G713" s="8"/>
    </row>
    <row r="714">
      <c r="A714" s="12"/>
      <c r="G714" s="8"/>
    </row>
    <row r="715">
      <c r="A715" s="12"/>
      <c r="G715" s="8"/>
    </row>
    <row r="716">
      <c r="A716" s="12"/>
      <c r="G716" s="8"/>
    </row>
    <row r="717">
      <c r="A717" s="12"/>
      <c r="G717" s="8"/>
    </row>
    <row r="718">
      <c r="A718" s="12"/>
      <c r="G718" s="8"/>
    </row>
    <row r="719">
      <c r="A719" s="12"/>
      <c r="G719" s="8"/>
    </row>
    <row r="720">
      <c r="A720" s="12"/>
      <c r="G720" s="8"/>
    </row>
    <row r="721">
      <c r="A721" s="12"/>
      <c r="G721" s="8"/>
    </row>
    <row r="722">
      <c r="A722" s="12"/>
      <c r="G722" s="8"/>
    </row>
    <row r="723">
      <c r="A723" s="12"/>
      <c r="G723" s="8"/>
    </row>
    <row r="724">
      <c r="A724" s="12"/>
      <c r="G724" s="8"/>
    </row>
    <row r="725">
      <c r="A725" s="12"/>
      <c r="G725" s="8"/>
    </row>
    <row r="726">
      <c r="A726" s="12"/>
      <c r="G726" s="8"/>
    </row>
    <row r="727">
      <c r="A727" s="12"/>
      <c r="G727" s="8"/>
    </row>
    <row r="728">
      <c r="A728" s="12"/>
      <c r="G728" s="8"/>
    </row>
    <row r="729">
      <c r="A729" s="12"/>
      <c r="G729" s="8"/>
    </row>
    <row r="730">
      <c r="A730" s="12"/>
      <c r="G730" s="8"/>
    </row>
    <row r="731">
      <c r="A731" s="12"/>
      <c r="G731" s="8"/>
    </row>
    <row r="732">
      <c r="A732" s="12"/>
      <c r="G732" s="8"/>
    </row>
    <row r="733">
      <c r="A733" s="12"/>
      <c r="G733" s="8"/>
    </row>
    <row r="734">
      <c r="A734" s="12"/>
      <c r="G734" s="8"/>
    </row>
    <row r="735">
      <c r="A735" s="12"/>
      <c r="G735" s="8"/>
    </row>
    <row r="736">
      <c r="A736" s="12"/>
      <c r="G736" s="8"/>
    </row>
    <row r="737">
      <c r="A737" s="12"/>
      <c r="G737" s="8"/>
    </row>
    <row r="738">
      <c r="A738" s="12"/>
      <c r="G738" s="8"/>
    </row>
    <row r="739">
      <c r="A739" s="12"/>
      <c r="G739" s="8"/>
    </row>
    <row r="740">
      <c r="A740" s="12"/>
      <c r="G740" s="8"/>
    </row>
    <row r="741">
      <c r="A741" s="12"/>
      <c r="G741" s="8"/>
    </row>
    <row r="742">
      <c r="A742" s="12"/>
      <c r="G742" s="8"/>
    </row>
    <row r="743">
      <c r="A743" s="12"/>
      <c r="G743" s="8"/>
    </row>
    <row r="744">
      <c r="A744" s="12"/>
      <c r="G744" s="8"/>
    </row>
    <row r="745">
      <c r="A745" s="12"/>
      <c r="G745" s="8"/>
    </row>
    <row r="746">
      <c r="A746" s="12"/>
      <c r="G746" s="8"/>
    </row>
    <row r="747">
      <c r="A747" s="12"/>
      <c r="G747" s="8"/>
    </row>
    <row r="748">
      <c r="A748" s="12"/>
      <c r="G748" s="8"/>
    </row>
    <row r="749">
      <c r="A749" s="12"/>
      <c r="G749" s="8"/>
    </row>
    <row r="750">
      <c r="A750" s="12"/>
      <c r="G750" s="8"/>
    </row>
    <row r="751">
      <c r="A751" s="12"/>
      <c r="G751" s="8"/>
    </row>
    <row r="752">
      <c r="A752" s="12"/>
      <c r="G752" s="8"/>
    </row>
    <row r="753">
      <c r="A753" s="12"/>
      <c r="G753" s="8"/>
    </row>
    <row r="754">
      <c r="A754" s="12"/>
      <c r="G754" s="8"/>
    </row>
    <row r="755">
      <c r="A755" s="12"/>
      <c r="G755" s="8"/>
    </row>
    <row r="756">
      <c r="A756" s="12"/>
      <c r="G756" s="8"/>
    </row>
    <row r="757">
      <c r="A757" s="12"/>
      <c r="G757" s="8"/>
    </row>
    <row r="758">
      <c r="A758" s="12"/>
      <c r="G758" s="8"/>
    </row>
    <row r="759">
      <c r="A759" s="12"/>
      <c r="G759" s="8"/>
    </row>
    <row r="760">
      <c r="A760" s="12"/>
      <c r="G760" s="8"/>
    </row>
    <row r="761">
      <c r="A761" s="12"/>
      <c r="G761" s="8"/>
    </row>
    <row r="762">
      <c r="A762" s="12"/>
      <c r="G762" s="8"/>
    </row>
    <row r="763">
      <c r="A763" s="12"/>
      <c r="G763" s="8"/>
    </row>
    <row r="764">
      <c r="A764" s="12"/>
      <c r="G764" s="8"/>
    </row>
    <row r="765">
      <c r="A765" s="12"/>
      <c r="G765" s="8"/>
    </row>
    <row r="766">
      <c r="A766" s="12"/>
      <c r="G766" s="8"/>
    </row>
    <row r="767">
      <c r="A767" s="12"/>
      <c r="G767" s="8"/>
    </row>
    <row r="768">
      <c r="A768" s="12"/>
      <c r="G768" s="8"/>
    </row>
    <row r="769">
      <c r="A769" s="12"/>
      <c r="G769" s="8"/>
    </row>
    <row r="770">
      <c r="A770" s="12"/>
      <c r="G770" s="8"/>
    </row>
    <row r="771">
      <c r="A771" s="12"/>
      <c r="G771" s="8"/>
    </row>
    <row r="772">
      <c r="A772" s="12"/>
      <c r="G772" s="8"/>
    </row>
    <row r="773">
      <c r="A773" s="12"/>
      <c r="G773" s="8"/>
    </row>
    <row r="774">
      <c r="A774" s="12"/>
      <c r="G774" s="8"/>
    </row>
    <row r="775">
      <c r="A775" s="12"/>
      <c r="G775" s="8"/>
    </row>
    <row r="776">
      <c r="A776" s="12"/>
      <c r="G776" s="8"/>
    </row>
    <row r="777">
      <c r="A777" s="12"/>
      <c r="G777" s="8"/>
    </row>
    <row r="778">
      <c r="A778" s="12"/>
      <c r="G778" s="8"/>
    </row>
    <row r="779">
      <c r="A779" s="12"/>
      <c r="G779" s="8"/>
    </row>
    <row r="780">
      <c r="A780" s="12"/>
      <c r="G780" s="8"/>
    </row>
    <row r="781">
      <c r="A781" s="12"/>
      <c r="G781" s="8"/>
    </row>
    <row r="782">
      <c r="A782" s="12"/>
      <c r="G782" s="8"/>
    </row>
    <row r="783">
      <c r="A783" s="12"/>
      <c r="G783" s="8"/>
    </row>
    <row r="784">
      <c r="A784" s="12"/>
      <c r="G784" s="8"/>
    </row>
    <row r="785">
      <c r="A785" s="12"/>
      <c r="G785" s="8"/>
    </row>
    <row r="786">
      <c r="A786" s="12"/>
      <c r="G786" s="8"/>
    </row>
    <row r="787">
      <c r="A787" s="12"/>
      <c r="G787" s="8"/>
    </row>
    <row r="788">
      <c r="A788" s="12"/>
      <c r="G788" s="8"/>
    </row>
    <row r="789">
      <c r="A789" s="12"/>
      <c r="G789" s="8"/>
    </row>
    <row r="790">
      <c r="A790" s="12"/>
      <c r="G790" s="8"/>
    </row>
    <row r="791">
      <c r="A791" s="12"/>
      <c r="G791" s="8"/>
    </row>
    <row r="792">
      <c r="A792" s="12"/>
      <c r="G792" s="8"/>
    </row>
    <row r="793">
      <c r="A793" s="12"/>
      <c r="G793" s="8"/>
    </row>
    <row r="794">
      <c r="A794" s="12"/>
      <c r="G794" s="8"/>
    </row>
    <row r="795">
      <c r="A795" s="12"/>
      <c r="G795" s="8"/>
    </row>
    <row r="796">
      <c r="A796" s="12"/>
      <c r="G796" s="8"/>
    </row>
    <row r="797">
      <c r="A797" s="12"/>
      <c r="G797" s="8"/>
    </row>
    <row r="798">
      <c r="A798" s="12"/>
      <c r="G798" s="8"/>
    </row>
    <row r="799">
      <c r="A799" s="12"/>
      <c r="G799" s="8"/>
    </row>
    <row r="800">
      <c r="A800" s="12"/>
      <c r="G800" s="8"/>
    </row>
    <row r="801">
      <c r="A801" s="12"/>
      <c r="G801" s="8"/>
    </row>
    <row r="802">
      <c r="A802" s="12"/>
      <c r="G802" s="8"/>
    </row>
    <row r="803">
      <c r="A803" s="12"/>
      <c r="G803" s="8"/>
    </row>
    <row r="804">
      <c r="A804" s="12"/>
      <c r="G804" s="8"/>
    </row>
    <row r="805">
      <c r="A805" s="12"/>
      <c r="G805" s="8"/>
    </row>
    <row r="806">
      <c r="A806" s="12"/>
      <c r="G806" s="8"/>
    </row>
    <row r="807">
      <c r="A807" s="12"/>
      <c r="G807" s="8"/>
    </row>
    <row r="808">
      <c r="A808" s="12"/>
      <c r="G808" s="8"/>
    </row>
    <row r="809">
      <c r="A809" s="12"/>
      <c r="G809" s="8"/>
    </row>
    <row r="810">
      <c r="A810" s="12"/>
      <c r="G810" s="8"/>
    </row>
    <row r="811">
      <c r="A811" s="12"/>
      <c r="G811" s="8"/>
    </row>
    <row r="812">
      <c r="A812" s="12"/>
      <c r="G812" s="8"/>
    </row>
    <row r="813">
      <c r="A813" s="12"/>
      <c r="G813" s="8"/>
    </row>
    <row r="814">
      <c r="A814" s="12"/>
      <c r="G814" s="8"/>
    </row>
    <row r="815">
      <c r="A815" s="12"/>
      <c r="G815" s="8"/>
    </row>
    <row r="816">
      <c r="A816" s="12"/>
      <c r="G816" s="8"/>
    </row>
    <row r="817">
      <c r="A817" s="12"/>
      <c r="G817" s="8"/>
    </row>
    <row r="818">
      <c r="A818" s="12"/>
      <c r="G818" s="8"/>
    </row>
    <row r="819">
      <c r="A819" s="12"/>
      <c r="G819" s="8"/>
    </row>
    <row r="820">
      <c r="A820" s="12"/>
      <c r="G820" s="8"/>
    </row>
    <row r="821">
      <c r="A821" s="12"/>
      <c r="G821" s="8"/>
    </row>
    <row r="822">
      <c r="A822" s="12"/>
      <c r="G822" s="8"/>
    </row>
    <row r="823">
      <c r="A823" s="12"/>
      <c r="G823" s="8"/>
    </row>
    <row r="824">
      <c r="A824" s="12"/>
      <c r="G824" s="8"/>
    </row>
    <row r="825">
      <c r="A825" s="12"/>
      <c r="G825" s="8"/>
    </row>
    <row r="826">
      <c r="A826" s="12"/>
      <c r="G826" s="8"/>
    </row>
    <row r="827">
      <c r="A827" s="12"/>
      <c r="G827" s="8"/>
    </row>
    <row r="828">
      <c r="A828" s="12"/>
      <c r="G828" s="8"/>
    </row>
    <row r="829">
      <c r="A829" s="12"/>
      <c r="G829" s="8"/>
    </row>
    <row r="830">
      <c r="A830" s="12"/>
      <c r="G830" s="8"/>
    </row>
    <row r="831">
      <c r="A831" s="12"/>
      <c r="G831" s="8"/>
    </row>
    <row r="832">
      <c r="A832" s="12"/>
      <c r="G832" s="8"/>
    </row>
    <row r="833">
      <c r="A833" s="12"/>
      <c r="G833" s="8"/>
    </row>
    <row r="834">
      <c r="A834" s="12"/>
      <c r="G834" s="8"/>
    </row>
    <row r="835">
      <c r="A835" s="12"/>
      <c r="G835" s="8"/>
    </row>
    <row r="836">
      <c r="A836" s="12"/>
      <c r="G836" s="8"/>
    </row>
    <row r="837">
      <c r="A837" s="12"/>
      <c r="G837" s="8"/>
    </row>
    <row r="838">
      <c r="A838" s="12"/>
      <c r="G838" s="8"/>
    </row>
    <row r="839">
      <c r="A839" s="12"/>
      <c r="G839" s="8"/>
    </row>
    <row r="840">
      <c r="A840" s="12"/>
      <c r="G840" s="8"/>
    </row>
    <row r="841">
      <c r="A841" s="12"/>
      <c r="G841" s="8"/>
    </row>
    <row r="842">
      <c r="A842" s="12"/>
      <c r="G842" s="8"/>
    </row>
    <row r="843">
      <c r="A843" s="12"/>
      <c r="G843" s="8"/>
    </row>
    <row r="844">
      <c r="A844" s="12"/>
      <c r="G844" s="8"/>
    </row>
    <row r="845">
      <c r="A845" s="12"/>
      <c r="G845" s="8"/>
    </row>
    <row r="846">
      <c r="A846" s="12"/>
      <c r="G846" s="8"/>
    </row>
    <row r="847">
      <c r="A847" s="12"/>
      <c r="G847" s="8"/>
    </row>
    <row r="848">
      <c r="A848" s="12"/>
      <c r="G848" s="8"/>
    </row>
    <row r="849">
      <c r="A849" s="12"/>
      <c r="G849" s="8"/>
    </row>
    <row r="850">
      <c r="A850" s="12"/>
      <c r="G850" s="8"/>
    </row>
    <row r="851">
      <c r="A851" s="12"/>
      <c r="G851" s="8"/>
    </row>
    <row r="852">
      <c r="A852" s="12"/>
      <c r="G852" s="8"/>
    </row>
    <row r="853">
      <c r="A853" s="12"/>
      <c r="G853" s="8"/>
    </row>
    <row r="854">
      <c r="A854" s="12"/>
      <c r="G854" s="8"/>
    </row>
    <row r="855">
      <c r="A855" s="12"/>
      <c r="G855" s="8"/>
    </row>
    <row r="856">
      <c r="A856" s="12"/>
      <c r="G856" s="8"/>
    </row>
    <row r="857">
      <c r="A857" s="12"/>
      <c r="G857" s="8"/>
    </row>
    <row r="858">
      <c r="A858" s="12"/>
      <c r="G858" s="8"/>
    </row>
    <row r="859">
      <c r="A859" s="12"/>
      <c r="G859" s="8"/>
    </row>
    <row r="860">
      <c r="A860" s="12"/>
      <c r="G860" s="8"/>
    </row>
    <row r="861">
      <c r="A861" s="12"/>
      <c r="G861" s="8"/>
    </row>
    <row r="862">
      <c r="A862" s="12"/>
      <c r="G862" s="8"/>
    </row>
    <row r="863">
      <c r="A863" s="12"/>
      <c r="G863" s="8"/>
    </row>
    <row r="864">
      <c r="A864" s="12"/>
      <c r="G864" s="8"/>
    </row>
    <row r="865">
      <c r="A865" s="12"/>
      <c r="G865" s="8"/>
    </row>
    <row r="866">
      <c r="A866" s="12"/>
      <c r="G866" s="8"/>
    </row>
    <row r="867">
      <c r="A867" s="12"/>
      <c r="G867" s="8"/>
    </row>
    <row r="868">
      <c r="A868" s="12"/>
      <c r="G868" s="8"/>
    </row>
    <row r="869">
      <c r="A869" s="12"/>
      <c r="G869" s="8"/>
    </row>
    <row r="870">
      <c r="A870" s="12"/>
      <c r="G870" s="8"/>
    </row>
    <row r="871">
      <c r="A871" s="12"/>
      <c r="G871" s="8"/>
    </row>
    <row r="872">
      <c r="A872" s="12"/>
      <c r="G872" s="8"/>
    </row>
    <row r="873">
      <c r="A873" s="12"/>
      <c r="G873" s="8"/>
    </row>
    <row r="874">
      <c r="A874" s="12"/>
      <c r="G874" s="8"/>
    </row>
    <row r="875">
      <c r="A875" s="12"/>
      <c r="G875" s="8"/>
    </row>
    <row r="876">
      <c r="A876" s="12"/>
      <c r="G876" s="8"/>
    </row>
    <row r="877">
      <c r="A877" s="12"/>
      <c r="G877" s="8"/>
    </row>
    <row r="878">
      <c r="A878" s="12"/>
      <c r="G878" s="8"/>
    </row>
    <row r="879">
      <c r="A879" s="12"/>
      <c r="G879" s="8"/>
    </row>
    <row r="880">
      <c r="A880" s="12"/>
      <c r="G880" s="8"/>
    </row>
    <row r="881">
      <c r="A881" s="12"/>
      <c r="G881" s="8"/>
    </row>
    <row r="882">
      <c r="A882" s="12"/>
      <c r="G882" s="8"/>
    </row>
    <row r="883">
      <c r="A883" s="12"/>
      <c r="G883" s="8"/>
    </row>
    <row r="884">
      <c r="A884" s="12"/>
      <c r="G884" s="8"/>
    </row>
    <row r="885">
      <c r="A885" s="12"/>
      <c r="G885" s="8"/>
    </row>
    <row r="886">
      <c r="A886" s="12"/>
      <c r="G886" s="8"/>
    </row>
    <row r="887">
      <c r="A887" s="12"/>
      <c r="G887" s="8"/>
    </row>
    <row r="888">
      <c r="A888" s="12"/>
      <c r="G888" s="8"/>
    </row>
    <row r="889">
      <c r="A889" s="12"/>
      <c r="G889" s="8"/>
    </row>
    <row r="890">
      <c r="A890" s="12"/>
      <c r="G890" s="8"/>
    </row>
    <row r="891">
      <c r="A891" s="12"/>
      <c r="G891" s="8"/>
    </row>
    <row r="892">
      <c r="A892" s="12"/>
      <c r="G892" s="8"/>
    </row>
    <row r="893">
      <c r="A893" s="12"/>
      <c r="G893" s="8"/>
    </row>
    <row r="894">
      <c r="A894" s="12"/>
      <c r="G894" s="8"/>
    </row>
    <row r="895">
      <c r="A895" s="12"/>
      <c r="G895" s="8"/>
    </row>
    <row r="896">
      <c r="A896" s="12"/>
      <c r="G896" s="8"/>
    </row>
    <row r="897">
      <c r="A897" s="12"/>
      <c r="G897" s="8"/>
    </row>
    <row r="898">
      <c r="A898" s="12"/>
      <c r="G898" s="8"/>
    </row>
    <row r="899">
      <c r="A899" s="12"/>
      <c r="G899" s="8"/>
    </row>
    <row r="900">
      <c r="A900" s="12"/>
      <c r="G900" s="8"/>
    </row>
    <row r="901">
      <c r="A901" s="12"/>
      <c r="G901" s="8"/>
    </row>
    <row r="902">
      <c r="A902" s="12"/>
      <c r="G902" s="8"/>
    </row>
    <row r="903">
      <c r="A903" s="12"/>
      <c r="G903" s="8"/>
    </row>
    <row r="904">
      <c r="A904" s="12"/>
      <c r="G904" s="8"/>
    </row>
    <row r="905">
      <c r="A905" s="12"/>
      <c r="G905" s="8"/>
    </row>
    <row r="906">
      <c r="A906" s="12"/>
      <c r="G906" s="8"/>
    </row>
    <row r="907">
      <c r="A907" s="12"/>
      <c r="G907" s="8"/>
    </row>
    <row r="908">
      <c r="A908" s="12"/>
      <c r="G908" s="8"/>
    </row>
    <row r="909">
      <c r="A909" s="12"/>
      <c r="G909" s="8"/>
    </row>
    <row r="910">
      <c r="A910" s="12"/>
      <c r="G910" s="8"/>
    </row>
    <row r="911">
      <c r="A911" s="12"/>
      <c r="G911" s="8"/>
    </row>
  </sheetData>
  <autoFilter ref="$A$2:$M$630">
    <filterColumn colId="1">
      <filters>
        <filter val="ALEX"/>
        <filter val="MARIBETH"/>
        <filter val="SYLBUNNY"/>
        <filter val="RUSBELL"/>
        <filter val="ANTHONY"/>
        <filter val="HYUNX"/>
        <filter val="ENANOFURTIVO"/>
        <filter val="DANIELMILLAR"/>
        <filter val="MOISES"/>
        <filter val="ZZZ"/>
        <filter val="JERXUX"/>
        <filter val="CHRISTIAN"/>
        <filter val="NADIA.NNUSER"/>
        <filter val="JUAN GABRIEL"/>
        <filter val="AARON"/>
        <filter val="HEYSON"/>
        <filter val="ROCKLIFE"/>
        <filter val="LUIS NOSE"/>
        <filter val="DORIAN"/>
        <filter val="LOR"/>
        <filter val="MOISES CRUZ"/>
        <filter val="PABLO"/>
        <filter val="MILA"/>
        <filter val="JUMROCK"/>
        <filter val="TATSUMAKI"/>
        <filter val="JAZZSAM"/>
        <filter val="A"/>
        <filter val="MEGAN"/>
        <filter val="NATH"/>
        <filter val="NICO"/>
        <filter val="HUGO CUBAS"/>
        <filter val="JOSU"/>
        <filter val="KEYDI"/>
        <filter val="FLO"/>
        <filter val="KIRBY"/>
        <filter val="DILVER CABRERA"/>
        <filter val="YOHAN.PE"/>
        <filter val="KIARA"/>
        <filter val="JEAN MIKU NOVIA"/>
        <filter val="PANN"/>
        <filter val="MISAKI"/>
        <filter val="LASSZEPHIRUM"/>
        <filter val="ANATSUKA"/>
        <filter val="ELDRIE"/>
        <filter val="BRYAN SHATUR"/>
        <filter val="RUSSBEL LIVES"/>
        <filter val="SATU"/>
        <filter val="TUTTO"/>
        <filter val="XDWQRF"/>
        <filter val="DANIEL.CH58"/>
        <filter val="MOAH"/>
        <filter val="ANTONELLA R"/>
        <filter val="OSCAR RAMIREZ"/>
        <filter val="KAEL BERTEA"/>
        <filter val="SANDRA G"/>
        <filter val="BET"/>
        <filter val="ALPHONSE"/>
        <filter val="JOSA"/>
        <filter val="DIXON"/>
        <filter val="KANDY"/>
        <filter val="RAPSOR"/>
        <filter val="DEYNA"/>
        <filter val="JOSE"/>
        <filter val="EDSON_P_R"/>
        <filter val="DEADCRY"/>
        <filter val="UKU"/>
        <filter val="DIEWELLINTONG"/>
        <filter val="SHECHUAN"/>
        <filter val="MISAEL"/>
        <filter val="RUSSBELL"/>
        <filter val="JEAN FERNANDEZ"/>
        <filter val="LENYN"/>
        <filter val="MANGUITO"/>
        <filter val="ADRIAN"/>
        <filter val="MARTIN ORDOÑEZ"/>
        <filter val="JOSUE"/>
        <filter val="JEAN"/>
        <filter val="SPEED"/>
        <filter val="ANDRE"/>
        <filter val="KIYO900"/>
        <filter val="DAIKAKU"/>
        <filter val="HUGO"/>
        <filter val="JORGEPEDRO"/>
        <filter val="JUANITO"/>
        <filter val="SK34"/>
        <filter val="JORGER"/>
        <filter val="MICHAEL"/>
        <filter val="REYI"/>
        <filter val="ROD"/>
        <filter val="SUSAN"/>
        <filter val="DIEGO"/>
        <filter val="IMCJ"/>
        <filter val="OBITO"/>
        <filter val="AYISITA"/>
        <filter val="MARTIN LOYOLA"/>
        <filter val="NAMI"/>
        <filter val="CAMCAM"/>
        <filter val="ANDERSONANTICONA"/>
        <filter val="ALEXGP"/>
        <filter val="EDSON_G_T"/>
        <filter val="DANNY JOAO"/>
        <filter val="LAMY"/>
        <filter val="ALEXUS29"/>
        <filter val="RICOCAN"/>
        <filter val="DANIEL MILLA"/>
        <filter val="VIVINET"/>
        <filter val="DAVIDTREM"/>
        <filter val="ANTHONY ALVARO"/>
        <filter val="GABRI"/>
        <filter val="GEORGIE"/>
        <filter val="CHRISTIAN PINEDA"/>
        <filter val="MXBXLL"/>
        <filter val="ARIAN"/>
        <filter val="XDWGRF"/>
        <filter val="DARWIN"/>
        <filter val="GATUNO GUNDAM"/>
        <filter val="MELISSA"/>
        <filter val="ALI PALACIOS"/>
        <filter val="CHISTIAN PINEDO"/>
        <filter val="WONEJO"/>
        <filter val="ARIANA"/>
        <filter val="NAGI"/>
        <filter val="RICHARD"/>
        <filter val="LESLY1108"/>
      </filters>
    </filterColumn>
    <filterColumn colId="8">
      <filters>
        <filter val="FALSE"/>
      </filters>
    </filterColumn>
    <filterColumn colId="3">
      <filters>
        <filter val="DICIEMBRE"/>
        <filter val="ABRIL"/>
        <filter val="MARZO"/>
        <filter val="FEBRERO"/>
        <filter val="ENERO"/>
        <filter val="MAYO"/>
        <filter val="STOCK"/>
      </filters>
    </filterColumn>
    <sortState ref="A2:M630">
      <sortCondition ref="D2:D630"/>
      <sortCondition ref="B2:B630"/>
      <sortCondition ref="A2:A630"/>
    </sortState>
  </autoFilter>
  <conditionalFormatting sqref="J1:J911">
    <cfRule type="cellIs" dxfId="21" priority="1" operator="equal">
      <formula>"PREVENTA"</formula>
    </cfRule>
  </conditionalFormatting>
  <conditionalFormatting sqref="E1:E608 E612:E911">
    <cfRule type="cellIs" dxfId="22" priority="2" operator="equal">
      <formula>0</formula>
    </cfRule>
  </conditionalFormatting>
  <conditionalFormatting sqref="K1:K911">
    <cfRule type="expression" dxfId="13" priority="3">
      <formula>AND(ISNUMBER(K1),TRUNC(K1)&lt;TODAY())</formula>
    </cfRule>
  </conditionalFormatting>
  <conditionalFormatting sqref="K1:K911">
    <cfRule type="expression" dxfId="14" priority="4">
      <formula>AND(ISNUMBER(K1),TRUNC(K1)&gt;TODAY())</formula>
    </cfRule>
  </conditionalFormatting>
  <conditionalFormatting sqref="K1:K911">
    <cfRule type="timePeriod" dxfId="15" priority="5" timePeriod="today"/>
  </conditionalFormatting>
  <conditionalFormatting sqref="G1:G5 G8:G100 G104:G106 G108:G130 G133:G234 G237:G381 G383:G386 G388 G393:G396 G403:G410 G413:G414 G417 G419:G580 G585:G911">
    <cfRule type="cellIs" dxfId="0" priority="6" operator="equal">
      <formula>0</formula>
    </cfRule>
  </conditionalFormatting>
  <conditionalFormatting sqref="K1:K911">
    <cfRule type="timePeriod" dxfId="15" priority="7" timePeriod="today"/>
  </conditionalFormatting>
  <conditionalFormatting sqref="H1:H911">
    <cfRule type="cellIs" dxfId="17" priority="8" operator="equal">
      <formula>0</formula>
    </cfRule>
  </conditionalFormatting>
  <conditionalFormatting sqref="L1:L911">
    <cfRule type="expression" dxfId="0" priority="9">
      <formula>AND(ISNUMBER(L1),TRUNC(L1)&lt;TODAY())</formula>
    </cfRule>
  </conditionalFormatting>
  <conditionalFormatting sqref="L1:L911">
    <cfRule type="expression" dxfId="18" priority="10">
      <formula>AND(ISNUMBER(L1),TRUNC(L1)&gt;TODAY())</formula>
    </cfRule>
  </conditionalFormatting>
  <conditionalFormatting sqref="L1:L911">
    <cfRule type="expression" dxfId="0" priority="11">
      <formula>AND(ISNUMBER(L1),TRUNC(L1)&lt;TODAY())</formula>
    </cfRule>
  </conditionalFormatting>
  <conditionalFormatting sqref="G1:G5 G8:G100 G104:G106 G108:G130 G133:G234 G237:G381 G383:G386 G388 G393:G396 G403:G410 G413:G414 G417 G419:G580 G585:G911">
    <cfRule type="containsBlanks" dxfId="20" priority="12">
      <formula>LEN(TRIM(G1))=0</formula>
    </cfRule>
  </conditionalFormatting>
  <conditionalFormatting sqref="J1:J911">
    <cfRule type="cellIs" dxfId="3" priority="13" operator="equal">
      <formula>"PENDIENTE"</formula>
    </cfRule>
  </conditionalFormatting>
  <hyperlinks>
    <hyperlink r:id="rId1" ref="B331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8.14"/>
    <col customWidth="1" min="12" max="12" width="17.86"/>
  </cols>
  <sheetData>
    <row r="1">
      <c r="A1" s="8" t="s">
        <v>147</v>
      </c>
      <c r="B1" s="8" t="s">
        <v>148</v>
      </c>
      <c r="C1" s="8" t="s">
        <v>75</v>
      </c>
      <c r="D1" s="2" t="s">
        <v>77</v>
      </c>
      <c r="E1" s="8" t="s">
        <v>149</v>
      </c>
      <c r="F1" s="8" t="s">
        <v>150</v>
      </c>
      <c r="G1" s="8" t="s">
        <v>151</v>
      </c>
    </row>
    <row r="2">
      <c r="A2" s="2" t="s">
        <v>1110</v>
      </c>
    </row>
    <row r="3">
      <c r="A3" s="2" t="s">
        <v>743</v>
      </c>
      <c r="B3" s="2" t="s">
        <v>1378</v>
      </c>
      <c r="C3" s="2" t="s">
        <v>131</v>
      </c>
      <c r="D3" s="2">
        <v>417.0</v>
      </c>
      <c r="E3" s="2">
        <v>60.0</v>
      </c>
      <c r="F3" s="2">
        <v>10.0</v>
      </c>
      <c r="G3" s="8">
        <f t="shared" ref="G3:G24" si="1">E3-F3</f>
        <v>50</v>
      </c>
    </row>
    <row r="4">
      <c r="A4" s="2" t="s">
        <v>754</v>
      </c>
      <c r="B4" s="2" t="s">
        <v>814</v>
      </c>
      <c r="C4" s="2" t="s">
        <v>131</v>
      </c>
      <c r="D4" s="2">
        <v>433.0</v>
      </c>
      <c r="E4" s="2">
        <v>70.0</v>
      </c>
      <c r="F4" s="2">
        <v>10.0</v>
      </c>
      <c r="G4" s="8">
        <f t="shared" si="1"/>
        <v>60</v>
      </c>
    </row>
    <row r="5">
      <c r="A5" s="2" t="s">
        <v>754</v>
      </c>
      <c r="B5" s="2" t="s">
        <v>815</v>
      </c>
      <c r="C5" s="2" t="s">
        <v>131</v>
      </c>
      <c r="D5" s="2">
        <v>442.0</v>
      </c>
      <c r="E5" s="2">
        <v>75.0</v>
      </c>
      <c r="F5" s="2">
        <v>10.0</v>
      </c>
      <c r="G5" s="8">
        <f t="shared" si="1"/>
        <v>65</v>
      </c>
    </row>
    <row r="6">
      <c r="A6" s="2" t="s">
        <v>754</v>
      </c>
      <c r="B6" s="2" t="s">
        <v>816</v>
      </c>
      <c r="C6" s="2" t="s">
        <v>131</v>
      </c>
      <c r="D6" s="2">
        <v>426.0</v>
      </c>
      <c r="E6" s="2">
        <v>40.0</v>
      </c>
      <c r="F6" s="2">
        <v>0.0</v>
      </c>
      <c r="G6" s="8">
        <f t="shared" si="1"/>
        <v>40</v>
      </c>
    </row>
    <row r="7">
      <c r="A7" s="2" t="s">
        <v>754</v>
      </c>
      <c r="B7" s="2" t="s">
        <v>817</v>
      </c>
      <c r="C7" s="2" t="s">
        <v>136</v>
      </c>
      <c r="D7" s="2">
        <v>520.0</v>
      </c>
      <c r="E7" s="2">
        <v>95.0</v>
      </c>
      <c r="F7" s="2">
        <v>0.0</v>
      </c>
      <c r="G7" s="8">
        <f t="shared" si="1"/>
        <v>95</v>
      </c>
    </row>
    <row r="8">
      <c r="A8" s="2" t="s">
        <v>754</v>
      </c>
      <c r="B8" s="2" t="s">
        <v>832</v>
      </c>
      <c r="C8" s="2" t="s">
        <v>136</v>
      </c>
      <c r="D8" s="2">
        <v>530.0</v>
      </c>
      <c r="E8" s="2">
        <v>80.0</v>
      </c>
      <c r="F8" s="2">
        <v>0.0</v>
      </c>
      <c r="G8" s="8">
        <f t="shared" si="1"/>
        <v>80</v>
      </c>
    </row>
    <row r="9">
      <c r="A9" s="2" t="s">
        <v>754</v>
      </c>
      <c r="B9" s="2" t="s">
        <v>838</v>
      </c>
      <c r="C9" s="2" t="s">
        <v>136</v>
      </c>
      <c r="D9" s="2" t="s">
        <v>839</v>
      </c>
      <c r="E9" s="2">
        <v>55.0</v>
      </c>
      <c r="F9" s="2">
        <v>0.0</v>
      </c>
      <c r="G9" s="8">
        <f t="shared" si="1"/>
        <v>55</v>
      </c>
    </row>
    <row r="10">
      <c r="A10" s="2" t="s">
        <v>754</v>
      </c>
      <c r="B10" s="2" t="s">
        <v>863</v>
      </c>
      <c r="C10" s="2" t="s">
        <v>136</v>
      </c>
      <c r="D10" s="2" t="s">
        <v>839</v>
      </c>
      <c r="E10" s="259">
        <v>80.0</v>
      </c>
      <c r="F10" s="2">
        <v>0.0</v>
      </c>
      <c r="G10" s="8">
        <f t="shared" si="1"/>
        <v>80</v>
      </c>
    </row>
    <row r="11">
      <c r="A11" s="2" t="s">
        <v>754</v>
      </c>
      <c r="B11" s="2" t="s">
        <v>864</v>
      </c>
      <c r="C11" s="2" t="s">
        <v>136</v>
      </c>
      <c r="D11" s="2" t="s">
        <v>839</v>
      </c>
      <c r="E11" s="2">
        <v>40.0</v>
      </c>
      <c r="F11" s="2">
        <v>0.0</v>
      </c>
      <c r="G11" s="8">
        <f t="shared" si="1"/>
        <v>40</v>
      </c>
    </row>
    <row r="12">
      <c r="A12" s="2" t="s">
        <v>754</v>
      </c>
      <c r="B12" s="2" t="s">
        <v>865</v>
      </c>
      <c r="C12" s="2" t="s">
        <v>136</v>
      </c>
      <c r="D12" s="2">
        <v>539.0</v>
      </c>
      <c r="E12" s="2">
        <v>45.0</v>
      </c>
      <c r="F12" s="2">
        <v>0.0</v>
      </c>
      <c r="G12" s="8">
        <f t="shared" si="1"/>
        <v>45</v>
      </c>
    </row>
    <row r="13">
      <c r="A13" s="2" t="s">
        <v>754</v>
      </c>
      <c r="B13" s="2" t="s">
        <v>866</v>
      </c>
      <c r="C13" s="2" t="s">
        <v>136</v>
      </c>
      <c r="D13" s="2">
        <v>539.0</v>
      </c>
      <c r="E13" s="2">
        <v>40.0</v>
      </c>
      <c r="F13" s="2">
        <v>0.0</v>
      </c>
      <c r="G13" s="8">
        <f t="shared" si="1"/>
        <v>40</v>
      </c>
    </row>
    <row r="14">
      <c r="A14" s="2" t="s">
        <v>754</v>
      </c>
      <c r="B14" s="2" t="s">
        <v>867</v>
      </c>
      <c r="C14" s="2" t="s">
        <v>136</v>
      </c>
      <c r="D14" s="2">
        <v>535.0</v>
      </c>
      <c r="E14" s="2">
        <v>40.0</v>
      </c>
      <c r="F14" s="2">
        <v>0.0</v>
      </c>
      <c r="G14" s="8">
        <f t="shared" si="1"/>
        <v>40</v>
      </c>
    </row>
    <row r="15">
      <c r="A15" s="2" t="s">
        <v>754</v>
      </c>
      <c r="B15" s="2" t="s">
        <v>755</v>
      </c>
      <c r="C15" s="2" t="s">
        <v>135</v>
      </c>
      <c r="D15" s="2">
        <v>473.0</v>
      </c>
      <c r="E15" s="2">
        <v>40.0</v>
      </c>
      <c r="F15" s="2">
        <v>0.0</v>
      </c>
      <c r="G15" s="8">
        <f t="shared" si="1"/>
        <v>40</v>
      </c>
    </row>
    <row r="16">
      <c r="A16" s="2" t="s">
        <v>754</v>
      </c>
      <c r="B16" s="2" t="s">
        <v>781</v>
      </c>
      <c r="C16" s="2" t="s">
        <v>135</v>
      </c>
      <c r="D16" s="2">
        <v>473.0</v>
      </c>
      <c r="E16" s="2">
        <v>35.0</v>
      </c>
      <c r="F16" s="2">
        <v>0.0</v>
      </c>
      <c r="G16" s="8">
        <f t="shared" si="1"/>
        <v>35</v>
      </c>
    </row>
    <row r="17">
      <c r="A17" s="2" t="s">
        <v>754</v>
      </c>
      <c r="B17" s="2" t="s">
        <v>812</v>
      </c>
      <c r="C17" s="2" t="s">
        <v>135</v>
      </c>
      <c r="D17" s="2">
        <v>473.0</v>
      </c>
      <c r="E17" s="2">
        <v>30.0</v>
      </c>
      <c r="F17" s="2">
        <v>0.0</v>
      </c>
      <c r="G17" s="8">
        <f t="shared" si="1"/>
        <v>30</v>
      </c>
    </row>
    <row r="18">
      <c r="A18" s="2" t="s">
        <v>766</v>
      </c>
      <c r="B18" s="2" t="s">
        <v>895</v>
      </c>
      <c r="C18" s="2" t="s">
        <v>136</v>
      </c>
      <c r="D18" s="2">
        <v>521.0</v>
      </c>
      <c r="E18" s="2">
        <v>70.0</v>
      </c>
      <c r="F18" s="2">
        <v>0.0</v>
      </c>
      <c r="G18" s="8">
        <f t="shared" si="1"/>
        <v>70</v>
      </c>
    </row>
    <row r="19">
      <c r="A19" s="2" t="s">
        <v>766</v>
      </c>
      <c r="B19" s="2" t="s">
        <v>896</v>
      </c>
      <c r="C19" s="2" t="s">
        <v>136</v>
      </c>
      <c r="D19" s="2">
        <v>521.0</v>
      </c>
      <c r="E19" s="2">
        <v>80.0</v>
      </c>
      <c r="F19" s="2">
        <v>0.0</v>
      </c>
      <c r="G19" s="8">
        <f t="shared" si="1"/>
        <v>80</v>
      </c>
    </row>
    <row r="20">
      <c r="A20" s="2" t="s">
        <v>766</v>
      </c>
      <c r="B20" s="2" t="s">
        <v>910</v>
      </c>
      <c r="C20" s="2" t="s">
        <v>136</v>
      </c>
      <c r="D20" s="2">
        <v>539.0</v>
      </c>
      <c r="E20" s="2">
        <v>65.0</v>
      </c>
      <c r="F20" s="2">
        <v>0.0</v>
      </c>
      <c r="G20" s="8">
        <f t="shared" si="1"/>
        <v>65</v>
      </c>
    </row>
    <row r="21">
      <c r="A21" s="2" t="s">
        <v>788</v>
      </c>
      <c r="B21" s="2" t="s">
        <v>1379</v>
      </c>
      <c r="C21" s="2" t="s">
        <v>131</v>
      </c>
      <c r="D21" s="2">
        <v>419.0</v>
      </c>
      <c r="E21" s="2">
        <v>200.0</v>
      </c>
      <c r="F21" s="2">
        <v>0.0</v>
      </c>
      <c r="G21" s="8">
        <f t="shared" si="1"/>
        <v>200</v>
      </c>
    </row>
    <row r="22">
      <c r="A22" s="2" t="s">
        <v>788</v>
      </c>
      <c r="B22" s="2" t="s">
        <v>1380</v>
      </c>
      <c r="C22" s="2" t="s">
        <v>131</v>
      </c>
      <c r="D22" s="2">
        <v>417.0</v>
      </c>
      <c r="E22" s="2">
        <v>60.0</v>
      </c>
      <c r="F22" s="2">
        <v>0.0</v>
      </c>
      <c r="G22" s="8">
        <f t="shared" si="1"/>
        <v>60</v>
      </c>
    </row>
    <row r="23">
      <c r="A23" s="2" t="s">
        <v>1381</v>
      </c>
      <c r="B23" s="2" t="s">
        <v>1382</v>
      </c>
      <c r="C23" s="2" t="s">
        <v>136</v>
      </c>
      <c r="D23" s="2">
        <v>521.0</v>
      </c>
      <c r="E23" s="2">
        <v>95.0</v>
      </c>
      <c r="F23" s="2">
        <v>0.0</v>
      </c>
      <c r="G23" s="8">
        <f t="shared" si="1"/>
        <v>95</v>
      </c>
    </row>
    <row r="24">
      <c r="A24" s="2" t="s">
        <v>1381</v>
      </c>
      <c r="B24" s="2" t="s">
        <v>896</v>
      </c>
      <c r="C24" s="2" t="s">
        <v>135</v>
      </c>
      <c r="D24" s="2">
        <v>494.0</v>
      </c>
      <c r="E24" s="2">
        <v>55.0</v>
      </c>
      <c r="F24" s="2">
        <v>0.0</v>
      </c>
      <c r="G24" s="8">
        <f t="shared" si="1"/>
        <v>55</v>
      </c>
    </row>
    <row r="25">
      <c r="A25" s="2" t="s">
        <v>1383</v>
      </c>
      <c r="B25" s="2" t="s">
        <v>1384</v>
      </c>
      <c r="C25" s="2" t="s">
        <v>131</v>
      </c>
      <c r="D25" s="2">
        <v>417.0</v>
      </c>
      <c r="E25" s="2">
        <v>55.0</v>
      </c>
    </row>
    <row r="26">
      <c r="A26" s="2" t="s">
        <v>1385</v>
      </c>
      <c r="B26" s="2" t="s">
        <v>1386</v>
      </c>
      <c r="C26" s="2" t="s">
        <v>136</v>
      </c>
      <c r="D26" s="2" t="s">
        <v>839</v>
      </c>
      <c r="E26" s="2">
        <v>90.0</v>
      </c>
      <c r="F26" s="2">
        <v>0.0</v>
      </c>
      <c r="G26" s="8">
        <f t="shared" ref="G26:G38" si="2">E26-F26</f>
        <v>90</v>
      </c>
    </row>
    <row r="27">
      <c r="A27" s="2" t="s">
        <v>1385</v>
      </c>
      <c r="B27" s="2" t="s">
        <v>1387</v>
      </c>
      <c r="C27" s="2" t="s">
        <v>136</v>
      </c>
      <c r="D27" s="2" t="s">
        <v>839</v>
      </c>
      <c r="E27" s="2">
        <v>80.0</v>
      </c>
      <c r="F27" s="2">
        <v>0.0</v>
      </c>
      <c r="G27" s="8">
        <f t="shared" si="2"/>
        <v>80</v>
      </c>
    </row>
    <row r="28">
      <c r="A28" s="2" t="s">
        <v>1385</v>
      </c>
      <c r="B28" s="2" t="s">
        <v>1388</v>
      </c>
      <c r="C28" s="2" t="s">
        <v>135</v>
      </c>
      <c r="D28" s="2">
        <v>473.0</v>
      </c>
      <c r="E28" s="2">
        <v>45.0</v>
      </c>
      <c r="F28" s="2">
        <v>0.0</v>
      </c>
      <c r="G28" s="8">
        <f t="shared" si="2"/>
        <v>45</v>
      </c>
    </row>
    <row r="29">
      <c r="A29" s="2" t="s">
        <v>173</v>
      </c>
      <c r="B29" s="2" t="s">
        <v>1389</v>
      </c>
      <c r="C29" s="2" t="s">
        <v>131</v>
      </c>
      <c r="D29" s="2">
        <v>467.0</v>
      </c>
      <c r="E29" s="2">
        <v>80.0</v>
      </c>
      <c r="F29" s="2">
        <v>10.0</v>
      </c>
      <c r="G29" s="8">
        <f t="shared" si="2"/>
        <v>70</v>
      </c>
    </row>
    <row r="30">
      <c r="A30" s="2" t="s">
        <v>173</v>
      </c>
      <c r="B30" s="2" t="s">
        <v>1390</v>
      </c>
      <c r="C30" s="2" t="s">
        <v>131</v>
      </c>
      <c r="D30" s="2">
        <v>467.0</v>
      </c>
      <c r="E30" s="2">
        <v>85.0</v>
      </c>
      <c r="F30" s="2">
        <v>10.0</v>
      </c>
      <c r="G30" s="8">
        <f t="shared" si="2"/>
        <v>75</v>
      </c>
    </row>
    <row r="31">
      <c r="A31" s="2" t="s">
        <v>173</v>
      </c>
      <c r="B31" s="2" t="s">
        <v>1391</v>
      </c>
      <c r="C31" s="2" t="s">
        <v>136</v>
      </c>
      <c r="D31" s="2">
        <v>530.0</v>
      </c>
      <c r="E31" s="2">
        <v>60.0</v>
      </c>
      <c r="F31" s="2">
        <v>0.0</v>
      </c>
      <c r="G31" s="8">
        <f t="shared" si="2"/>
        <v>60</v>
      </c>
    </row>
    <row r="32">
      <c r="A32" s="2" t="s">
        <v>173</v>
      </c>
      <c r="B32" s="2" t="s">
        <v>1392</v>
      </c>
      <c r="C32" s="2" t="s">
        <v>136</v>
      </c>
      <c r="D32" s="2">
        <v>521.0</v>
      </c>
      <c r="E32" s="2">
        <v>80.0</v>
      </c>
      <c r="F32" s="2">
        <v>0.0</v>
      </c>
      <c r="G32" s="8">
        <f t="shared" si="2"/>
        <v>80</v>
      </c>
    </row>
    <row r="33">
      <c r="A33" s="2" t="s">
        <v>173</v>
      </c>
      <c r="B33" s="2" t="s">
        <v>1393</v>
      </c>
      <c r="C33" s="2" t="s">
        <v>131</v>
      </c>
      <c r="D33" s="2">
        <v>442.0</v>
      </c>
      <c r="E33" s="2">
        <v>65.0</v>
      </c>
      <c r="F33" s="2">
        <v>0.0</v>
      </c>
      <c r="G33" s="8">
        <f t="shared" si="2"/>
        <v>65</v>
      </c>
    </row>
    <row r="34">
      <c r="A34" s="2" t="s">
        <v>204</v>
      </c>
      <c r="B34" s="2" t="s">
        <v>1394</v>
      </c>
      <c r="C34" s="2" t="s">
        <v>131</v>
      </c>
      <c r="D34" s="2">
        <v>450.0</v>
      </c>
      <c r="E34" s="2">
        <v>60.0</v>
      </c>
      <c r="F34" s="2">
        <v>10.0</v>
      </c>
      <c r="G34" s="8">
        <f t="shared" si="2"/>
        <v>50</v>
      </c>
    </row>
    <row r="35">
      <c r="A35" s="2" t="s">
        <v>204</v>
      </c>
      <c r="B35" s="2" t="s">
        <v>1395</v>
      </c>
      <c r="C35" s="2" t="s">
        <v>131</v>
      </c>
      <c r="D35" s="2">
        <v>442.0</v>
      </c>
      <c r="E35" s="2">
        <v>75.0</v>
      </c>
      <c r="F35" s="2">
        <v>10.0</v>
      </c>
      <c r="G35" s="8">
        <f t="shared" si="2"/>
        <v>65</v>
      </c>
    </row>
    <row r="36">
      <c r="A36" s="2" t="s">
        <v>1396</v>
      </c>
      <c r="B36" s="2" t="s">
        <v>1397</v>
      </c>
      <c r="C36" s="2" t="s">
        <v>136</v>
      </c>
      <c r="D36" s="2" t="s">
        <v>839</v>
      </c>
      <c r="E36" s="2">
        <v>40.0</v>
      </c>
      <c r="F36" s="2">
        <v>0.0</v>
      </c>
      <c r="G36" s="8">
        <f t="shared" si="2"/>
        <v>40</v>
      </c>
    </row>
    <row r="37">
      <c r="A37" s="2" t="s">
        <v>1396</v>
      </c>
      <c r="B37" s="2" t="s">
        <v>1398</v>
      </c>
      <c r="C37" s="2" t="s">
        <v>136</v>
      </c>
      <c r="D37" s="2" t="s">
        <v>839</v>
      </c>
      <c r="E37" s="2">
        <v>55.0</v>
      </c>
      <c r="F37" s="2">
        <v>0.0</v>
      </c>
      <c r="G37" s="8">
        <f t="shared" si="2"/>
        <v>55</v>
      </c>
    </row>
    <row r="38">
      <c r="A38" s="2" t="s">
        <v>1399</v>
      </c>
      <c r="B38" s="2" t="s">
        <v>1272</v>
      </c>
      <c r="C38" s="2" t="s">
        <v>131</v>
      </c>
      <c r="D38" s="2">
        <v>442.0</v>
      </c>
      <c r="E38" s="2">
        <v>45.0</v>
      </c>
      <c r="F38" s="2">
        <v>10.0</v>
      </c>
      <c r="G38" s="8">
        <f t="shared" si="2"/>
        <v>35</v>
      </c>
    </row>
    <row r="39">
      <c r="A39" s="2" t="s">
        <v>897</v>
      </c>
      <c r="B39" s="2" t="s">
        <v>1400</v>
      </c>
      <c r="C39" s="2" t="s">
        <v>131</v>
      </c>
      <c r="D39" s="2">
        <v>417.0</v>
      </c>
      <c r="E39" s="2">
        <v>70.0</v>
      </c>
    </row>
    <row r="40">
      <c r="A40" s="2" t="s">
        <v>988</v>
      </c>
      <c r="B40" s="2" t="s">
        <v>1401</v>
      </c>
      <c r="C40" s="2" t="s">
        <v>135</v>
      </c>
      <c r="D40" s="2">
        <v>494.0</v>
      </c>
      <c r="E40" s="2">
        <v>50.0</v>
      </c>
      <c r="F40" s="2">
        <v>0.0</v>
      </c>
      <c r="G40" s="8">
        <f t="shared" ref="G40:G72" si="3">E40-F40</f>
        <v>50</v>
      </c>
    </row>
    <row r="41">
      <c r="A41" s="2" t="s">
        <v>988</v>
      </c>
      <c r="B41" s="2" t="s">
        <v>1402</v>
      </c>
      <c r="C41" s="2" t="s">
        <v>131</v>
      </c>
      <c r="D41" s="2">
        <v>467.0</v>
      </c>
      <c r="E41" s="2">
        <v>190.0</v>
      </c>
      <c r="F41" s="2">
        <v>0.0</v>
      </c>
      <c r="G41" s="8">
        <f t="shared" si="3"/>
        <v>190</v>
      </c>
    </row>
    <row r="42">
      <c r="A42" s="2" t="s">
        <v>321</v>
      </c>
      <c r="B42" s="2" t="s">
        <v>1403</v>
      </c>
      <c r="C42" s="2" t="s">
        <v>135</v>
      </c>
      <c r="D42" s="2" t="s">
        <v>1027</v>
      </c>
      <c r="E42" s="2">
        <v>320.0</v>
      </c>
      <c r="F42" s="2">
        <v>200.0</v>
      </c>
      <c r="G42" s="8">
        <f t="shared" si="3"/>
        <v>120</v>
      </c>
    </row>
    <row r="43">
      <c r="A43" s="2" t="s">
        <v>321</v>
      </c>
      <c r="B43" s="2" t="s">
        <v>1404</v>
      </c>
      <c r="C43" s="2" t="s">
        <v>136</v>
      </c>
      <c r="D43" s="2">
        <v>530.0</v>
      </c>
      <c r="E43" s="2">
        <v>60.0</v>
      </c>
      <c r="F43" s="2">
        <v>10.0</v>
      </c>
      <c r="G43" s="8">
        <f t="shared" si="3"/>
        <v>50</v>
      </c>
    </row>
    <row r="44">
      <c r="A44" s="2" t="s">
        <v>321</v>
      </c>
      <c r="B44" s="2" t="s">
        <v>1405</v>
      </c>
      <c r="C44" s="2" t="s">
        <v>136</v>
      </c>
      <c r="D44" s="2" t="s">
        <v>839</v>
      </c>
      <c r="E44" s="2">
        <v>50.0</v>
      </c>
      <c r="F44" s="2">
        <v>10.0</v>
      </c>
      <c r="G44" s="8">
        <f t="shared" si="3"/>
        <v>40</v>
      </c>
    </row>
    <row r="45">
      <c r="A45" s="2" t="s">
        <v>321</v>
      </c>
      <c r="B45" s="2" t="s">
        <v>1406</v>
      </c>
      <c r="C45" s="2" t="s">
        <v>135</v>
      </c>
      <c r="D45" s="2">
        <v>473.0</v>
      </c>
      <c r="E45" s="2">
        <v>45.0</v>
      </c>
      <c r="F45" s="2">
        <v>0.0</v>
      </c>
      <c r="G45" s="8">
        <f t="shared" si="3"/>
        <v>45</v>
      </c>
    </row>
    <row r="46">
      <c r="A46" s="2" t="s">
        <v>366</v>
      </c>
      <c r="B46" s="2" t="s">
        <v>1407</v>
      </c>
      <c r="C46" s="2" t="s">
        <v>135</v>
      </c>
      <c r="D46" s="2">
        <v>498.0</v>
      </c>
      <c r="E46" s="2">
        <v>110.0</v>
      </c>
      <c r="F46" s="2">
        <v>110.0</v>
      </c>
      <c r="G46" s="8">
        <f t="shared" si="3"/>
        <v>0</v>
      </c>
    </row>
    <row r="47">
      <c r="A47" s="2" t="s">
        <v>366</v>
      </c>
      <c r="B47" s="2" t="s">
        <v>1046</v>
      </c>
      <c r="C47" s="2" t="s">
        <v>131</v>
      </c>
      <c r="D47" s="2">
        <v>464.0</v>
      </c>
      <c r="E47" s="2">
        <v>200.0</v>
      </c>
      <c r="F47" s="2">
        <v>200.0</v>
      </c>
      <c r="G47" s="8">
        <f t="shared" si="3"/>
        <v>0</v>
      </c>
    </row>
    <row r="48">
      <c r="A48" s="2" t="s">
        <v>1408</v>
      </c>
      <c r="B48" s="2" t="s">
        <v>1409</v>
      </c>
      <c r="C48" s="2" t="s">
        <v>136</v>
      </c>
      <c r="D48" s="2">
        <v>521.0</v>
      </c>
      <c r="E48" s="2">
        <v>60.0</v>
      </c>
      <c r="F48" s="2">
        <v>0.0</v>
      </c>
      <c r="G48" s="8">
        <f t="shared" si="3"/>
        <v>60</v>
      </c>
    </row>
    <row r="49">
      <c r="A49" s="2" t="s">
        <v>1410</v>
      </c>
      <c r="B49" s="2" t="s">
        <v>1411</v>
      </c>
      <c r="C49" s="2" t="s">
        <v>135</v>
      </c>
      <c r="D49" s="2">
        <v>494.0</v>
      </c>
      <c r="E49" s="2">
        <v>50.0</v>
      </c>
      <c r="F49" s="2">
        <v>50.0</v>
      </c>
      <c r="G49" s="8">
        <f t="shared" si="3"/>
        <v>0</v>
      </c>
    </row>
    <row r="50">
      <c r="A50" s="2" t="s">
        <v>1410</v>
      </c>
      <c r="B50" s="2" t="s">
        <v>1412</v>
      </c>
      <c r="C50" s="2" t="s">
        <v>136</v>
      </c>
      <c r="D50" s="2">
        <v>530.0</v>
      </c>
      <c r="E50" s="2">
        <v>70.0</v>
      </c>
      <c r="F50" s="2">
        <v>0.0</v>
      </c>
      <c r="G50" s="8">
        <f t="shared" si="3"/>
        <v>70</v>
      </c>
    </row>
    <row r="51">
      <c r="A51" s="2" t="s">
        <v>1410</v>
      </c>
      <c r="B51" s="2" t="s">
        <v>1413</v>
      </c>
      <c r="C51" s="2" t="s">
        <v>136</v>
      </c>
      <c r="D51" s="2">
        <v>539.0</v>
      </c>
      <c r="E51" s="2">
        <v>120.0</v>
      </c>
      <c r="F51" s="2">
        <v>0.0</v>
      </c>
      <c r="G51" s="8">
        <f t="shared" si="3"/>
        <v>120</v>
      </c>
    </row>
    <row r="52">
      <c r="A52" s="2" t="s">
        <v>1414</v>
      </c>
      <c r="B52" s="2" t="s">
        <v>832</v>
      </c>
      <c r="C52" s="2" t="s">
        <v>135</v>
      </c>
      <c r="D52" s="2">
        <v>494.0</v>
      </c>
      <c r="E52" s="2">
        <v>50.0</v>
      </c>
      <c r="F52" s="2">
        <v>0.0</v>
      </c>
      <c r="G52" s="8">
        <f t="shared" si="3"/>
        <v>50</v>
      </c>
    </row>
    <row r="53">
      <c r="A53" s="2" t="s">
        <v>1415</v>
      </c>
      <c r="B53" s="2" t="s">
        <v>1416</v>
      </c>
      <c r="C53" s="2" t="s">
        <v>135</v>
      </c>
      <c r="D53" s="2">
        <v>488.0</v>
      </c>
      <c r="E53" s="2">
        <v>120.0</v>
      </c>
      <c r="F53" s="2">
        <v>10.0</v>
      </c>
      <c r="G53" s="8">
        <f t="shared" si="3"/>
        <v>110</v>
      </c>
    </row>
    <row r="54">
      <c r="A54" s="2" t="s">
        <v>1234</v>
      </c>
      <c r="B54" s="2" t="s">
        <v>992</v>
      </c>
      <c r="C54" s="2" t="s">
        <v>135</v>
      </c>
      <c r="D54" s="2">
        <v>494.0</v>
      </c>
      <c r="E54" s="2">
        <v>55.0</v>
      </c>
      <c r="F54" s="2">
        <v>10.0</v>
      </c>
      <c r="G54" s="8">
        <f t="shared" si="3"/>
        <v>45</v>
      </c>
    </row>
    <row r="55">
      <c r="A55" s="2" t="s">
        <v>1244</v>
      </c>
      <c r="B55" s="2" t="s">
        <v>1417</v>
      </c>
      <c r="C55" s="2" t="s">
        <v>136</v>
      </c>
      <c r="D55" s="2">
        <v>521.0</v>
      </c>
      <c r="E55" s="2">
        <v>99.99</v>
      </c>
      <c r="F55" s="2">
        <v>0.0</v>
      </c>
      <c r="G55" s="8">
        <f t="shared" si="3"/>
        <v>99.99</v>
      </c>
    </row>
    <row r="56">
      <c r="A56" s="2" t="s">
        <v>1288</v>
      </c>
      <c r="B56" s="2" t="s">
        <v>1418</v>
      </c>
      <c r="C56" s="2" t="s">
        <v>136</v>
      </c>
      <c r="D56" s="2">
        <v>521.0</v>
      </c>
      <c r="E56" s="2">
        <v>120.0</v>
      </c>
      <c r="F56" s="2">
        <v>0.0</v>
      </c>
      <c r="G56" s="8">
        <f t="shared" si="3"/>
        <v>120</v>
      </c>
    </row>
    <row r="57">
      <c r="A57" s="2" t="s">
        <v>1288</v>
      </c>
      <c r="B57" s="2" t="s">
        <v>1419</v>
      </c>
      <c r="C57" s="2" t="s">
        <v>136</v>
      </c>
      <c r="D57" s="2">
        <v>539.0</v>
      </c>
      <c r="E57" s="2">
        <v>85.0</v>
      </c>
      <c r="F57" s="2">
        <v>0.0</v>
      </c>
      <c r="G57" s="8">
        <f t="shared" si="3"/>
        <v>85</v>
      </c>
    </row>
    <row r="58">
      <c r="A58" s="2" t="s">
        <v>1420</v>
      </c>
      <c r="B58" s="2" t="s">
        <v>1421</v>
      </c>
      <c r="C58" s="2" t="s">
        <v>131</v>
      </c>
      <c r="D58" s="2">
        <v>442.0</v>
      </c>
      <c r="E58" s="2">
        <v>210.0</v>
      </c>
      <c r="F58" s="2">
        <v>20.0</v>
      </c>
      <c r="G58" s="8">
        <f t="shared" si="3"/>
        <v>190</v>
      </c>
    </row>
    <row r="59">
      <c r="A59" s="2" t="s">
        <v>1334</v>
      </c>
      <c r="B59" s="2" t="s">
        <v>1422</v>
      </c>
      <c r="C59" s="2" t="s">
        <v>135</v>
      </c>
      <c r="D59" s="2">
        <v>0.0</v>
      </c>
      <c r="E59" s="2">
        <v>140.0</v>
      </c>
      <c r="F59" s="2">
        <v>40.0</v>
      </c>
      <c r="G59" s="8">
        <f t="shared" si="3"/>
        <v>100</v>
      </c>
    </row>
    <row r="60">
      <c r="A60" s="2" t="s">
        <v>1423</v>
      </c>
      <c r="B60" s="2" t="s">
        <v>1424</v>
      </c>
      <c r="C60" s="2" t="s">
        <v>131</v>
      </c>
      <c r="D60" s="2">
        <v>426.0</v>
      </c>
      <c r="E60" s="2">
        <v>55.0</v>
      </c>
      <c r="F60" s="2">
        <v>0.0</v>
      </c>
      <c r="G60" s="8">
        <f t="shared" si="3"/>
        <v>55</v>
      </c>
    </row>
    <row r="61">
      <c r="A61" s="2" t="s">
        <v>1344</v>
      </c>
      <c r="B61" s="2" t="s">
        <v>1425</v>
      </c>
      <c r="C61" s="2" t="s">
        <v>135</v>
      </c>
      <c r="D61" s="2">
        <v>487.0</v>
      </c>
      <c r="E61" s="2">
        <v>55.0</v>
      </c>
      <c r="F61" s="2">
        <v>0.0</v>
      </c>
      <c r="G61" s="8">
        <f t="shared" si="3"/>
        <v>55</v>
      </c>
    </row>
    <row r="62">
      <c r="A62" s="2" t="s">
        <v>1344</v>
      </c>
      <c r="B62" s="2" t="s">
        <v>1426</v>
      </c>
      <c r="C62" s="2" t="s">
        <v>136</v>
      </c>
      <c r="D62" s="2">
        <v>515.0</v>
      </c>
      <c r="E62" s="2">
        <v>60.0</v>
      </c>
      <c r="F62" s="2">
        <v>0.0</v>
      </c>
      <c r="G62" s="8">
        <f t="shared" si="3"/>
        <v>60</v>
      </c>
    </row>
    <row r="63">
      <c r="A63" s="2" t="s">
        <v>1344</v>
      </c>
      <c r="B63" s="2" t="s">
        <v>1427</v>
      </c>
      <c r="C63" s="2" t="s">
        <v>136</v>
      </c>
      <c r="D63" s="2">
        <v>515.0</v>
      </c>
      <c r="E63" s="2">
        <v>65.0</v>
      </c>
      <c r="F63" s="2">
        <v>0.0</v>
      </c>
      <c r="G63" s="8">
        <f t="shared" si="3"/>
        <v>65</v>
      </c>
    </row>
    <row r="64">
      <c r="A64" s="2" t="s">
        <v>1344</v>
      </c>
      <c r="B64" s="2" t="s">
        <v>1428</v>
      </c>
      <c r="C64" s="2" t="s">
        <v>136</v>
      </c>
      <c r="D64" s="2" t="s">
        <v>839</v>
      </c>
      <c r="E64" s="2">
        <v>50.0</v>
      </c>
      <c r="F64" s="2">
        <v>0.0</v>
      </c>
      <c r="G64" s="8">
        <f t="shared" si="3"/>
        <v>50</v>
      </c>
    </row>
    <row r="65">
      <c r="A65" s="2" t="s">
        <v>1344</v>
      </c>
      <c r="B65" s="2" t="s">
        <v>1429</v>
      </c>
      <c r="C65" s="2" t="s">
        <v>136</v>
      </c>
      <c r="D65" s="2">
        <v>540.0</v>
      </c>
      <c r="E65" s="2">
        <v>1200.0</v>
      </c>
      <c r="F65" s="2">
        <v>0.0</v>
      </c>
      <c r="G65" s="8">
        <f t="shared" si="3"/>
        <v>1200</v>
      </c>
    </row>
    <row r="66">
      <c r="A66" s="2" t="s">
        <v>1344</v>
      </c>
      <c r="B66" s="2" t="s">
        <v>1429</v>
      </c>
      <c r="C66" s="2" t="s">
        <v>136</v>
      </c>
      <c r="D66" s="2">
        <v>547.0</v>
      </c>
      <c r="E66" s="2">
        <v>240.0</v>
      </c>
      <c r="F66" s="2">
        <v>0.0</v>
      </c>
      <c r="G66" s="8">
        <f t="shared" si="3"/>
        <v>240</v>
      </c>
    </row>
    <row r="67">
      <c r="A67" s="2" t="s">
        <v>238</v>
      </c>
      <c r="B67" s="2" t="s">
        <v>1430</v>
      </c>
      <c r="C67" s="2" t="s">
        <v>131</v>
      </c>
      <c r="D67" s="2">
        <v>377.0</v>
      </c>
      <c r="E67" s="2">
        <v>200.0</v>
      </c>
      <c r="F67" s="2">
        <v>200.0</v>
      </c>
      <c r="G67" s="8">
        <f t="shared" si="3"/>
        <v>0</v>
      </c>
    </row>
    <row r="68">
      <c r="A68" s="2" t="s">
        <v>133</v>
      </c>
      <c r="B68" s="2" t="s">
        <v>1431</v>
      </c>
      <c r="C68" s="2" t="s">
        <v>135</v>
      </c>
      <c r="D68" s="2">
        <v>487.0</v>
      </c>
      <c r="E68" s="2">
        <v>50.0</v>
      </c>
      <c r="F68" s="2">
        <v>10.0</v>
      </c>
      <c r="G68" s="8">
        <f t="shared" si="3"/>
        <v>40</v>
      </c>
    </row>
    <row r="69">
      <c r="A69" s="2" t="s">
        <v>133</v>
      </c>
      <c r="B69" s="2" t="s">
        <v>1432</v>
      </c>
      <c r="C69" s="2" t="s">
        <v>136</v>
      </c>
      <c r="D69" s="2">
        <v>535.0</v>
      </c>
      <c r="E69" s="2">
        <v>80.0</v>
      </c>
      <c r="F69" s="2">
        <v>0.0</v>
      </c>
      <c r="G69" s="8">
        <f t="shared" si="3"/>
        <v>80</v>
      </c>
    </row>
    <row r="70">
      <c r="A70" s="2" t="s">
        <v>133</v>
      </c>
      <c r="B70" s="2" t="s">
        <v>1433</v>
      </c>
      <c r="C70" s="2" t="s">
        <v>131</v>
      </c>
      <c r="D70" s="2">
        <v>426.0</v>
      </c>
      <c r="E70" s="2">
        <v>65.0</v>
      </c>
      <c r="F70" s="2">
        <v>50.0</v>
      </c>
      <c r="G70" s="8">
        <f t="shared" si="3"/>
        <v>15</v>
      </c>
    </row>
    <row r="71">
      <c r="A71" s="2" t="s">
        <v>133</v>
      </c>
      <c r="B71" s="2" t="s">
        <v>484</v>
      </c>
      <c r="C71" s="2" t="s">
        <v>131</v>
      </c>
      <c r="D71" s="2">
        <v>426.0</v>
      </c>
      <c r="E71" s="2">
        <v>80.0</v>
      </c>
      <c r="F71" s="2">
        <v>10.0</v>
      </c>
      <c r="G71" s="8">
        <f t="shared" si="3"/>
        <v>70</v>
      </c>
    </row>
    <row r="72">
      <c r="A72" s="2" t="s">
        <v>133</v>
      </c>
      <c r="B72" s="2" t="s">
        <v>1434</v>
      </c>
      <c r="C72" s="2" t="s">
        <v>131</v>
      </c>
      <c r="D72" s="2">
        <v>465.0</v>
      </c>
      <c r="E72" s="2">
        <v>130.0</v>
      </c>
      <c r="F72" s="2">
        <v>130.0</v>
      </c>
      <c r="G72" s="8">
        <f t="shared" si="3"/>
        <v>0</v>
      </c>
    </row>
  </sheetData>
  <autoFilter ref="$A$1:$G$72">
    <sortState ref="A1:G72">
      <sortCondition ref="A1:A72"/>
    </sortState>
  </autoFilter>
  <conditionalFormatting sqref="I1">
    <cfRule type="cellIs" dxfId="21" priority="1" operator="equal">
      <formula>"PREVENTA"</formula>
    </cfRule>
  </conditionalFormatting>
  <conditionalFormatting sqref="D1 D14">
    <cfRule type="cellIs" dxfId="22" priority="2" operator="equal">
      <formula>0</formula>
    </cfRule>
  </conditionalFormatting>
  <conditionalFormatting sqref="J1">
    <cfRule type="expression" dxfId="13" priority="3">
      <formula>AND(ISNUMBER(J1),TRUNC(J1)&lt;TODAY())</formula>
    </cfRule>
  </conditionalFormatting>
  <conditionalFormatting sqref="J1">
    <cfRule type="expression" dxfId="14" priority="4">
      <formula>AND(ISNUMBER(J1),TRUNC(J1)&gt;TODAY())</formula>
    </cfRule>
  </conditionalFormatting>
  <conditionalFormatting sqref="J1">
    <cfRule type="timePeriod" dxfId="15" priority="5" timePeriod="today"/>
  </conditionalFormatting>
  <conditionalFormatting sqref="F1:F999">
    <cfRule type="cellIs" dxfId="0" priority="6" operator="equal">
      <formula>0</formula>
    </cfRule>
  </conditionalFormatting>
  <conditionalFormatting sqref="J1">
    <cfRule type="timePeriod" dxfId="15" priority="7" timePeriod="today"/>
  </conditionalFormatting>
  <conditionalFormatting sqref="G1:G999">
    <cfRule type="cellIs" dxfId="17" priority="8" operator="equal">
      <formula>0</formula>
    </cfRule>
  </conditionalFormatting>
  <conditionalFormatting sqref="K1">
    <cfRule type="expression" dxfId="0" priority="9">
      <formula>AND(ISNUMBER(K1),TRUNC(K1)&lt;TODAY())</formula>
    </cfRule>
  </conditionalFormatting>
  <conditionalFormatting sqref="K1">
    <cfRule type="expression" dxfId="18" priority="10">
      <formula>AND(ISNUMBER(K1),TRUNC(K1)&gt;TODAY())</formula>
    </cfRule>
  </conditionalFormatting>
  <conditionalFormatting sqref="K1">
    <cfRule type="expression" dxfId="0" priority="11">
      <formula>AND(ISNUMBER(K1),TRUNC(K1)&lt;TODAY())</formula>
    </cfRule>
  </conditionalFormatting>
  <conditionalFormatting sqref="F1:F999">
    <cfRule type="cellIs" dxfId="20" priority="12" operator="equal">
      <formula>0</formula>
    </cfRule>
  </conditionalFormatting>
  <conditionalFormatting sqref="I1">
    <cfRule type="cellIs" dxfId="3" priority="13" operator="equal">
      <formula>"PENDIENTE"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2025-08-20T06:29:28Z</dcterms:created>
  <dc:creator>Usuario</dc:creator>
</cp:coreProperties>
</file>