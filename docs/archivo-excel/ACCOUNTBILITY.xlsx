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LOM ENVIOS" sheetId="1" r:id="rId5"/>
    <sheet state="visible" name="ENVIACION" sheetId="2" r:id="rId6"/>
    <sheet state="visible" name="Respuestas de formulario 1" sheetId="3" r:id="rId7"/>
    <sheet state="visible" name="PENDIENTES" sheetId="4" r:id="rId8"/>
    <sheet state="visible" name="FINANCIAMIENTO" sheetId="5" r:id="rId9"/>
    <sheet state="visible" name="COTIZADORINADOR" sheetId="6" r:id="rId10"/>
    <sheet state="visible" name="Hoja 7" sheetId="7" r:id="rId11"/>
  </sheets>
  <definedNames>
    <definedName hidden="1" localSheetId="0" name="_xlnm._FilterDatabase">'SHALOM ENVIOS'!$A$1:$F$119</definedName>
    <definedName hidden="1" localSheetId="2" name="_xlnm._FilterDatabase">'Respuestas de formulario 1'!$A$1:$E$14</definedName>
    <definedName hidden="1" localSheetId="4" name="_xlnm._FilterDatabase">FINANCIAMIENTO!$A$3:$F$19</definedName>
  </definedNames>
  <calcPr/>
</workbook>
</file>

<file path=xl/sharedStrings.xml><?xml version="1.0" encoding="utf-8"?>
<sst xmlns="http://schemas.openxmlformats.org/spreadsheetml/2006/main" count="556" uniqueCount="482">
  <si>
    <t>Marca temporal</t>
  </si>
  <si>
    <t>USUARIO DE TIKTOK</t>
  </si>
  <si>
    <t>Nombre completo</t>
  </si>
  <si>
    <t>DNI</t>
  </si>
  <si>
    <t>Teléfono</t>
  </si>
  <si>
    <t>Shalom más cercano</t>
  </si>
  <si>
    <t>usuario</t>
  </si>
  <si>
    <t>Hikenward</t>
  </si>
  <si>
    <t xml:space="preserve"> El Ricocan</t>
  </si>
  <si>
    <t>JOSE ALBERTO Tijutani Araca</t>
  </si>
  <si>
    <t xml:space="preserve">AV. JORGE BASADRE Grohmann oeste n° 366 - Tacna - Tacna/ Tacna/ Tacna CO AV.JORGE BASADRE - Terrestre </t>
  </si>
  <si>
    <t>@amiw.zzz</t>
  </si>
  <si>
    <t>Ami Aylin Calle Prieto</t>
  </si>
  <si>
    <t>Calle Los Ángeles, chincha, Ica</t>
  </si>
  <si>
    <t>Jordan Pintado García</t>
  </si>
  <si>
    <t>@danielmillaallcca</t>
  </si>
  <si>
    <t xml:space="preserve">SANDRO DANIEL MILLA ALLCCACO </t>
  </si>
  <si>
    <t xml:space="preserve">Av. los pescadores co /chimbote / Santa /ancash </t>
  </si>
  <si>
    <t>DNI 71920197</t>
  </si>
  <si>
    <t>@denisquintanamerino</t>
  </si>
  <si>
    <t>Denis Alberto Quintana Merino</t>
  </si>
  <si>
    <t xml:space="preserve">Cajamarca-San Ignacio-San Ignacio. Frente al estadio municipal San Ignacio Terrestre </t>
  </si>
  <si>
    <t>Shalom sullana santa rosa</t>
  </si>
  <si>
    <t>@hyunx_xamp</t>
  </si>
  <si>
    <t xml:space="preserve">Estrella Dulcemaría Avila Deza </t>
  </si>
  <si>
    <t>Av.Independencia 787</t>
  </si>
  <si>
    <t>Celular 969455978</t>
  </si>
  <si>
    <t>@jorge1998r</t>
  </si>
  <si>
    <t>Jorge Rodrigo Cancino Chuquitucto</t>
  </si>
  <si>
    <t>SHALOM TRUJILLO LIVERPOOL</t>
  </si>
  <si>
    <t>Usuario:</t>
  </si>
  <si>
    <t>LassZephyrum</t>
  </si>
  <si>
    <t>@joseluiscanatito</t>
  </si>
  <si>
    <t xml:space="preserve">José Luis Cana Tito </t>
  </si>
  <si>
    <t xml:space="preserve">Cayma
</t>
  </si>
  <si>
    <t>NOMBRE:</t>
  </si>
  <si>
    <t>Luis Gustavo Quispe Apaza</t>
  </si>
  <si>
    <t>@Kazuho882</t>
  </si>
  <si>
    <t xml:space="preserve">Jean alarcon Sánchez </t>
  </si>
  <si>
    <t xml:space="preserve">Av. Flora tristan N° 885, Urbanizacion santa patricia etapa 3 la Molina </t>
  </si>
  <si>
    <t>DNI:</t>
  </si>
  <si>
    <t>@mauricio.sanchez277</t>
  </si>
  <si>
    <t>Mauricio Alonso Sanchez Valladolid</t>
  </si>
  <si>
    <t>Shalom Santa Cruz, Trujillo, Trujillo, La Libertad</t>
  </si>
  <si>
    <t>TELEFONO:</t>
  </si>
  <si>
    <t>♡Alex♡ ♤gp♤</t>
  </si>
  <si>
    <t>Gian portocarrero trigueros</t>
  </si>
  <si>
    <t>Por olva( san vicente de cañete -dirección:jr. 2 de mayo 601)</t>
  </si>
  <si>
    <t>SHALOM:</t>
  </si>
  <si>
    <t>SHALOM AREQUIPA LA PARRA</t>
  </si>
  <si>
    <t>💤Kandy💤🍀</t>
  </si>
  <si>
    <t xml:space="preserve">Fiorela Kandy Sedano Peñaloza </t>
  </si>
  <si>
    <t>TERMINAL LOS ANDES	Av. Ferrocarril S/N - Counter N°14 - huancayo</t>
  </si>
  <si>
    <t>Aaron2espadas</t>
  </si>
  <si>
    <t>Aarón D'Aalessandro Valderrama Rugel</t>
  </si>
  <si>
    <t xml:space="preserve">Sullana Co Zona Industrial </t>
  </si>
  <si>
    <t>Agos</t>
  </si>
  <si>
    <t>Diego Quilla Umasi</t>
  </si>
  <si>
    <t>Mariscal Castilla 472-A</t>
  </si>
  <si>
    <t>aleexus29</t>
  </si>
  <si>
    <t xml:space="preserve">Erick Chacon Ccasane </t>
  </si>
  <si>
    <t>atocongo</t>
  </si>
  <si>
    <t>alex_the_lux4875</t>
  </si>
  <si>
    <t xml:space="preserve">Alexander Felix Chavez Arias </t>
  </si>
  <si>
    <t>Shalom delicias de villa, Urb Aria, Av. 12 de Octubre</t>
  </si>
  <si>
    <t>andersonanticona5</t>
  </si>
  <si>
    <t>SennyGiselaRequelmeBacon</t>
  </si>
  <si>
    <t>SHALOM EL MILAGRO, 51, Huanchaco 13014</t>
  </si>
  <si>
    <t>Andre cal</t>
  </si>
  <si>
    <t>Andre callapiña callapiña</t>
  </si>
  <si>
    <t>Av. Pachacuteq -cusco</t>
  </si>
  <si>
    <t>Andre79</t>
  </si>
  <si>
    <t>Jesús Andrés castillo Pariona</t>
  </si>
  <si>
    <t>SHALOM HUAYCAN ENTRADA</t>
  </si>
  <si>
    <t>Angel Mario</t>
  </si>
  <si>
    <t>Mario Jihuallanca Puma</t>
  </si>
  <si>
    <t>SHALOM - C. ARTURO VILLEGAS 101,PAUCARPATA</t>
  </si>
  <si>
    <t>Antonella R</t>
  </si>
  <si>
    <t xml:space="preserve">Antonella Romero Villar </t>
  </si>
  <si>
    <t xml:space="preserve">Shalom Calleria, Jr. José Gálvez 147 , coronel Portillo, Ucayali , Pucallpa Calleria </t>
  </si>
  <si>
    <t>Aranciea</t>
  </si>
  <si>
    <t xml:space="preserve">Barriente Briones Guadalupe Esther </t>
  </si>
  <si>
    <t>Lambayeque Centro</t>
  </si>
  <si>
    <t>aurorevanils</t>
  </si>
  <si>
    <t xml:space="preserve">Sapphira Dasha Salas Cardoza </t>
  </si>
  <si>
    <t>Shalom Av Parra CO - Arequipa</t>
  </si>
  <si>
    <t>Bens</t>
  </si>
  <si>
    <t>Rubens Daza Paredes</t>
  </si>
  <si>
    <t>Shalom Av. Tingo María</t>
  </si>
  <si>
    <t xml:space="preserve">bet⁷ (@shotocat__) </t>
  </si>
  <si>
    <t>Yely Betania De La Vega Concha</t>
  </si>
  <si>
    <t>AV PACHACUTEC (Cusco / Cusco / Wanchaq / Av Pachacutec)</t>
  </si>
  <si>
    <t>Bochi</t>
  </si>
  <si>
    <t xml:space="preserve">Yoshua Mamani torres </t>
  </si>
  <si>
    <t xml:space="preserve">Av Jesús N° 1100 parcarpata - Arequipa </t>
  </si>
  <si>
    <t>camcam_</t>
  </si>
  <si>
    <t xml:space="preserve">Camila Amaya Leon </t>
  </si>
  <si>
    <t>Shalom Av. Marco Puente</t>
  </si>
  <si>
    <t>cami_jxz</t>
  </si>
  <si>
    <t>Sandra gabriela caballero mozombite</t>
  </si>
  <si>
    <t>Shalom altura de la pampa del hambre jr. 20 de abril 2138</t>
  </si>
  <si>
    <t>Sandra Gabriela Caballero Mozombite</t>
  </si>
  <si>
    <t>933 564 783</t>
  </si>
  <si>
    <t xml:space="preserve">Shalom alturA de la pampa del hambre jr. 20 de abril 2138 -Moyobamba -san Martin </t>
  </si>
  <si>
    <t>Crisito</t>
  </si>
  <si>
    <t xml:space="preserve">Maria huaripata llanos </t>
  </si>
  <si>
    <t>Av . La independencia</t>
  </si>
  <si>
    <t xml:space="preserve">Cristhian </t>
  </si>
  <si>
    <t xml:space="preserve">Cristhian Merma Phuño </t>
  </si>
  <si>
    <t>Dist. Inambari, Av. Inambari frac N° 07, Mazuco 17501 (Madre de Dios)</t>
  </si>
  <si>
    <t>DAIKAKU</t>
  </si>
  <si>
    <t xml:space="preserve">Rodrigo flores del Carpio </t>
  </si>
  <si>
    <t xml:space="preserve">Shalom oficina principal el tambo - Huancayo </t>
  </si>
  <si>
    <t>Dan_Lol</t>
  </si>
  <si>
    <t xml:space="preserve">Jordan Pintado García </t>
  </si>
  <si>
    <t>Shalom santa rosa Sullana</t>
  </si>
  <si>
    <t>danielmillaallcca</t>
  </si>
  <si>
    <t xml:space="preserve">Sandro Daniel Milla Allccaco </t>
  </si>
  <si>
    <t xml:space="preserve">Av. los pescadores co - Chimbote </t>
  </si>
  <si>
    <t>deyna969</t>
  </si>
  <si>
    <t>Deyna cinthia</t>
  </si>
  <si>
    <t xml:space="preserve">P242+FH3, Av. Tito Jaime, Tingo María </t>
  </si>
  <si>
    <t xml:space="preserve">Diewillington </t>
  </si>
  <si>
    <t xml:space="preserve">Diego Willington Callo Tapada </t>
  </si>
  <si>
    <t>Arequipa- Miraflores shalom empresarial av Goyeneche 1422</t>
  </si>
  <si>
    <t>Dilver_Cabrera 12</t>
  </si>
  <si>
    <t xml:space="preserve">Dilver Anthoni Cabrera mestanza </t>
  </si>
  <si>
    <t xml:space="preserve">Chiclayo - José Leonardo Ortiz (referencia tahuantinsuyo y América) </t>
  </si>
  <si>
    <t>Dixon</t>
  </si>
  <si>
    <t xml:space="preserve">Dinson Ariel Sotomayor Cusquisivan </t>
  </si>
  <si>
    <t>Ventanilla</t>
  </si>
  <si>
    <t>Dorianvro</t>
  </si>
  <si>
    <t>Dorian Javier Yalta Suárez</t>
  </si>
  <si>
    <t xml:space="preserve">904 141 315 </t>
  </si>
  <si>
    <t xml:space="preserve">Shalom Chosica </t>
  </si>
  <si>
    <t>dynamigth.bk</t>
  </si>
  <si>
    <t xml:space="preserve">Av.Indepencia 787, Cajamarca </t>
  </si>
  <si>
    <t>edson_p_r</t>
  </si>
  <si>
    <t>Edson Abimael Pérez Remigio</t>
  </si>
  <si>
    <t>Chilca - Huancayo - Junin</t>
  </si>
  <si>
    <t>edsongt3</t>
  </si>
  <si>
    <t>EDSON JEANCARLO GIRALDO TORIBIO</t>
  </si>
  <si>
    <t>Salaverry huacho</t>
  </si>
  <si>
    <t xml:space="preserve">Eldrie </t>
  </si>
  <si>
    <t xml:space="preserve">Jordan Hinostroza Cerrón </t>
  </si>
  <si>
    <t xml:space="preserve">Mazuko </t>
  </si>
  <si>
    <t xml:space="preserve">Enanofurtivo </t>
  </si>
  <si>
    <t xml:space="preserve">Noemi Fernanda Morales Huisa </t>
  </si>
  <si>
    <t>Arequipa / Arequipa / La Joya / El Cruce La Joya
Lateral 12 C Lt. 32, El Cruce La Joya - Arequipa</t>
  </si>
  <si>
    <t xml:space="preserve">Gabriel Contreras </t>
  </si>
  <si>
    <t xml:space="preserve">Alexis Beltrán Contreras Cachay </t>
  </si>
  <si>
    <t xml:space="preserve">Shalom ventanilla los licenciados </t>
  </si>
  <si>
    <t>gus6662</t>
  </si>
  <si>
    <t>Gustavo Manuel Apaza Jara</t>
  </si>
  <si>
    <t>gregorio albarracin 2</t>
  </si>
  <si>
    <t>Hernandez</t>
  </si>
  <si>
    <t xml:space="preserve"> Zoila Denisse Arias Chumpitaz </t>
  </si>
  <si>
    <t>976 885 898</t>
  </si>
  <si>
    <t>Mala</t>
  </si>
  <si>
    <t xml:space="preserve">Hikenward </t>
  </si>
  <si>
    <t xml:space="preserve">Paul Anibal Zambrano Huaman </t>
  </si>
  <si>
    <t>Apurímac-abancay (único shalom de abancay)</t>
  </si>
  <si>
    <t>Hugo</t>
  </si>
  <si>
    <t xml:space="preserve">Hugo Francisco Silva Umeres </t>
  </si>
  <si>
    <t xml:space="preserve">Provincia de la Convención, distrito de Santa Ana, ciudad Quillabamba </t>
  </si>
  <si>
    <t>hugo_silva15</t>
  </si>
  <si>
    <t>Provincia de la convención, distrito Santa Ana, ciudad Quillabamba</t>
  </si>
  <si>
    <t>iamcj_23</t>
  </si>
  <si>
    <t xml:space="preserve">Carlos Gustavo Jiménez Zevallos </t>
  </si>
  <si>
    <t xml:space="preserve"> Av. José Granda 3826, SAN MARTIN DE PORRES 15107</t>
  </si>
  <si>
    <t>idk.gabriz</t>
  </si>
  <si>
    <t xml:space="preserve">Sebastian Gabriel Romani Romero </t>
  </si>
  <si>
    <t xml:space="preserve">Huancayo x parque industrial </t>
  </si>
  <si>
    <t xml:space="preserve">Idk.gabrizzz </t>
  </si>
  <si>
    <t xml:space="preserve">Por Parque industrial (huancayo) </t>
  </si>
  <si>
    <t>imeegan</t>
  </si>
  <si>
    <t>Megan Salas Arenas</t>
  </si>
  <si>
    <t xml:space="preserve">Av Parra Co - Arequipa </t>
  </si>
  <si>
    <t>jeaa4n1</t>
  </si>
  <si>
    <t>Omar Anthony Toledo Luna</t>
  </si>
  <si>
    <t>Shalom vmt (pesquero)</t>
  </si>
  <si>
    <t>jorge1998r</t>
  </si>
  <si>
    <t xml:space="preserve">Jorge Rodrigo Cancino Chuquitucto </t>
  </si>
  <si>
    <t xml:space="preserve">995 032 992 </t>
  </si>
  <si>
    <t>Shalom: OVALO PAPAL
La Libertad / Trujillo / Trujillo.</t>
  </si>
  <si>
    <t xml:space="preserve">Jose </t>
  </si>
  <si>
    <t xml:space="preserve">Jose Alberto Raymundo jayo </t>
  </si>
  <si>
    <t xml:space="preserve">La Tinguiña en ica </t>
  </si>
  <si>
    <t xml:space="preserve">Joseph Trujillo Morales </t>
  </si>
  <si>
    <t>Salaverry- Huacho</t>
  </si>
  <si>
    <t>Josu&gt;:v</t>
  </si>
  <si>
    <t>Israel Josué Borda Huayna</t>
  </si>
  <si>
    <t>Arequipa - Cerro Colorado - Asoc. Nuevo Horizonte Av 54</t>
  </si>
  <si>
    <t xml:space="preserve">Juan Gabriel Rivero </t>
  </si>
  <si>
    <t xml:space="preserve">Juan Rivero Urbina </t>
  </si>
  <si>
    <t>chosica</t>
  </si>
  <si>
    <t>JuM_RoCk</t>
  </si>
  <si>
    <t>Jummer Eduardo ponciano condori</t>
  </si>
  <si>
    <t>Shalom km 19</t>
  </si>
  <si>
    <t xml:space="preserve">KAEL </t>
  </si>
  <si>
    <t xml:space="preserve">Renso Elvis Leon Cosalian </t>
  </si>
  <si>
    <t xml:space="preserve">Tres de Octubre, Nuevo Chimbote, Santa, Áncash </t>
  </si>
  <si>
    <t>Kazuho</t>
  </si>
  <si>
    <t xml:space="preserve">Avenida Flora tristan N 885 urbanización santa patricia etapa 3 la Molina </t>
  </si>
  <si>
    <t>Kiwi</t>
  </si>
  <si>
    <t>Adrian leonardo bustillos paucar</t>
  </si>
  <si>
    <t>AV TUPAC AMARU CDRA. 57 - comas</t>
  </si>
  <si>
    <t>Kiyo_900</t>
  </si>
  <si>
    <t>Luigui Wilmer Quispe Perez</t>
  </si>
  <si>
    <t>huaycan entrada</t>
  </si>
  <si>
    <t>lamyy1</t>
  </si>
  <si>
    <t>Padilla Galván Luis Adriano</t>
  </si>
  <si>
    <t>Jr. Ramon Castilla 201, Chupaca - Chupaca - Junin, Ref. A Una Cdra. De La Plaza Principal De Chupaca</t>
  </si>
  <si>
    <t>lenyn.2.1</t>
  </si>
  <si>
    <t xml:space="preserve">Lenyn surichaqui Sáenz </t>
  </si>
  <si>
    <t>chilca huancayo</t>
  </si>
  <si>
    <t>Leo</t>
  </si>
  <si>
    <t xml:space="preserve">Leonardo churampi soto </t>
  </si>
  <si>
    <t>San agustin de cajas - huancayo - junin</t>
  </si>
  <si>
    <t>Leo.</t>
  </si>
  <si>
    <t>Nelly Gómez daza</t>
  </si>
  <si>
    <t>928 432 677</t>
  </si>
  <si>
    <t>Shalom santa clara ate</t>
  </si>
  <si>
    <t>Lesly1108</t>
  </si>
  <si>
    <t>Lesly karina bobadilla flores</t>
  </si>
  <si>
    <t>Pastor sevilla</t>
  </si>
  <si>
    <t>loski77</t>
  </si>
  <si>
    <t xml:space="preserve">Karim Jeanina becerra lozano </t>
  </si>
  <si>
    <t>Av. Independencia 787, Cajamarca 06002</t>
  </si>
  <si>
    <t>Melissamedina81</t>
  </si>
  <si>
    <t xml:space="preserve">Alexandra medina Sánchez </t>
  </si>
  <si>
    <t>Shalom agencia atahualpa</t>
  </si>
  <si>
    <t>Mila</t>
  </si>
  <si>
    <t>Camila Milagros Zapata Trujillo</t>
  </si>
  <si>
    <t>Lima/Lima/los olivos/pro</t>
  </si>
  <si>
    <t>misael</t>
  </si>
  <si>
    <t>Misael Bernardo Meca Navarro</t>
  </si>
  <si>
    <t>927 377 359</t>
  </si>
  <si>
    <t>sullana santa rosa</t>
  </si>
  <si>
    <t xml:space="preserve">Moisés </t>
  </si>
  <si>
    <t xml:space="preserve">Moisés  apaza puma </t>
  </si>
  <si>
    <t xml:space="preserve"> shalom sicuani </t>
  </si>
  <si>
    <t>mxbxll</t>
  </si>
  <si>
    <t xml:space="preserve">Yasmin ramos Rodríguez </t>
  </si>
  <si>
    <t>(Virú - Virú) Puente Virú - terrestre</t>
  </si>
  <si>
    <t>nadia.nnuser</t>
  </si>
  <si>
    <t>Nadia Milagros Villanueva Abad</t>
  </si>
  <si>
    <t xml:space="preserve">Shalom Av. Jose Galvez, Chimbote, Ancash </t>
  </si>
  <si>
    <t>Nami</t>
  </si>
  <si>
    <t xml:space="preserve">Jesús Alexander Huaman Hancco </t>
  </si>
  <si>
    <t xml:space="preserve">Tica tica </t>
  </si>
  <si>
    <t>Nathsume</t>
  </si>
  <si>
    <t>Keysi Priya Aguilar Estrella</t>
  </si>
  <si>
    <t>912 291 630</t>
  </si>
  <si>
    <t>Shalom cruz de motupe</t>
  </si>
  <si>
    <t>DANIELMILLAR</t>
  </si>
  <si>
    <t>Ninonakanoqt</t>
  </si>
  <si>
    <t>Rocío diana somoza conde</t>
  </si>
  <si>
    <t>972 542 339</t>
  </si>
  <si>
    <t>Óvalo Tottus puente piedra</t>
  </si>
  <si>
    <t>DAVIDTREM</t>
  </si>
  <si>
    <t>Obito</t>
  </si>
  <si>
    <t>Juan Giampier torres huamani</t>
  </si>
  <si>
    <t xml:space="preserve">Pisco, pisco , abraham valdelomar </t>
  </si>
  <si>
    <t>HUGO</t>
  </si>
  <si>
    <t>pablo</t>
  </si>
  <si>
    <t xml:space="preserve">Jean Marco Carlos Ccamerccoa </t>
  </si>
  <si>
    <t xml:space="preserve">espinar </t>
  </si>
  <si>
    <t>HYUNX</t>
  </si>
  <si>
    <t xml:space="preserve">Panda </t>
  </si>
  <si>
    <t xml:space="preserve">Bley gustavo arteta perea </t>
  </si>
  <si>
    <t xml:space="preserve">Jr tupac amaru  manantay  </t>
  </si>
  <si>
    <t>JORGE</t>
  </si>
  <si>
    <t>RHAEGO HG</t>
  </si>
  <si>
    <t xml:space="preserve">Heysonh Gomez Escandon </t>
  </si>
  <si>
    <t>HUÁNUCO / HUANUCO / HUANUCO / JR AGUILAR
Nombre De La Sucursal De Shalom: JR AGUILAR</t>
  </si>
  <si>
    <t>JOSA</t>
  </si>
  <si>
    <t>Rod</t>
  </si>
  <si>
    <t xml:space="preserve">Rodrigo Fabrizio Vilca Avalos </t>
  </si>
  <si>
    <t xml:space="preserve">Trujillo - Shalom Ovalo Papal </t>
  </si>
  <si>
    <t>JUMROCK</t>
  </si>
  <si>
    <t xml:space="preserve">Russbel lives </t>
  </si>
  <si>
    <t xml:space="preserve">Russbel Carcausto Puma </t>
  </si>
  <si>
    <t>Jr. Mama Ocllo 915 - B, Juliaca, Perú Al costado del Terminal Terrestre, cruce con, Jr. Azángaro, Juliaca 21100</t>
  </si>
  <si>
    <t>RICOCAN</t>
  </si>
  <si>
    <t>LESLY</t>
  </si>
  <si>
    <t xml:space="preserve">Keiko Sofía Paucar turpo </t>
  </si>
  <si>
    <t>AV. independencia 1538 Juliaca 21102</t>
  </si>
  <si>
    <t>JOSEPH TRUJILLO</t>
  </si>
  <si>
    <t>Sakaki</t>
  </si>
  <si>
    <t>Renatto Alexis Rafael Roque</t>
  </si>
  <si>
    <t>Shalom Limatambo - San Borja</t>
  </si>
  <si>
    <t xml:space="preserve">Santa </t>
  </si>
  <si>
    <t>Francisca Santamaria valdera</t>
  </si>
  <si>
    <t>SHALOM PUENTE ARICA</t>
  </si>
  <si>
    <t xml:space="preserve">Satou </t>
  </si>
  <si>
    <t>Ludwin yhojan cruz cruz</t>
  </si>
  <si>
    <t xml:space="preserve">Shalom Pedregal </t>
  </si>
  <si>
    <t>Satu</t>
  </si>
  <si>
    <t xml:space="preserve">Ludwin yhojan cruz cruz </t>
  </si>
  <si>
    <t xml:space="preserve">Shalom majes Pedregal </t>
  </si>
  <si>
    <t>sevennyy</t>
  </si>
  <si>
    <t>Maria Luisa Padilla Casas</t>
  </si>
  <si>
    <t xml:space="preserve">Shalom año nuevo - comas </t>
  </si>
  <si>
    <t>Si</t>
  </si>
  <si>
    <t xml:space="preserve">Anthony Álvaro enrriquez </t>
  </si>
  <si>
    <t xml:space="preserve">Puente Arica </t>
  </si>
  <si>
    <t xml:space="preserve">Richard Jorge Mendez Cebrian </t>
  </si>
  <si>
    <t>Shalom Trujillo, sede America del sur</t>
  </si>
  <si>
    <t>SK34</t>
  </si>
  <si>
    <t>Eduardo Ivan Ccanto Vargas</t>
  </si>
  <si>
    <t>AÑO NUEVO</t>
  </si>
  <si>
    <t>Speed</t>
  </si>
  <si>
    <t xml:space="preserve">Christian Gerardo Aragon Figueroa </t>
  </si>
  <si>
    <t>Shalom Magdalena (Jr Ayacucho 758)</t>
  </si>
  <si>
    <t>stfv_04</t>
  </si>
  <si>
    <t xml:space="preserve">Karim Gabriela Bazán de los ríos </t>
  </si>
  <si>
    <t>906 274 460</t>
  </si>
  <si>
    <t xml:space="preserve"> Mariscal Nieto 390 , chiclayo</t>
  </si>
  <si>
    <t>Susan.yuliana2121</t>
  </si>
  <si>
    <t>Susan yuliana huanco anco</t>
  </si>
  <si>
    <t xml:space="preserve">Arequipa caylloma majes </t>
  </si>
  <si>
    <t xml:space="preserve">Tatsumaki </t>
  </si>
  <si>
    <t>Jefferson Espinoza Nina</t>
  </si>
  <si>
    <t>Cusco-San Jerónimo-Calle Ciro Alegría 226 - 224, Ref. Una Cuadra Antes Del Paradero Penal En El Carril De Bajada</t>
  </si>
  <si>
    <t>Teffo</t>
  </si>
  <si>
    <t xml:space="preserve">Leandro estefano Chávez Alvarado </t>
  </si>
  <si>
    <t>Shalom KM 23.5</t>
  </si>
  <si>
    <t>unknowfeelings999</t>
  </si>
  <si>
    <t xml:space="preserve">Patricia Saray Lujan Trujillo </t>
  </si>
  <si>
    <t>shalom de la av. argentina todo faucett callao</t>
  </si>
  <si>
    <t xml:space="preserve">Vance </t>
  </si>
  <si>
    <t>Enrique Arturo sarmiento canales</t>
  </si>
  <si>
    <t xml:space="preserve">
Shalom de Av los héroes sjm</t>
  </si>
  <si>
    <t>Víctor64uwu</t>
  </si>
  <si>
    <t xml:space="preserve">Victor Hugo Panca Huancahuiri </t>
  </si>
  <si>
    <t>Arequipa, Caylloma, Majes -Pedregal</t>
  </si>
  <si>
    <t>Vivinet</t>
  </si>
  <si>
    <t xml:space="preserve">Cesar Vasquez Olortegui </t>
  </si>
  <si>
    <t>Pablo rosell /nanay</t>
  </si>
  <si>
    <t>xdwqrf</t>
  </si>
  <si>
    <t>Rocío diana Somoza conde</t>
  </si>
  <si>
    <t>910 899 540</t>
  </si>
  <si>
    <t xml:space="preserve">Óvalo puente piedra </t>
  </si>
  <si>
    <t>xluton</t>
  </si>
  <si>
    <t>Bruno Luis Angel Galindo Narro</t>
  </si>
  <si>
    <t>Shalom - Av Jose Saco Rojas</t>
  </si>
  <si>
    <t>yohan.pe</t>
  </si>
  <si>
    <t xml:space="preserve">Nicole Alexandra Reyes Picón </t>
  </si>
  <si>
    <t>Shalom Marcona (ica, nasca,Marcona)</t>
  </si>
  <si>
    <t>Zambranodh8</t>
  </si>
  <si>
    <t>ALEXANDER ZAMBRANO MUÑOZ</t>
  </si>
  <si>
    <t>JUNIN-CHUPACA</t>
  </si>
  <si>
    <t>Szchezuan</t>
  </si>
  <si>
    <t xml:space="preserve">Alvaro Rodolfo Rojas Tacunan </t>
  </si>
  <si>
    <t xml:space="preserve">SAN CARLOS HUANCAYO </t>
  </si>
  <si>
    <t>Moisescm20</t>
  </si>
  <si>
    <t xml:space="preserve">Cruz medina moises </t>
  </si>
  <si>
    <t xml:space="preserve">Shalom de magdalena </t>
  </si>
  <si>
    <t>Sammy</t>
  </si>
  <si>
    <t xml:space="preserve">Carlos Javier Benjamin Castillo Dominguez </t>
  </si>
  <si>
    <t>Shalom la perla- auxiliar av. de la marina 530, La Perla 07016</t>
  </si>
  <si>
    <t>Janax</t>
  </si>
  <si>
    <t xml:space="preserve">Flor angélica bautista bazalar </t>
  </si>
  <si>
    <t>Chorrillos- av. Los faisanes 420</t>
  </si>
  <si>
    <t>@Rem_LVA</t>
  </si>
  <si>
    <t xml:space="preserve">Lenin Vladimiro Acevedo Ocaña </t>
  </si>
  <si>
    <t xml:space="preserve">Puente Arica - Puente piedra </t>
  </si>
  <si>
    <t>PANDA</t>
  </si>
  <si>
    <t xml:space="preserve">Jr tupac amaru -pucallpa -manantay </t>
  </si>
  <si>
    <t xml:space="preserve">Neyrenm70 </t>
  </si>
  <si>
    <t>Elvira Ana Claudia Arca Neira</t>
  </si>
  <si>
    <t>923 483 384</t>
  </si>
  <si>
    <t>Shalom calle emaus (al costado del Senati) piura</t>
  </si>
  <si>
    <t>Ander"-"</t>
  </si>
  <si>
    <t xml:space="preserve">Alexander Paredes Huaman </t>
  </si>
  <si>
    <t xml:space="preserve">                                                                                                                                                                                                                DIRECCION: Al lado grifo señor de qoyllority, distrito de combapata, canchis, cusco.</t>
  </si>
  <si>
    <t xml:space="preserve"> ,</t>
  </si>
  <si>
    <t>USUARIO</t>
  </si>
  <si>
    <t>SAKAKI</t>
  </si>
  <si>
    <t>NOMBRE</t>
  </si>
  <si>
    <t>TLF</t>
  </si>
  <si>
    <t>SHALOM</t>
  </si>
  <si>
    <t>ARANCIEA</t>
  </si>
  <si>
    <t>LAMBAYEQUE CENTRO</t>
  </si>
  <si>
    <t>BOCHI</t>
  </si>
  <si>
    <t>AREQUIPA MANUEL PRADO</t>
  </si>
  <si>
    <t>AV ANGAMOS</t>
  </si>
  <si>
    <t>HERNANDEZ</t>
  </si>
  <si>
    <t>MALA</t>
  </si>
  <si>
    <t>MISAEL</t>
  </si>
  <si>
    <t>SULLANA SANTA ROSA</t>
  </si>
  <si>
    <t>Nombre de usuario de Tiktok</t>
  </si>
  <si>
    <t>Anime de preferencia (no aseguro que sea de ese anime el regalo)</t>
  </si>
  <si>
    <t>FECHA DE CUMPLEAÑOS</t>
  </si>
  <si>
    <t>Algo extra que quieras mencionar?</t>
  </si>
  <si>
    <t>No se</t>
  </si>
  <si>
    <t>Sailor moon</t>
  </si>
  <si>
    <t>Te quiero mucho mi niño lindo</t>
  </si>
  <si>
    <t>@renzoherreraaqp</t>
  </si>
  <si>
    <t>One piece</t>
  </si>
  <si>
    <t>Las escenas de One piece lo son todo</t>
  </si>
  <si>
    <t>@luisangelo1</t>
  </si>
  <si>
    <t>Un kuma me gustaría.</t>
  </si>
  <si>
    <t>Sk34</t>
  </si>
  <si>
    <t>Todas las anteriores menos waifus.</t>
  </si>
  <si>
    <t>Se viene el tri</t>
  </si>
  <si>
    <t>Ya pasó pero ñe</t>
  </si>
  <si>
    <t>David</t>
  </si>
  <si>
    <t>Demon eslayer</t>
  </si>
  <si>
    <t>Que es cierto mis cumpleaños</t>
  </si>
  <si>
    <t>Dvid</t>
  </si>
  <si>
    <t>Grasias</t>
  </si>
  <si>
    <t>Khaii</t>
  </si>
  <si>
    <t>@hugo_silva15</t>
  </si>
  <si>
    <t>kimetsu no yaiba</t>
  </si>
  <si>
    <t>Agradecerte hermano, por el gran trato a todos tus clientes, la comunidad que estas formando llegara muy lejos por lo buena persona que eres, y por ser 100% confiable, éxito en todos tus proyectos</t>
  </si>
  <si>
    <t>OP y waifus</t>
  </si>
  <si>
    <t>Owo</t>
  </si>
  <si>
    <t>Nath</t>
  </si>
  <si>
    <t>🪫</t>
  </si>
  <si>
    <t xml:space="preserve">Nayeli </t>
  </si>
  <si>
    <t>CUENTAS FABRIZIO</t>
  </si>
  <si>
    <t>CUENTAS ROXANNA + ANDRE</t>
  </si>
  <si>
    <t>CUENTA</t>
  </si>
  <si>
    <t>MONTO</t>
  </si>
  <si>
    <t>VENCIMIENTO</t>
  </si>
  <si>
    <t>PAGADO</t>
  </si>
  <si>
    <t>CHRIS</t>
  </si>
  <si>
    <t>Jenni</t>
  </si>
  <si>
    <t>FIGURITA</t>
  </si>
  <si>
    <t>Carro</t>
  </si>
  <si>
    <t>MIKU SNOW</t>
  </si>
  <si>
    <t>ANDRE</t>
  </si>
  <si>
    <t>COLCHON ANDRE</t>
  </si>
  <si>
    <t>MOVILIDAD ABUE??</t>
  </si>
  <si>
    <t>pal gas ps</t>
  </si>
  <si>
    <t>x3</t>
  </si>
  <si>
    <t>RIPLEY</t>
  </si>
  <si>
    <t>MEDICAMENTO 09</t>
  </si>
  <si>
    <t>ROXANA 10</t>
  </si>
  <si>
    <t>UNDEF</t>
  </si>
  <si>
    <t>MEDICAMENTO 10</t>
  </si>
  <si>
    <t>BCP</t>
  </si>
  <si>
    <t>ANDRE NOVIEMBRE</t>
  </si>
  <si>
    <t>ROXANA 09</t>
  </si>
  <si>
    <t xml:space="preserve">ANDRE SETIEMBRE </t>
  </si>
  <si>
    <t>ROSA POLLADA</t>
  </si>
  <si>
    <t xml:space="preserve"> </t>
  </si>
  <si>
    <t>CUENTAS FABRIZIO NOVIEMBRE</t>
  </si>
  <si>
    <t>SUNAT</t>
  </si>
  <si>
    <t>YAPE</t>
  </si>
  <si>
    <t>CARRO</t>
  </si>
  <si>
    <t>FINANCIERA "MI VIEJITA"</t>
  </si>
  <si>
    <t>TOTAL</t>
  </si>
  <si>
    <t>FECHA</t>
  </si>
  <si>
    <t>MONEDA</t>
  </si>
  <si>
    <t>MOTIVO</t>
  </si>
  <si>
    <t>FONDO</t>
  </si>
  <si>
    <t>DEVUELTO</t>
  </si>
  <si>
    <t>DOLARES</t>
  </si>
  <si>
    <t>NEGOCIO</t>
  </si>
  <si>
    <t>DEPOSITO</t>
  </si>
  <si>
    <t>SOLES</t>
  </si>
  <si>
    <t>TARJETA</t>
  </si>
  <si>
    <t>PERU</t>
  </si>
  <si>
    <t xml:space="preserve">TARJETA </t>
  </si>
  <si>
    <t>ROXANA</t>
  </si>
  <si>
    <t>CALCULADORA</t>
  </si>
  <si>
    <t>CANT</t>
  </si>
  <si>
    <t>TIPO DE CAMBIO</t>
  </si>
  <si>
    <t>TINY</t>
  </si>
  <si>
    <t>YENES</t>
  </si>
  <si>
    <t>SMALL</t>
  </si>
  <si>
    <t>MEDIUM</t>
  </si>
  <si>
    <t>BIG</t>
  </si>
  <si>
    <t>ALONE</t>
  </si>
  <si>
    <t>ANIME</t>
  </si>
  <si>
    <t>MARCA</t>
  </si>
  <si>
    <t>LINEA</t>
  </si>
  <si>
    <t>FIGURA</t>
  </si>
  <si>
    <t>PRECIO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</si>
</sst>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dd/mm"/>
    <numFmt numFmtId="166" formatCode="0.000"/>
    <numFmt numFmtId="167" formatCode="d/m"/>
    <numFmt numFmtId="168" formatCode="0.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omfortaa"/>
    </font>
    <font>
      <color rgb="FF1F1F1F"/>
      <name val="&quot;Google Sans Mono&quot;"/>
    </font>
    <font>
      <b/>
      <color theme="1"/>
      <name val="Arial"/>
      <scheme val="minor"/>
    </font>
    <font>
      <color rgb="FF000000"/>
      <name val="Arial"/>
      <scheme val="minor"/>
    </font>
    <font>
      <sz val="11.0"/>
      <color theme="1"/>
      <name val="Calibri"/>
    </font>
    <font>
      <u/>
      <color rgb="FF0000FF"/>
      <name val="Roboto"/>
    </font>
    <font>
      <color theme="1"/>
      <name val="Arial"/>
    </font>
    <font>
      <b/>
      <sz val="16.0"/>
      <color theme="1"/>
      <name val="Calibri"/>
    </font>
    <font/>
    <font>
      <sz val="14.0"/>
      <color rgb="FF18181B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00FF00"/>
        <bgColor rgb="FF00FF00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top"/>
    </xf>
    <xf borderId="0" fillId="2" fontId="3" numFmtId="0" xfId="0" applyAlignment="1" applyFill="1" applyFont="1">
      <alignment shrinkToFit="0" wrapText="1"/>
    </xf>
    <xf borderId="0" fillId="0" fontId="1" numFmtId="0" xfId="0" applyAlignment="1" applyFont="1">
      <alignment horizontal="left" readingOrder="0" vertical="top"/>
    </xf>
    <xf borderId="0" fillId="0" fontId="4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8" numFmtId="166" xfId="0" applyAlignment="1" applyFont="1" applyNumberFormat="1">
      <alignment readingOrder="0" vertical="bottom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8" numFmtId="0" xfId="0" applyAlignment="1" applyFont="1">
      <alignment horizontal="center" readingOrder="0" vertical="bottom"/>
    </xf>
    <xf borderId="0" fillId="0" fontId="8" numFmtId="165" xfId="0" applyAlignment="1" applyFont="1" applyNumberFormat="1">
      <alignment readingOrder="0" vertical="bottom"/>
    </xf>
    <xf borderId="0" fillId="0" fontId="8" numFmtId="0" xfId="0" applyAlignment="1" applyFont="1">
      <alignment horizontal="center" readingOrder="0"/>
    </xf>
    <xf borderId="0" fillId="0" fontId="8" numFmtId="165" xfId="0" applyAlignment="1" applyFont="1" applyNumberFormat="1">
      <alignment horizontal="right" vertical="bottom"/>
    </xf>
    <xf borderId="0" fillId="0" fontId="8" numFmtId="167" xfId="0" applyAlignment="1" applyFont="1" applyNumberFormat="1">
      <alignment readingOrder="0" vertical="bottom"/>
    </xf>
    <xf borderId="0" fillId="0" fontId="6" numFmtId="0" xfId="0" applyAlignment="1" applyFont="1">
      <alignment horizontal="right" vertical="bottom"/>
    </xf>
    <xf borderId="0" fillId="0" fontId="6" numFmtId="1" xfId="0" applyAlignment="1" applyFont="1" applyNumberFormat="1">
      <alignment horizontal="right" readingOrder="0" vertical="bottom"/>
    </xf>
    <xf borderId="0" fillId="0" fontId="1" numFmtId="1" xfId="0" applyFont="1" applyNumberFormat="1"/>
    <xf borderId="1" fillId="0" fontId="9" numFmtId="0" xfId="0" applyAlignment="1" applyBorder="1" applyFont="1">
      <alignment horizontal="center"/>
    </xf>
    <xf borderId="2" fillId="0" fontId="10" numFmtId="0" xfId="0" applyBorder="1" applyFont="1"/>
    <xf borderId="3" fillId="0" fontId="10" numFmtId="0" xfId="0" applyBorder="1" applyFont="1"/>
    <xf borderId="0" fillId="0" fontId="1" numFmtId="1" xfId="0" applyAlignment="1" applyFont="1" applyNumberFormat="1">
      <alignment readingOrder="0"/>
    </xf>
    <xf borderId="4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0" fillId="0" fontId="11" numFmtId="3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8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SHALOM ENV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ENVIACION-style">
      <tableStyleElement dxfId="2" type="firstRowStripe"/>
      <tableStyleElement dxfId="3" type="secondRowStripe"/>
    </tableStyle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9" displayName="Form_Responses2" name="Form_Responses2" id="1">
  <autoFilter ref="$A$1:$F$119"/>
  <tableColumns count="6">
    <tableColumn name="Marca temporal" id="1"/>
    <tableColumn name="USUARIO DE TIKTOK" id="2"/>
    <tableColumn name="Nombre completo" id="3"/>
    <tableColumn name="DNI" id="4"/>
    <tableColumn name="Teléfono" id="5"/>
    <tableColumn name="Shalom más cercano" id="6"/>
  </tableColumns>
  <tableStyleInfo name="SHALOM ENVIOS-style" showColumnStripes="0" showFirstColumn="1" showLastColumn="1" showRowStripes="1"/>
</table>
</file>

<file path=xl/tables/table2.xml><?xml version="1.0" encoding="utf-8"?>
<table xmlns="http://schemas.openxmlformats.org/spreadsheetml/2006/main" headerRowCount="0" ref="A7:E12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ENVIACION-style" showColumnStripes="0" showFirstColumn="1" showLastColumn="1" showRowStripes="1"/>
</table>
</file>

<file path=xl/tables/table3.xml><?xml version="1.0" encoding="utf-8"?>
<table xmlns="http://schemas.openxmlformats.org/spreadsheetml/2006/main" ref="A1:E14" displayName="Form_Responses" name="Form_Responses" id="3">
  <autoFilter ref="$A$1:$E$14"/>
  <tableColumns count="5">
    <tableColumn name="Marca temporal" id="1"/>
    <tableColumn name="Nombre de usuario de Tiktok" id="2"/>
    <tableColumn name="Anime de preferencia (no aseguro que sea de ese anime el regalo)" id="3"/>
    <tableColumn name="FECHA DE CUMPLEAÑOS" id="4"/>
    <tableColumn name="Algo extra que quieras mencionar?" id="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ohan.p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0"/>
    <col customWidth="1" min="3" max="3" width="30.25"/>
    <col customWidth="1" min="4" max="5" width="18.88"/>
    <col customWidth="1" min="6" max="6" width="83.38"/>
    <col customWidth="1" min="7" max="7" width="18.88"/>
    <col customWidth="1" min="8" max="8" width="11.88"/>
    <col customWidth="1" min="9" max="9" width="26.0"/>
    <col customWidth="1" min="10" max="10" width="29.0"/>
    <col customWidth="1" min="11" max="12" width="18.88"/>
  </cols>
  <sheetData>
    <row r="1" ht="22.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H1" s="4" t="s">
        <v>6</v>
      </c>
      <c r="I1" s="5" t="s">
        <v>7</v>
      </c>
    </row>
    <row r="2" ht="22.5" customHeight="1">
      <c r="A2" s="6">
        <v>46126.956187511576</v>
      </c>
      <c r="B2" s="7" t="s">
        <v>8</v>
      </c>
      <c r="C2" s="7" t="s">
        <v>9</v>
      </c>
      <c r="D2" s="8">
        <v>4.4625098E7</v>
      </c>
      <c r="E2" s="8">
        <v>9.49053315E8</v>
      </c>
      <c r="F2" s="7" t="s">
        <v>10</v>
      </c>
      <c r="I2" s="9"/>
    </row>
    <row r="3" ht="22.5" customHeight="1">
      <c r="A3" s="6">
        <v>46093.59325074074</v>
      </c>
      <c r="B3" s="7" t="s">
        <v>11</v>
      </c>
      <c r="C3" s="7" t="s">
        <v>12</v>
      </c>
      <c r="D3" s="8">
        <v>7.1366714E7</v>
      </c>
      <c r="E3" s="8">
        <v>9.367853E8</v>
      </c>
      <c r="F3" s="7" t="s">
        <v>13</v>
      </c>
      <c r="I3" s="9"/>
      <c r="J3" s="4" t="s">
        <v>14</v>
      </c>
    </row>
    <row r="4" ht="22.5" customHeight="1">
      <c r="A4" s="6">
        <v>46145.58551704861</v>
      </c>
      <c r="B4" s="7" t="s">
        <v>15</v>
      </c>
      <c r="C4" s="7" t="s">
        <v>16</v>
      </c>
      <c r="D4" s="7">
        <v>7.0572906E7</v>
      </c>
      <c r="E4" s="8">
        <v>9.49236856E8</v>
      </c>
      <c r="F4" s="7" t="s">
        <v>17</v>
      </c>
      <c r="J4" s="4" t="s">
        <v>18</v>
      </c>
    </row>
    <row r="5" ht="22.5" customHeight="1">
      <c r="A5" s="6">
        <v>46093.69300953703</v>
      </c>
      <c r="B5" s="7" t="s">
        <v>19</v>
      </c>
      <c r="C5" s="7" t="s">
        <v>20</v>
      </c>
      <c r="D5" s="8">
        <v>6.1298961E7</v>
      </c>
      <c r="E5" s="8">
        <v>9.50528798E8</v>
      </c>
      <c r="F5" s="7" t="s">
        <v>21</v>
      </c>
      <c r="J5" s="4" t="s">
        <v>22</v>
      </c>
    </row>
    <row r="6" ht="22.5" customHeight="1">
      <c r="A6" s="6">
        <v>46142.47658108796</v>
      </c>
      <c r="B6" s="7" t="s">
        <v>23</v>
      </c>
      <c r="C6" s="7" t="s">
        <v>24</v>
      </c>
      <c r="D6" s="8">
        <v>6.0805349E7</v>
      </c>
      <c r="E6" s="8">
        <v>9.74485355E8</v>
      </c>
      <c r="F6" s="7" t="s">
        <v>25</v>
      </c>
      <c r="J6" s="4" t="s">
        <v>26</v>
      </c>
    </row>
    <row r="7" ht="22.5" customHeight="1">
      <c r="A7" s="6">
        <v>46041.88820277777</v>
      </c>
      <c r="B7" s="7" t="s">
        <v>27</v>
      </c>
      <c r="C7" s="7" t="s">
        <v>28</v>
      </c>
      <c r="D7" s="8">
        <v>7.0610053E7</v>
      </c>
      <c r="E7" s="8">
        <v>9.95032992E8</v>
      </c>
      <c r="F7" s="7" t="s">
        <v>29</v>
      </c>
      <c r="H7" s="10" t="s">
        <v>30</v>
      </c>
      <c r="I7" s="4" t="s">
        <v>31</v>
      </c>
    </row>
    <row r="8" ht="22.5" customHeight="1">
      <c r="A8" s="6">
        <v>46127.45493903935</v>
      </c>
      <c r="B8" s="7" t="s">
        <v>32</v>
      </c>
      <c r="C8" s="7" t="s">
        <v>33</v>
      </c>
      <c r="D8" s="8">
        <v>7.6934187E7</v>
      </c>
      <c r="E8" s="8">
        <v>9.10568508E8</v>
      </c>
      <c r="F8" s="7" t="s">
        <v>34</v>
      </c>
      <c r="H8" s="10" t="s">
        <v>35</v>
      </c>
      <c r="I8" s="4" t="s">
        <v>36</v>
      </c>
    </row>
    <row r="9" ht="22.5" customHeight="1">
      <c r="A9" s="6">
        <v>46099.27072423611</v>
      </c>
      <c r="B9" s="7" t="s">
        <v>37</v>
      </c>
      <c r="C9" s="7" t="s">
        <v>38</v>
      </c>
      <c r="D9" s="8">
        <v>6.3420852E7</v>
      </c>
      <c r="E9" s="8">
        <v>9.7458203E8</v>
      </c>
      <c r="F9" s="7" t="s">
        <v>39</v>
      </c>
      <c r="H9" s="10" t="s">
        <v>40</v>
      </c>
      <c r="I9" s="11">
        <v>7.543907E7</v>
      </c>
    </row>
    <row r="10" ht="22.5" customHeight="1">
      <c r="A10" s="6">
        <v>46125.47156556713</v>
      </c>
      <c r="B10" s="7" t="s">
        <v>41</v>
      </c>
      <c r="C10" s="7" t="s">
        <v>42</v>
      </c>
      <c r="D10" s="8">
        <v>7.5411224E7</v>
      </c>
      <c r="E10" s="8">
        <v>9.20831371E8</v>
      </c>
      <c r="F10" s="7" t="s">
        <v>43</v>
      </c>
      <c r="H10" s="10" t="s">
        <v>44</v>
      </c>
      <c r="I10" s="11">
        <v>9.59992217E8</v>
      </c>
    </row>
    <row r="11" ht="22.5" customHeight="1">
      <c r="A11" s="6">
        <v>46069.66707988426</v>
      </c>
      <c r="B11" s="7" t="s">
        <v>45</v>
      </c>
      <c r="C11" s="7" t="s">
        <v>46</v>
      </c>
      <c r="D11" s="8">
        <v>4.2565837E7</v>
      </c>
      <c r="E11" s="8">
        <v>9.42637463E8</v>
      </c>
      <c r="F11" s="7" t="s">
        <v>47</v>
      </c>
      <c r="H11" s="12" t="s">
        <v>48</v>
      </c>
      <c r="I11" s="4" t="s">
        <v>49</v>
      </c>
    </row>
    <row r="12" ht="22.5" customHeight="1">
      <c r="A12" s="6">
        <v>46180.369373078705</v>
      </c>
      <c r="B12" s="7" t="s">
        <v>50</v>
      </c>
      <c r="C12" s="7" t="s">
        <v>51</v>
      </c>
      <c r="D12" s="7">
        <v>7.5209572E7</v>
      </c>
      <c r="E12" s="8">
        <v>9.94372069E8</v>
      </c>
      <c r="F12" s="7" t="s">
        <v>52</v>
      </c>
      <c r="I12" s="13"/>
    </row>
    <row r="13" ht="22.5" customHeight="1">
      <c r="A13" s="6">
        <v>46088.46513597222</v>
      </c>
      <c r="B13" s="7" t="s">
        <v>53</v>
      </c>
      <c r="C13" s="7" t="s">
        <v>54</v>
      </c>
      <c r="D13" s="8">
        <v>7.5133954E7</v>
      </c>
      <c r="E13" s="8">
        <v>9.3190193E8</v>
      </c>
      <c r="F13" s="7" t="s">
        <v>55</v>
      </c>
      <c r="H13" s="14"/>
      <c r="I13" s="13"/>
    </row>
    <row r="14" ht="22.5" customHeight="1">
      <c r="A14" s="6">
        <v>46144.80202875</v>
      </c>
      <c r="B14" s="7" t="s">
        <v>56</v>
      </c>
      <c r="C14" s="7" t="s">
        <v>57</v>
      </c>
      <c r="D14" s="8">
        <v>7.2882483E7</v>
      </c>
      <c r="E14" s="8">
        <v>9.55699991E8</v>
      </c>
      <c r="F14" s="7" t="s">
        <v>58</v>
      </c>
      <c r="I14" s="9"/>
    </row>
    <row r="15" ht="22.5" customHeight="1">
      <c r="A15" s="6">
        <v>46069.8011805787</v>
      </c>
      <c r="B15" s="7" t="s">
        <v>59</v>
      </c>
      <c r="C15" s="7" t="s">
        <v>60</v>
      </c>
      <c r="D15" s="8">
        <v>6.117301E7</v>
      </c>
      <c r="E15" s="8">
        <v>9.98121696E8</v>
      </c>
      <c r="F15" s="7" t="s">
        <v>61</v>
      </c>
      <c r="I15" s="9"/>
    </row>
    <row r="16" ht="22.5" customHeight="1">
      <c r="A16" s="6">
        <v>46166.58666503472</v>
      </c>
      <c r="B16" s="7" t="s">
        <v>62</v>
      </c>
      <c r="C16" s="7" t="s">
        <v>63</v>
      </c>
      <c r="D16" s="7">
        <v>6.1136509E7</v>
      </c>
      <c r="E16" s="8">
        <v>9.60530959E8</v>
      </c>
      <c r="F16" s="7" t="s">
        <v>64</v>
      </c>
    </row>
    <row r="17" ht="22.5" customHeight="1">
      <c r="A17" s="6">
        <v>46056.97390092592</v>
      </c>
      <c r="B17" s="7" t="s">
        <v>65</v>
      </c>
      <c r="C17" s="7" t="s">
        <v>66</v>
      </c>
      <c r="D17" s="8">
        <v>4.5784898E7</v>
      </c>
      <c r="E17" s="8">
        <v>9.73408883E8</v>
      </c>
      <c r="F17" s="7" t="s">
        <v>67</v>
      </c>
    </row>
    <row r="18" ht="22.5" customHeight="1">
      <c r="A18" s="6">
        <v>46140.44177576389</v>
      </c>
      <c r="B18" s="7" t="s">
        <v>68</v>
      </c>
      <c r="C18" s="7" t="s">
        <v>69</v>
      </c>
      <c r="D18" s="8">
        <v>4.667635E7</v>
      </c>
      <c r="E18" s="8">
        <v>9.73199732E8</v>
      </c>
      <c r="F18" s="7" t="s">
        <v>70</v>
      </c>
    </row>
    <row r="19" ht="22.5" customHeight="1">
      <c r="A19" s="6"/>
      <c r="B19" s="7" t="s">
        <v>71</v>
      </c>
      <c r="C19" s="7" t="s">
        <v>72</v>
      </c>
      <c r="D19" s="8">
        <v>4.0207629E7</v>
      </c>
      <c r="E19" s="8">
        <v>9.64394725E8</v>
      </c>
      <c r="F19" s="7" t="s">
        <v>73</v>
      </c>
    </row>
    <row r="20" ht="22.5" customHeight="1">
      <c r="A20" s="6">
        <v>46172.88987554398</v>
      </c>
      <c r="B20" s="7" t="s">
        <v>74</v>
      </c>
      <c r="C20" s="7" t="s">
        <v>75</v>
      </c>
      <c r="D20" s="7">
        <v>4.8700418E7</v>
      </c>
      <c r="E20" s="8">
        <v>9.40472996E8</v>
      </c>
      <c r="F20" s="7" t="s">
        <v>76</v>
      </c>
    </row>
    <row r="21" ht="22.5" customHeight="1">
      <c r="A21" s="6">
        <v>46055.5531025463</v>
      </c>
      <c r="B21" s="7" t="s">
        <v>77</v>
      </c>
      <c r="C21" s="7" t="s">
        <v>78</v>
      </c>
      <c r="D21" s="8">
        <v>7.2718036E7</v>
      </c>
      <c r="E21" s="8">
        <v>9.52088203E8</v>
      </c>
      <c r="F21" s="7" t="s">
        <v>79</v>
      </c>
    </row>
    <row r="22" ht="22.5" customHeight="1">
      <c r="A22" s="6">
        <v>45995.29584358796</v>
      </c>
      <c r="B22" s="7" t="s">
        <v>80</v>
      </c>
      <c r="C22" s="7" t="s">
        <v>81</v>
      </c>
      <c r="D22" s="8">
        <v>6.0735065E7</v>
      </c>
      <c r="E22" s="8">
        <v>9.65906061E8</v>
      </c>
      <c r="F22" s="7" t="s">
        <v>82</v>
      </c>
    </row>
    <row r="23" ht="22.5" customHeight="1">
      <c r="A23" s="6">
        <v>46085.0084685301</v>
      </c>
      <c r="B23" s="7" t="s">
        <v>83</v>
      </c>
      <c r="C23" s="7" t="s">
        <v>84</v>
      </c>
      <c r="D23" s="8">
        <v>6.0968188E7</v>
      </c>
      <c r="E23" s="8">
        <v>9.91798695E8</v>
      </c>
      <c r="F23" s="7" t="s">
        <v>85</v>
      </c>
    </row>
    <row r="24" ht="22.5" customHeight="1">
      <c r="A24" s="6">
        <v>46008.60431890046</v>
      </c>
      <c r="B24" s="7" t="s">
        <v>86</v>
      </c>
      <c r="C24" s="7" t="s">
        <v>87</v>
      </c>
      <c r="D24" s="8">
        <v>7.1936825E7</v>
      </c>
      <c r="E24" s="8">
        <v>9.34513456E8</v>
      </c>
      <c r="F24" s="7" t="s">
        <v>88</v>
      </c>
    </row>
    <row r="25" ht="22.5" customHeight="1">
      <c r="A25" s="6">
        <v>46174.81715729166</v>
      </c>
      <c r="B25" s="7" t="s">
        <v>89</v>
      </c>
      <c r="C25" s="7" t="s">
        <v>90</v>
      </c>
      <c r="D25" s="7">
        <v>6.0934565E7</v>
      </c>
      <c r="E25" s="8">
        <v>9.31834679E8</v>
      </c>
      <c r="F25" s="7" t="s">
        <v>91</v>
      </c>
    </row>
    <row r="26" ht="22.5" customHeight="1">
      <c r="A26" s="6">
        <v>45995.449919328705</v>
      </c>
      <c r="B26" s="7" t="s">
        <v>92</v>
      </c>
      <c r="C26" s="7" t="s">
        <v>93</v>
      </c>
      <c r="D26" s="8">
        <v>7.5963967E7</v>
      </c>
      <c r="E26" s="8">
        <v>9.14084959E8</v>
      </c>
      <c r="F26" s="7" t="s">
        <v>94</v>
      </c>
    </row>
    <row r="27" ht="22.5" customHeight="1">
      <c r="A27" s="6">
        <v>46091.78438305555</v>
      </c>
      <c r="B27" s="7" t="s">
        <v>95</v>
      </c>
      <c r="C27" s="7" t="s">
        <v>96</v>
      </c>
      <c r="D27" s="8">
        <v>7.3934503E7</v>
      </c>
      <c r="E27" s="8">
        <v>9.84022714E8</v>
      </c>
      <c r="F27" s="7" t="s">
        <v>97</v>
      </c>
    </row>
    <row r="28" ht="22.5" customHeight="1">
      <c r="A28" s="6">
        <v>46042.438222013894</v>
      </c>
      <c r="B28" s="7" t="s">
        <v>98</v>
      </c>
      <c r="C28" s="7" t="s">
        <v>99</v>
      </c>
      <c r="D28" s="8">
        <v>4.410806E7</v>
      </c>
      <c r="E28" s="8">
        <v>9.48368111E8</v>
      </c>
      <c r="F28" s="7" t="s">
        <v>100</v>
      </c>
    </row>
    <row r="29" ht="22.5" customHeight="1">
      <c r="A29" s="6">
        <v>46042.440002557865</v>
      </c>
      <c r="B29" s="7" t="s">
        <v>98</v>
      </c>
      <c r="C29" s="7" t="s">
        <v>101</v>
      </c>
      <c r="D29" s="8">
        <v>4.410806E7</v>
      </c>
      <c r="E29" s="8" t="s">
        <v>102</v>
      </c>
      <c r="F29" s="7" t="s">
        <v>103</v>
      </c>
    </row>
    <row r="30" ht="22.5" customHeight="1">
      <c r="A30" s="6">
        <v>46015.304436921295</v>
      </c>
      <c r="B30" s="7" t="s">
        <v>104</v>
      </c>
      <c r="C30" s="7" t="s">
        <v>105</v>
      </c>
      <c r="D30" s="8">
        <v>2.6719138E7</v>
      </c>
      <c r="E30" s="8">
        <v>9.16228587E8</v>
      </c>
      <c r="F30" s="7" t="s">
        <v>106</v>
      </c>
    </row>
    <row r="31" ht="22.5" customHeight="1">
      <c r="A31" s="6">
        <v>46088.88617193287</v>
      </c>
      <c r="B31" s="7" t="s">
        <v>107</v>
      </c>
      <c r="C31" s="7" t="s">
        <v>108</v>
      </c>
      <c r="D31" s="8">
        <v>7.1204976E7</v>
      </c>
      <c r="E31" s="8">
        <v>9.54747728E8</v>
      </c>
      <c r="F31" s="7" t="s">
        <v>109</v>
      </c>
    </row>
    <row r="32" ht="22.5" customHeight="1">
      <c r="A32" s="6">
        <v>46069.49475703704</v>
      </c>
      <c r="B32" s="7" t="s">
        <v>110</v>
      </c>
      <c r="C32" s="7" t="s">
        <v>111</v>
      </c>
      <c r="D32" s="8">
        <v>7.4278033E7</v>
      </c>
      <c r="E32" s="8">
        <v>9.87446145E8</v>
      </c>
      <c r="F32" s="7" t="s">
        <v>112</v>
      </c>
    </row>
    <row r="33" ht="22.5" customHeight="1">
      <c r="A33" s="6">
        <v>46069.54875469908</v>
      </c>
      <c r="B33" s="7" t="s">
        <v>113</v>
      </c>
      <c r="C33" s="7" t="s">
        <v>114</v>
      </c>
      <c r="D33" s="8">
        <v>7.1920197E7</v>
      </c>
      <c r="E33" s="8">
        <v>9.69455978E8</v>
      </c>
      <c r="F33" s="7" t="s">
        <v>115</v>
      </c>
    </row>
    <row r="34" ht="22.5" customHeight="1">
      <c r="A34" s="6">
        <v>46140.39043625</v>
      </c>
      <c r="B34" s="7" t="s">
        <v>116</v>
      </c>
      <c r="C34" s="7" t="s">
        <v>117</v>
      </c>
      <c r="D34" s="8">
        <v>7.0572906E7</v>
      </c>
      <c r="E34" s="8">
        <v>9.49236856E8</v>
      </c>
      <c r="F34" s="7" t="s">
        <v>118</v>
      </c>
    </row>
    <row r="35" ht="22.5" customHeight="1">
      <c r="A35" s="6">
        <v>46111.721404386575</v>
      </c>
      <c r="B35" s="7" t="s">
        <v>119</v>
      </c>
      <c r="C35" s="7" t="s">
        <v>120</v>
      </c>
      <c r="D35" s="8">
        <v>7.3463252E7</v>
      </c>
      <c r="E35" s="8">
        <v>9.19519365E8</v>
      </c>
      <c r="F35" s="7" t="s">
        <v>121</v>
      </c>
    </row>
    <row r="36" ht="22.5" customHeight="1">
      <c r="A36" s="6">
        <v>46127.4179491088</v>
      </c>
      <c r="B36" s="7" t="s">
        <v>122</v>
      </c>
      <c r="C36" s="7" t="s">
        <v>123</v>
      </c>
      <c r="D36" s="8">
        <v>4.5903706E7</v>
      </c>
      <c r="E36" s="8">
        <v>9.74724175E8</v>
      </c>
      <c r="F36" s="7" t="s">
        <v>124</v>
      </c>
    </row>
    <row r="37" ht="22.5" customHeight="1">
      <c r="A37" s="6">
        <v>46096.5075172338</v>
      </c>
      <c r="B37" s="7" t="s">
        <v>125</v>
      </c>
      <c r="C37" s="7" t="s">
        <v>126</v>
      </c>
      <c r="D37" s="8">
        <v>7.664995E7</v>
      </c>
      <c r="E37" s="8">
        <v>9.43119903E8</v>
      </c>
      <c r="F37" s="7" t="s">
        <v>127</v>
      </c>
    </row>
    <row r="38" ht="22.5" customHeight="1">
      <c r="A38" s="6">
        <v>46043.86456260417</v>
      </c>
      <c r="B38" s="7" t="s">
        <v>128</v>
      </c>
      <c r="C38" s="7" t="s">
        <v>129</v>
      </c>
      <c r="D38" s="8">
        <v>4.7508516E7</v>
      </c>
      <c r="E38" s="8">
        <v>9.34691506E8</v>
      </c>
      <c r="F38" s="7" t="s">
        <v>130</v>
      </c>
    </row>
    <row r="39" ht="22.5" customHeight="1">
      <c r="A39" s="6">
        <v>46063.390079537035</v>
      </c>
      <c r="B39" s="7" t="s">
        <v>131</v>
      </c>
      <c r="C39" s="7" t="s">
        <v>132</v>
      </c>
      <c r="D39" s="8">
        <v>7.2338432E7</v>
      </c>
      <c r="E39" s="8" t="s">
        <v>133</v>
      </c>
      <c r="F39" s="7" t="s">
        <v>134</v>
      </c>
    </row>
    <row r="40" ht="22.5" customHeight="1">
      <c r="A40" s="6">
        <v>46052.01424023148</v>
      </c>
      <c r="B40" s="7" t="s">
        <v>135</v>
      </c>
      <c r="C40" s="7" t="s">
        <v>24</v>
      </c>
      <c r="D40" s="8">
        <v>6.0805349E7</v>
      </c>
      <c r="E40" s="8">
        <v>9.74485355E8</v>
      </c>
      <c r="F40" s="7" t="s">
        <v>136</v>
      </c>
    </row>
    <row r="41" ht="22.5" customHeight="1">
      <c r="A41" s="6">
        <v>46069.46489577546</v>
      </c>
      <c r="B41" s="7" t="s">
        <v>137</v>
      </c>
      <c r="C41" s="7" t="s">
        <v>138</v>
      </c>
      <c r="D41" s="8">
        <v>7.041414E7</v>
      </c>
      <c r="E41" s="8">
        <v>9.84847184E8</v>
      </c>
      <c r="F41" s="7" t="s">
        <v>139</v>
      </c>
    </row>
    <row r="42" ht="22.5" customHeight="1">
      <c r="A42" s="6">
        <v>46069.4559525</v>
      </c>
      <c r="B42" s="7" t="s">
        <v>140</v>
      </c>
      <c r="C42" s="7" t="s">
        <v>141</v>
      </c>
      <c r="D42" s="8">
        <v>7.675395E7</v>
      </c>
      <c r="E42" s="8">
        <v>9.60937126E8</v>
      </c>
      <c r="F42" s="7" t="s">
        <v>142</v>
      </c>
    </row>
    <row r="43" ht="22.5" customHeight="1">
      <c r="A43" s="6">
        <v>46122.77308133102</v>
      </c>
      <c r="B43" s="7" t="s">
        <v>143</v>
      </c>
      <c r="C43" s="7" t="s">
        <v>144</v>
      </c>
      <c r="D43" s="8">
        <v>7.6021678E7</v>
      </c>
      <c r="E43" s="8">
        <v>9.28004497E8</v>
      </c>
      <c r="F43" s="7" t="s">
        <v>145</v>
      </c>
    </row>
    <row r="44" ht="22.5" customHeight="1">
      <c r="A44" s="6">
        <v>46041.863002893515</v>
      </c>
      <c r="B44" s="7" t="s">
        <v>146</v>
      </c>
      <c r="C44" s="7" t="s">
        <v>147</v>
      </c>
      <c r="D44" s="8">
        <v>7.6429058E7</v>
      </c>
      <c r="E44" s="8">
        <v>9.91283228E8</v>
      </c>
      <c r="F44" s="7" t="s">
        <v>148</v>
      </c>
    </row>
    <row r="45" ht="22.5" customHeight="1">
      <c r="A45" s="6">
        <v>46097.37589260416</v>
      </c>
      <c r="B45" s="7" t="s">
        <v>149</v>
      </c>
      <c r="C45" s="7" t="s">
        <v>150</v>
      </c>
      <c r="D45" s="8">
        <v>7.7127549E7</v>
      </c>
      <c r="E45" s="8">
        <v>9.36721309E8</v>
      </c>
      <c r="F45" s="7" t="s">
        <v>151</v>
      </c>
    </row>
    <row r="46" ht="22.5" customHeight="1">
      <c r="A46" s="6">
        <v>46015.01359145834</v>
      </c>
      <c r="B46" s="7" t="s">
        <v>152</v>
      </c>
      <c r="C46" s="7" t="s">
        <v>153</v>
      </c>
      <c r="D46" s="15">
        <v>6.080228E7</v>
      </c>
      <c r="E46" s="8">
        <v>9.27832871E8</v>
      </c>
      <c r="F46" s="7" t="s">
        <v>154</v>
      </c>
    </row>
    <row r="47" ht="22.5" customHeight="1">
      <c r="A47" s="6">
        <v>46001.422106666665</v>
      </c>
      <c r="B47" s="7" t="s">
        <v>155</v>
      </c>
      <c r="C47" s="7" t="s">
        <v>156</v>
      </c>
      <c r="D47" s="8">
        <v>1.5424788E7</v>
      </c>
      <c r="E47" s="8" t="s">
        <v>157</v>
      </c>
      <c r="F47" s="7" t="s">
        <v>158</v>
      </c>
    </row>
    <row r="48" ht="22.5" customHeight="1">
      <c r="A48" s="6">
        <v>46024.31810230324</v>
      </c>
      <c r="B48" s="7" t="s">
        <v>159</v>
      </c>
      <c r="C48" s="7" t="s">
        <v>160</v>
      </c>
      <c r="D48" s="8">
        <v>4.8446362E7</v>
      </c>
      <c r="E48" s="8">
        <v>9.74559684E8</v>
      </c>
      <c r="F48" s="7" t="s">
        <v>161</v>
      </c>
    </row>
    <row r="49" ht="22.5" customHeight="1">
      <c r="A49" s="6">
        <v>45995.2818742824</v>
      </c>
      <c r="B49" s="7" t="s">
        <v>162</v>
      </c>
      <c r="C49" s="7" t="s">
        <v>163</v>
      </c>
      <c r="D49" s="8">
        <v>7.3422191E7</v>
      </c>
      <c r="E49" s="8">
        <v>9.78009351E8</v>
      </c>
      <c r="F49" s="7" t="s">
        <v>164</v>
      </c>
    </row>
    <row r="50" ht="22.5" customHeight="1">
      <c r="A50" s="6">
        <v>46140.38717083333</v>
      </c>
      <c r="B50" s="7" t="s">
        <v>165</v>
      </c>
      <c r="C50" s="7" t="s">
        <v>163</v>
      </c>
      <c r="D50" s="8">
        <v>7.3422191E7</v>
      </c>
      <c r="E50" s="8">
        <v>9.78009351E8</v>
      </c>
      <c r="F50" s="7" t="s">
        <v>166</v>
      </c>
    </row>
    <row r="51" ht="22.5" customHeight="1">
      <c r="A51" s="6">
        <v>46050.527806875005</v>
      </c>
      <c r="B51" s="7" t="s">
        <v>167</v>
      </c>
      <c r="C51" s="7" t="s">
        <v>168</v>
      </c>
      <c r="D51" s="8">
        <v>7.4768273E7</v>
      </c>
      <c r="E51" s="8">
        <v>9.3631858E8</v>
      </c>
      <c r="F51" s="7" t="s">
        <v>169</v>
      </c>
    </row>
    <row r="52" ht="22.5" customHeight="1">
      <c r="A52" s="6">
        <v>46096.38997886574</v>
      </c>
      <c r="B52" s="7" t="s">
        <v>170</v>
      </c>
      <c r="C52" s="7" t="s">
        <v>171</v>
      </c>
      <c r="D52" s="8">
        <v>6.0829634E7</v>
      </c>
      <c r="E52" s="8">
        <v>9.10987141E8</v>
      </c>
      <c r="F52" s="7" t="s">
        <v>172</v>
      </c>
    </row>
    <row r="53" ht="22.5" customHeight="1">
      <c r="A53" s="6">
        <v>46112.96572939814</v>
      </c>
      <c r="B53" s="7" t="s">
        <v>173</v>
      </c>
      <c r="C53" s="7" t="s">
        <v>171</v>
      </c>
      <c r="D53" s="8">
        <v>6.0829634E7</v>
      </c>
      <c r="E53" s="8">
        <v>9.10987141E8</v>
      </c>
      <c r="F53" s="7" t="s">
        <v>174</v>
      </c>
    </row>
    <row r="54" ht="22.5" customHeight="1">
      <c r="A54" s="6">
        <v>46077.838015381945</v>
      </c>
      <c r="B54" s="7" t="s">
        <v>175</v>
      </c>
      <c r="C54" s="7" t="s">
        <v>176</v>
      </c>
      <c r="D54" s="8">
        <v>6.05592E7</v>
      </c>
      <c r="E54" s="8">
        <v>9.47285273E8</v>
      </c>
      <c r="F54" s="7" t="s">
        <v>177</v>
      </c>
    </row>
    <row r="55" ht="22.5" customHeight="1">
      <c r="A55" s="6">
        <v>46024.37802690972</v>
      </c>
      <c r="B55" s="7" t="s">
        <v>178</v>
      </c>
      <c r="C55" s="7" t="s">
        <v>179</v>
      </c>
      <c r="D55" s="8">
        <v>7.3669816E7</v>
      </c>
      <c r="E55" s="8">
        <v>9.41515496E8</v>
      </c>
      <c r="F55" s="7" t="s">
        <v>180</v>
      </c>
    </row>
    <row r="56" ht="22.5" customHeight="1">
      <c r="A56" s="6">
        <v>46140.991323194445</v>
      </c>
      <c r="B56" s="7" t="s">
        <v>181</v>
      </c>
      <c r="C56" s="7" t="s">
        <v>182</v>
      </c>
      <c r="D56" s="8">
        <v>7.0610053E7</v>
      </c>
      <c r="E56" s="8" t="s">
        <v>183</v>
      </c>
      <c r="F56" s="7" t="s">
        <v>184</v>
      </c>
    </row>
    <row r="57" ht="22.5" customHeight="1">
      <c r="A57" s="6">
        <v>46149.52314508102</v>
      </c>
      <c r="B57" s="7" t="s">
        <v>185</v>
      </c>
      <c r="C57" s="7" t="s">
        <v>186</v>
      </c>
      <c r="D57" s="7">
        <v>4.7193591E7</v>
      </c>
      <c r="E57" s="8">
        <v>9.42018125E8</v>
      </c>
      <c r="F57" s="7" t="s">
        <v>187</v>
      </c>
    </row>
    <row r="58" ht="22.5" customHeight="1">
      <c r="A58" s="6">
        <v>46145.53476659722</v>
      </c>
      <c r="B58" s="7" t="s">
        <v>188</v>
      </c>
      <c r="C58" s="7" t="s">
        <v>188</v>
      </c>
      <c r="D58" s="8">
        <v>7.295569E7</v>
      </c>
      <c r="E58" s="8">
        <v>9.23492508E8</v>
      </c>
      <c r="F58" s="7" t="s">
        <v>189</v>
      </c>
    </row>
    <row r="59" ht="22.5" customHeight="1">
      <c r="A59" s="6">
        <v>46070.26147961806</v>
      </c>
      <c r="B59" s="7" t="s">
        <v>190</v>
      </c>
      <c r="C59" s="7" t="s">
        <v>191</v>
      </c>
      <c r="D59" s="8">
        <v>7.1927323E7</v>
      </c>
      <c r="E59" s="8">
        <v>9.93888453E8</v>
      </c>
      <c r="F59" s="7" t="s">
        <v>192</v>
      </c>
    </row>
    <row r="60" ht="22.5" customHeight="1">
      <c r="A60" s="6">
        <v>46070.73400056713</v>
      </c>
      <c r="B60" s="7" t="s">
        <v>193</v>
      </c>
      <c r="C60" s="7" t="s">
        <v>194</v>
      </c>
      <c r="D60" s="8">
        <v>7.2761078E7</v>
      </c>
      <c r="E60" s="8">
        <v>9.91803237E8</v>
      </c>
      <c r="F60" s="16" t="s">
        <v>195</v>
      </c>
    </row>
    <row r="61" ht="22.5" customHeight="1">
      <c r="A61" s="6">
        <v>46145.40416424768</v>
      </c>
      <c r="B61" s="7" t="s">
        <v>196</v>
      </c>
      <c r="C61" s="7" t="s">
        <v>197</v>
      </c>
      <c r="D61" s="8">
        <v>7.4538609E7</v>
      </c>
      <c r="E61" s="8">
        <v>9.12500937E8</v>
      </c>
      <c r="F61" s="7" t="s">
        <v>198</v>
      </c>
    </row>
    <row r="62" ht="22.5" customHeight="1">
      <c r="A62" s="6">
        <v>46014.969322453704</v>
      </c>
      <c r="B62" s="7" t="s">
        <v>199</v>
      </c>
      <c r="C62" s="7" t="s">
        <v>200</v>
      </c>
      <c r="D62" s="8">
        <v>7.0314348E7</v>
      </c>
      <c r="E62" s="8">
        <v>9.41922581E8</v>
      </c>
      <c r="F62" s="7" t="s">
        <v>201</v>
      </c>
    </row>
    <row r="63" ht="22.5" customHeight="1">
      <c r="A63" s="6">
        <v>46099.7586652662</v>
      </c>
      <c r="B63" s="7" t="s">
        <v>202</v>
      </c>
      <c r="C63" s="7" t="s">
        <v>38</v>
      </c>
      <c r="D63" s="8">
        <v>6.3420852E7</v>
      </c>
      <c r="E63" s="8">
        <v>9.7458203E8</v>
      </c>
      <c r="F63" s="7" t="s">
        <v>203</v>
      </c>
    </row>
    <row r="64" ht="22.5" customHeight="1">
      <c r="A64" s="6">
        <v>46052.50477103009</v>
      </c>
      <c r="B64" s="7" t="s">
        <v>204</v>
      </c>
      <c r="C64" s="7" t="s">
        <v>205</v>
      </c>
      <c r="D64" s="8">
        <v>7.135126E7</v>
      </c>
      <c r="E64" s="8">
        <v>9.84242519E8</v>
      </c>
      <c r="F64" s="7" t="s">
        <v>206</v>
      </c>
    </row>
    <row r="65" ht="22.5" customHeight="1">
      <c r="A65" s="6">
        <v>46069.50660075231</v>
      </c>
      <c r="B65" s="7" t="s">
        <v>207</v>
      </c>
      <c r="C65" s="7" t="s">
        <v>208</v>
      </c>
      <c r="D65" s="8">
        <v>6.086153E7</v>
      </c>
      <c r="E65" s="8">
        <v>9.21319836E8</v>
      </c>
      <c r="F65" s="7" t="s">
        <v>209</v>
      </c>
    </row>
    <row r="66" ht="22.5" customHeight="1">
      <c r="A66" s="6">
        <v>46192.922135960645</v>
      </c>
      <c r="B66" s="7" t="s">
        <v>210</v>
      </c>
      <c r="C66" s="7" t="s">
        <v>211</v>
      </c>
      <c r="D66" s="7">
        <v>7.2441823E7</v>
      </c>
      <c r="E66" s="7">
        <v>9.14683023E8</v>
      </c>
      <c r="F66" s="7" t="s">
        <v>212</v>
      </c>
    </row>
    <row r="67" ht="22.5" customHeight="1">
      <c r="A67" s="6"/>
      <c r="B67" s="7" t="s">
        <v>31</v>
      </c>
      <c r="C67" s="7" t="s">
        <v>36</v>
      </c>
      <c r="D67" s="8">
        <v>7.543907E7</v>
      </c>
      <c r="E67" s="8">
        <v>9.59992217E8</v>
      </c>
      <c r="F67" s="7" t="s">
        <v>49</v>
      </c>
    </row>
    <row r="68" ht="22.5" customHeight="1">
      <c r="A68" s="6">
        <v>46071.52426766204</v>
      </c>
      <c r="B68" s="7" t="s">
        <v>213</v>
      </c>
      <c r="C68" s="7" t="s">
        <v>214</v>
      </c>
      <c r="D68" s="8">
        <v>7.0628092E7</v>
      </c>
      <c r="E68" s="8">
        <v>9.5114319E8</v>
      </c>
      <c r="F68" s="7" t="s">
        <v>215</v>
      </c>
    </row>
    <row r="69" ht="22.5" customHeight="1">
      <c r="A69" s="6">
        <v>46008.50231256944</v>
      </c>
      <c r="B69" s="7" t="s">
        <v>216</v>
      </c>
      <c r="C69" s="7" t="s">
        <v>217</v>
      </c>
      <c r="D69" s="8">
        <v>7.2208643E7</v>
      </c>
      <c r="E69" s="8">
        <v>9.26552631E8</v>
      </c>
      <c r="F69" s="7" t="s">
        <v>218</v>
      </c>
    </row>
    <row r="70" ht="22.5" customHeight="1">
      <c r="A70" s="6">
        <v>46171.9127219213</v>
      </c>
      <c r="B70" s="7" t="s">
        <v>219</v>
      </c>
      <c r="C70" s="7" t="s">
        <v>220</v>
      </c>
      <c r="D70" s="7">
        <v>4.4947601E7</v>
      </c>
      <c r="E70" s="8" t="s">
        <v>221</v>
      </c>
      <c r="F70" s="7" t="s">
        <v>222</v>
      </c>
    </row>
    <row r="71" ht="22.5" customHeight="1">
      <c r="A71" s="6">
        <v>46145.36117234954</v>
      </c>
      <c r="B71" s="7" t="s">
        <v>223</v>
      </c>
      <c r="C71" s="7" t="s">
        <v>224</v>
      </c>
      <c r="D71" s="8">
        <v>7.5419736E7</v>
      </c>
      <c r="E71" s="8">
        <v>9.55548806E8</v>
      </c>
      <c r="F71" s="7" t="s">
        <v>225</v>
      </c>
    </row>
    <row r="72" ht="22.5" customHeight="1">
      <c r="A72" s="6">
        <v>46180.408422106484</v>
      </c>
      <c r="B72" s="7" t="s">
        <v>226</v>
      </c>
      <c r="C72" s="7" t="s">
        <v>227</v>
      </c>
      <c r="D72" s="7">
        <v>2.6731409E7</v>
      </c>
      <c r="E72" s="8">
        <v>9.58059151E8</v>
      </c>
      <c r="F72" s="7" t="s">
        <v>228</v>
      </c>
    </row>
    <row r="73" ht="22.5" customHeight="1">
      <c r="A73" s="6">
        <v>46187.55785672454</v>
      </c>
      <c r="B73" s="7" t="s">
        <v>229</v>
      </c>
      <c r="C73" s="7" t="s">
        <v>230</v>
      </c>
      <c r="D73" s="7">
        <v>7.3859905E7</v>
      </c>
      <c r="E73" s="7">
        <v>9.59963265E8</v>
      </c>
      <c r="F73" s="7" t="s">
        <v>231</v>
      </c>
    </row>
    <row r="74" ht="22.5" customHeight="1">
      <c r="A74" s="6">
        <v>46180.37039329861</v>
      </c>
      <c r="B74" s="7" t="s">
        <v>232</v>
      </c>
      <c r="C74" s="7" t="s">
        <v>233</v>
      </c>
      <c r="D74" s="7">
        <v>6.0953656E7</v>
      </c>
      <c r="E74" s="8">
        <v>9.93914836E8</v>
      </c>
      <c r="F74" s="7" t="s">
        <v>234</v>
      </c>
    </row>
    <row r="75" ht="22.5" customHeight="1">
      <c r="A75" s="6">
        <v>46001.48908555556</v>
      </c>
      <c r="B75" s="7" t="s">
        <v>235</v>
      </c>
      <c r="C75" s="7" t="s">
        <v>236</v>
      </c>
      <c r="D75" s="8">
        <v>7.7424156E7</v>
      </c>
      <c r="E75" s="8" t="s">
        <v>237</v>
      </c>
      <c r="F75" s="7" t="s">
        <v>238</v>
      </c>
    </row>
    <row r="76" ht="22.5" customHeight="1">
      <c r="A76" s="6">
        <v>46169.93260418982</v>
      </c>
      <c r="B76" s="7" t="s">
        <v>239</v>
      </c>
      <c r="C76" s="7" t="s">
        <v>240</v>
      </c>
      <c r="D76" s="7">
        <v>6.0554249E7</v>
      </c>
      <c r="E76" s="8">
        <v>9.29290749E8</v>
      </c>
      <c r="F76" s="7" t="s">
        <v>241</v>
      </c>
    </row>
    <row r="77" ht="22.5" customHeight="1">
      <c r="A77" s="6">
        <v>46015.19915</v>
      </c>
      <c r="B77" s="7" t="s">
        <v>242</v>
      </c>
      <c r="C77" s="7" t="s">
        <v>243</v>
      </c>
      <c r="D77" s="8">
        <v>6.0543701E7</v>
      </c>
      <c r="E77" s="8">
        <v>9.7730951E8</v>
      </c>
      <c r="F77" s="7" t="s">
        <v>244</v>
      </c>
    </row>
    <row r="78" ht="22.5" customHeight="1">
      <c r="A78" s="6">
        <v>46056.003702546295</v>
      </c>
      <c r="B78" s="7" t="s">
        <v>245</v>
      </c>
      <c r="C78" s="7" t="s">
        <v>246</v>
      </c>
      <c r="D78" s="8">
        <v>7.0869147E7</v>
      </c>
      <c r="E78" s="8">
        <v>9.92377165E8</v>
      </c>
      <c r="F78" s="7" t="s">
        <v>247</v>
      </c>
    </row>
    <row r="79" ht="22.5" customHeight="1">
      <c r="A79" s="6">
        <v>46097.88043267361</v>
      </c>
      <c r="B79" s="7" t="s">
        <v>248</v>
      </c>
      <c r="C79" s="7" t="s">
        <v>249</v>
      </c>
      <c r="D79" s="8">
        <v>7.7493742E7</v>
      </c>
      <c r="E79" s="8">
        <v>9.00996018E8</v>
      </c>
      <c r="F79" s="7" t="s">
        <v>250</v>
      </c>
      <c r="I79" s="17"/>
    </row>
    <row r="80" ht="22.5" customHeight="1">
      <c r="A80" s="6">
        <v>46085.76346545139</v>
      </c>
      <c r="B80" s="7" t="s">
        <v>251</v>
      </c>
      <c r="C80" s="7" t="s">
        <v>252</v>
      </c>
      <c r="D80" s="8">
        <v>7.5367589E7</v>
      </c>
      <c r="E80" s="8" t="s">
        <v>253</v>
      </c>
      <c r="F80" s="7" t="s">
        <v>254</v>
      </c>
      <c r="I80" s="18" t="s">
        <v>255</v>
      </c>
    </row>
    <row r="81" ht="22.5" customHeight="1">
      <c r="A81" s="6">
        <v>46147.63879726852</v>
      </c>
      <c r="B81" s="7" t="s">
        <v>256</v>
      </c>
      <c r="C81" s="7" t="s">
        <v>257</v>
      </c>
      <c r="D81" s="7">
        <v>4.3888431E7</v>
      </c>
      <c r="E81" s="8" t="s">
        <v>258</v>
      </c>
      <c r="F81" s="7" t="s">
        <v>259</v>
      </c>
      <c r="I81" s="18" t="s">
        <v>260</v>
      </c>
    </row>
    <row r="82" ht="22.5" customHeight="1">
      <c r="A82" s="6">
        <v>46174.807866145835</v>
      </c>
      <c r="B82" s="7" t="s">
        <v>261</v>
      </c>
      <c r="C82" s="7" t="s">
        <v>262</v>
      </c>
      <c r="D82" s="7">
        <v>7.6022722E7</v>
      </c>
      <c r="E82" s="8">
        <v>9.81375649E8</v>
      </c>
      <c r="F82" s="7" t="s">
        <v>263</v>
      </c>
      <c r="I82" s="18" t="s">
        <v>264</v>
      </c>
    </row>
    <row r="83" ht="22.5" customHeight="1">
      <c r="A83" s="6">
        <v>46069.723348935186</v>
      </c>
      <c r="B83" s="7" t="s">
        <v>265</v>
      </c>
      <c r="C83" s="7" t="s">
        <v>266</v>
      </c>
      <c r="D83" s="8">
        <v>7.4127022E7</v>
      </c>
      <c r="E83" s="8">
        <v>9.39924775E8</v>
      </c>
      <c r="F83" s="7" t="s">
        <v>267</v>
      </c>
      <c r="I83" s="18" t="s">
        <v>268</v>
      </c>
    </row>
    <row r="84" ht="22.5" customHeight="1">
      <c r="A84" s="6">
        <v>46191.834125243055</v>
      </c>
      <c r="B84" s="7" t="s">
        <v>269</v>
      </c>
      <c r="C84" s="7" t="s">
        <v>270</v>
      </c>
      <c r="D84" s="7">
        <v>7.5194678E7</v>
      </c>
      <c r="E84" s="7">
        <v>9.02500394E8</v>
      </c>
      <c r="F84" s="7" t="s">
        <v>271</v>
      </c>
      <c r="I84" s="18" t="s">
        <v>272</v>
      </c>
    </row>
    <row r="85" ht="22.5" customHeight="1">
      <c r="A85" s="6">
        <v>46090.924204849536</v>
      </c>
      <c r="B85" s="7" t="s">
        <v>273</v>
      </c>
      <c r="C85" s="7" t="s">
        <v>274</v>
      </c>
      <c r="D85" s="8">
        <v>7.1087681E7</v>
      </c>
      <c r="E85" s="8">
        <v>9.24020952E8</v>
      </c>
      <c r="F85" s="7" t="s">
        <v>275</v>
      </c>
      <c r="I85" s="18" t="s">
        <v>276</v>
      </c>
    </row>
    <row r="86" ht="22.5" customHeight="1">
      <c r="A86" s="6">
        <v>46125.489501539356</v>
      </c>
      <c r="B86" s="7" t="s">
        <v>277</v>
      </c>
      <c r="C86" s="7" t="s">
        <v>278</v>
      </c>
      <c r="D86" s="8">
        <v>7.2744692E7</v>
      </c>
      <c r="E86" s="8">
        <v>9.38213948E8</v>
      </c>
      <c r="F86" s="7" t="s">
        <v>279</v>
      </c>
      <c r="I86" s="18" t="s">
        <v>280</v>
      </c>
    </row>
    <row r="87" ht="22.5" customHeight="1">
      <c r="A87" s="6">
        <v>46056.58865288194</v>
      </c>
      <c r="B87" s="7" t="s">
        <v>281</v>
      </c>
      <c r="C87" s="7" t="s">
        <v>282</v>
      </c>
      <c r="D87" s="8">
        <v>4.5976612E7</v>
      </c>
      <c r="E87" s="8">
        <v>9.27276005E8</v>
      </c>
      <c r="F87" s="7" t="s">
        <v>283</v>
      </c>
      <c r="I87" s="18" t="s">
        <v>284</v>
      </c>
    </row>
    <row r="88" ht="22.5" customHeight="1">
      <c r="A88" s="6">
        <v>46099.324693773146</v>
      </c>
      <c r="B88" s="7" t="s">
        <v>281</v>
      </c>
      <c r="C88" s="7" t="s">
        <v>282</v>
      </c>
      <c r="D88" s="8">
        <v>4.5976612E7</v>
      </c>
      <c r="E88" s="8">
        <v>9.27276005E8</v>
      </c>
      <c r="F88" s="7" t="s">
        <v>283</v>
      </c>
      <c r="I88" s="17" t="s">
        <v>285</v>
      </c>
    </row>
    <row r="89" ht="22.5" customHeight="1">
      <c r="A89" s="6">
        <v>46141.56345945602</v>
      </c>
      <c r="B89" s="7" t="s">
        <v>281</v>
      </c>
      <c r="C89" s="7" t="s">
        <v>286</v>
      </c>
      <c r="D89" s="8">
        <v>7.7485168E7</v>
      </c>
      <c r="E89" s="8">
        <v>9.64304998E8</v>
      </c>
      <c r="F89" s="7" t="s">
        <v>287</v>
      </c>
      <c r="I89" s="17" t="s">
        <v>288</v>
      </c>
    </row>
    <row r="90" ht="22.5" customHeight="1">
      <c r="A90" s="6">
        <v>45997.73679885417</v>
      </c>
      <c r="B90" s="7" t="s">
        <v>289</v>
      </c>
      <c r="C90" s="7" t="s">
        <v>290</v>
      </c>
      <c r="D90" s="8">
        <v>7.3329003E7</v>
      </c>
      <c r="E90" s="8">
        <v>9.67212471E8</v>
      </c>
      <c r="F90" s="7" t="s">
        <v>291</v>
      </c>
    </row>
    <row r="91" ht="22.5" customHeight="1">
      <c r="A91" s="6">
        <v>46180.46371527778</v>
      </c>
      <c r="B91" s="7" t="s">
        <v>292</v>
      </c>
      <c r="C91" s="7" t="s">
        <v>293</v>
      </c>
      <c r="D91" s="7">
        <v>7.8020221E7</v>
      </c>
      <c r="E91" s="8">
        <v>9.98386446E8</v>
      </c>
      <c r="F91" s="7" t="s">
        <v>294</v>
      </c>
    </row>
    <row r="92" ht="22.5" customHeight="1">
      <c r="A92" s="6">
        <v>46043.95366677083</v>
      </c>
      <c r="B92" s="7" t="s">
        <v>295</v>
      </c>
      <c r="C92" s="7" t="s">
        <v>296</v>
      </c>
      <c r="D92" s="8">
        <v>6.0337668E7</v>
      </c>
      <c r="E92" s="8">
        <v>9.04429075E8</v>
      </c>
      <c r="F92" s="7" t="s">
        <v>297</v>
      </c>
    </row>
    <row r="93" ht="22.5" customHeight="1">
      <c r="A93" s="6">
        <v>46041.86324855324</v>
      </c>
      <c r="B93" s="7" t="s">
        <v>298</v>
      </c>
      <c r="C93" s="7" t="s">
        <v>299</v>
      </c>
      <c r="D93" s="8">
        <v>6.0337668E7</v>
      </c>
      <c r="E93" s="8">
        <v>9.04429075E8</v>
      </c>
      <c r="F93" s="7" t="s">
        <v>300</v>
      </c>
    </row>
    <row r="94" ht="22.5" customHeight="1">
      <c r="A94" s="6">
        <v>46185.57669523148</v>
      </c>
      <c r="B94" s="7" t="s">
        <v>301</v>
      </c>
      <c r="C94" s="7" t="s">
        <v>302</v>
      </c>
      <c r="D94" s="7">
        <v>1.6778135E7</v>
      </c>
      <c r="E94" s="7">
        <v>9.23376793E8</v>
      </c>
      <c r="F94" s="7" t="s">
        <v>303</v>
      </c>
    </row>
    <row r="95" ht="22.5" customHeight="1">
      <c r="A95" s="6">
        <v>46056.093214374996</v>
      </c>
      <c r="B95" s="7" t="s">
        <v>304</v>
      </c>
      <c r="C95" s="7" t="s">
        <v>305</v>
      </c>
      <c r="D95" s="8">
        <v>7.0337918E7</v>
      </c>
      <c r="E95" s="8">
        <v>9.24654143E8</v>
      </c>
      <c r="F95" s="7" t="s">
        <v>306</v>
      </c>
    </row>
    <row r="96" ht="22.5" customHeight="1">
      <c r="A96" s="6">
        <v>46063.70189221065</v>
      </c>
      <c r="B96" s="7" t="s">
        <v>304</v>
      </c>
      <c r="C96" s="7" t="s">
        <v>307</v>
      </c>
      <c r="D96" s="8">
        <v>4.5568379E7</v>
      </c>
      <c r="E96" s="8">
        <v>9.53675231E8</v>
      </c>
      <c r="F96" s="7" t="s">
        <v>308</v>
      </c>
    </row>
    <row r="97" ht="22.5" customHeight="1">
      <c r="A97" s="6">
        <v>46061.02998373842</v>
      </c>
      <c r="B97" s="7" t="s">
        <v>309</v>
      </c>
      <c r="C97" s="7" t="s">
        <v>310</v>
      </c>
      <c r="D97" s="8">
        <v>7.5265153E7</v>
      </c>
      <c r="E97" s="8">
        <v>9.84383383E8</v>
      </c>
      <c r="F97" s="7" t="s">
        <v>311</v>
      </c>
    </row>
    <row r="98" ht="22.5" customHeight="1">
      <c r="A98" s="6">
        <v>46055.59686443287</v>
      </c>
      <c r="B98" s="7" t="s">
        <v>312</v>
      </c>
      <c r="C98" s="7" t="s">
        <v>313</v>
      </c>
      <c r="D98" s="8">
        <v>7.6861988E7</v>
      </c>
      <c r="E98" s="8">
        <v>9.12390742E8</v>
      </c>
      <c r="F98" s="7" t="s">
        <v>314</v>
      </c>
    </row>
    <row r="99" ht="22.5" customHeight="1">
      <c r="A99" s="6">
        <v>46019.75444547454</v>
      </c>
      <c r="B99" s="7" t="s">
        <v>315</v>
      </c>
      <c r="C99" s="7" t="s">
        <v>316</v>
      </c>
      <c r="D99" s="8">
        <v>4.3261018E7</v>
      </c>
      <c r="E99" s="8" t="s">
        <v>317</v>
      </c>
      <c r="F99" s="7" t="s">
        <v>318</v>
      </c>
    </row>
    <row r="100" ht="22.5" customHeight="1">
      <c r="A100" s="6">
        <v>46127.486765520836</v>
      </c>
      <c r="B100" s="7" t="s">
        <v>319</v>
      </c>
      <c r="C100" s="7" t="s">
        <v>320</v>
      </c>
      <c r="D100" s="8">
        <v>7.245539E7</v>
      </c>
      <c r="E100" s="8">
        <v>9.44789729E8</v>
      </c>
      <c r="F100" s="7" t="s">
        <v>321</v>
      </c>
    </row>
    <row r="101" ht="22.5" customHeight="1">
      <c r="A101" s="6">
        <v>46099.33394616898</v>
      </c>
      <c r="B101" s="7" t="s">
        <v>322</v>
      </c>
      <c r="C101" s="7" t="s">
        <v>323</v>
      </c>
      <c r="D101" s="8">
        <v>7.4398848E7</v>
      </c>
      <c r="E101" s="8">
        <v>9.13962996E8</v>
      </c>
      <c r="F101" s="7" t="s">
        <v>324</v>
      </c>
    </row>
    <row r="102" ht="22.5" customHeight="1">
      <c r="A102" s="6">
        <v>46061.01316188657</v>
      </c>
      <c r="B102" s="7" t="s">
        <v>325</v>
      </c>
      <c r="C102" s="7" t="s">
        <v>326</v>
      </c>
      <c r="D102" s="8">
        <v>7.0706083E7</v>
      </c>
      <c r="E102" s="8">
        <v>9.001697E8</v>
      </c>
      <c r="F102" s="7" t="s">
        <v>327</v>
      </c>
    </row>
    <row r="103" ht="22.5" customHeight="1">
      <c r="A103" s="6">
        <v>46113.98419826389</v>
      </c>
      <c r="B103" s="7" t="s">
        <v>328</v>
      </c>
      <c r="C103" s="7" t="s">
        <v>329</v>
      </c>
      <c r="D103" s="8">
        <v>7.0694502E7</v>
      </c>
      <c r="E103" s="8">
        <v>9.25296951E8</v>
      </c>
      <c r="F103" s="7" t="s">
        <v>330</v>
      </c>
    </row>
    <row r="104" ht="22.5" customHeight="1">
      <c r="A104" s="6">
        <v>46140.437925798615</v>
      </c>
      <c r="B104" s="7" t="s">
        <v>331</v>
      </c>
      <c r="C104" s="7" t="s">
        <v>332</v>
      </c>
      <c r="D104" s="8">
        <v>4.5245213E7</v>
      </c>
      <c r="E104" s="8">
        <v>9.5135024E8</v>
      </c>
      <c r="F104" s="7" t="s">
        <v>333</v>
      </c>
    </row>
    <row r="105" ht="22.5" customHeight="1">
      <c r="A105" s="6">
        <v>46104.856856909726</v>
      </c>
      <c r="B105" s="7" t="s">
        <v>334</v>
      </c>
      <c r="C105" s="7" t="s">
        <v>335</v>
      </c>
      <c r="D105" s="8">
        <v>6.0168483E7</v>
      </c>
      <c r="E105" s="8">
        <v>9.28218871E8</v>
      </c>
      <c r="F105" s="7" t="s">
        <v>336</v>
      </c>
    </row>
    <row r="106" ht="22.5" customHeight="1">
      <c r="A106" s="6">
        <v>46152.806673240746</v>
      </c>
      <c r="B106" s="7" t="s">
        <v>337</v>
      </c>
      <c r="C106" s="7" t="s">
        <v>338</v>
      </c>
      <c r="D106" s="7">
        <v>4.2040181E7</v>
      </c>
      <c r="E106" s="8">
        <v>9.9910273E8</v>
      </c>
      <c r="F106" s="7" t="s">
        <v>339</v>
      </c>
    </row>
    <row r="107" ht="22.5" customHeight="1">
      <c r="A107" s="6">
        <v>46057.778524733796</v>
      </c>
      <c r="B107" s="7" t="s">
        <v>340</v>
      </c>
      <c r="C107" s="7" t="s">
        <v>341</v>
      </c>
      <c r="D107" s="8">
        <v>4.3888431E7</v>
      </c>
      <c r="E107" s="8" t="s">
        <v>342</v>
      </c>
      <c r="F107" s="7" t="s">
        <v>343</v>
      </c>
    </row>
    <row r="108" ht="22.5" customHeight="1">
      <c r="A108" s="6">
        <v>46048.846853518524</v>
      </c>
      <c r="B108" s="7" t="s">
        <v>344</v>
      </c>
      <c r="C108" s="7" t="s">
        <v>345</v>
      </c>
      <c r="D108" s="8">
        <v>4.8383956E7</v>
      </c>
      <c r="E108" s="8">
        <v>9.20542851E8</v>
      </c>
      <c r="F108" s="7" t="s">
        <v>346</v>
      </c>
    </row>
    <row r="109" ht="22.5" customHeight="1">
      <c r="A109" s="6">
        <v>46053.81156884259</v>
      </c>
      <c r="B109" s="19" t="s">
        <v>347</v>
      </c>
      <c r="C109" s="7" t="s">
        <v>348</v>
      </c>
      <c r="D109" s="8">
        <v>6.1138557E7</v>
      </c>
      <c r="E109" s="8">
        <v>9.74280888E8</v>
      </c>
      <c r="F109" s="7" t="s">
        <v>349</v>
      </c>
    </row>
    <row r="110" ht="22.5" customHeight="1">
      <c r="A110" s="6">
        <v>46148.917914722224</v>
      </c>
      <c r="B110" s="7" t="s">
        <v>350</v>
      </c>
      <c r="C110" s="7" t="s">
        <v>351</v>
      </c>
      <c r="D110" s="7">
        <v>7.5211461E7</v>
      </c>
      <c r="E110" s="8">
        <v>9.91286756E8</v>
      </c>
      <c r="F110" s="7" t="s">
        <v>352</v>
      </c>
    </row>
    <row r="111" ht="22.5" customHeight="1">
      <c r="A111" s="6">
        <v>46194.99646516204</v>
      </c>
      <c r="B111" s="7" t="s">
        <v>353</v>
      </c>
      <c r="C111" s="7" t="s">
        <v>354</v>
      </c>
      <c r="D111" s="7">
        <v>7.3964664E7</v>
      </c>
      <c r="E111" s="7">
        <v>9.8933251E8</v>
      </c>
      <c r="F111" s="7" t="s">
        <v>355</v>
      </c>
    </row>
    <row r="112" ht="22.5" customHeight="1">
      <c r="A112" s="6">
        <v>46196.63414837963</v>
      </c>
      <c r="B112" s="7" t="s">
        <v>356</v>
      </c>
      <c r="C112" s="7" t="s">
        <v>357</v>
      </c>
      <c r="D112" s="7">
        <v>7.7440707E7</v>
      </c>
      <c r="E112" s="7">
        <v>9.23910184E8</v>
      </c>
      <c r="F112" s="7" t="s">
        <v>358</v>
      </c>
    </row>
    <row r="113" ht="22.5" customHeight="1">
      <c r="A113" s="6">
        <v>46201.624913645835</v>
      </c>
      <c r="B113" s="7" t="s">
        <v>359</v>
      </c>
      <c r="C113" s="7" t="s">
        <v>360</v>
      </c>
      <c r="D113" s="7">
        <v>7.0630827E7</v>
      </c>
      <c r="E113" s="7">
        <v>9.58488907E8</v>
      </c>
      <c r="F113" s="7" t="s">
        <v>361</v>
      </c>
    </row>
    <row r="114" ht="22.5" customHeight="1">
      <c r="A114" s="6">
        <v>46203.69947018518</v>
      </c>
      <c r="B114" s="7" t="s">
        <v>362</v>
      </c>
      <c r="C114" s="7" t="s">
        <v>363</v>
      </c>
      <c r="D114" s="7">
        <v>8.0388055E7</v>
      </c>
      <c r="E114" s="7">
        <v>9.67632846E8</v>
      </c>
      <c r="F114" s="7" t="s">
        <v>364</v>
      </c>
    </row>
    <row r="115" ht="22.5" customHeight="1">
      <c r="A115" s="6">
        <v>46203.88913693287</v>
      </c>
      <c r="B115" s="7" t="s">
        <v>365</v>
      </c>
      <c r="C115" s="7" t="s">
        <v>366</v>
      </c>
      <c r="D115" s="7">
        <v>7.496741E7</v>
      </c>
      <c r="E115" s="7">
        <v>9.88843425E8</v>
      </c>
      <c r="F115" s="7" t="s">
        <v>367</v>
      </c>
    </row>
    <row r="116" ht="22.5" customHeight="1">
      <c r="A116" s="6">
        <v>46205.43974857639</v>
      </c>
      <c r="B116" s="7" t="s">
        <v>368</v>
      </c>
      <c r="C116" s="7" t="s">
        <v>270</v>
      </c>
      <c r="D116" s="7">
        <v>7.5194678E7</v>
      </c>
      <c r="E116" s="7">
        <v>9.02500394E8</v>
      </c>
      <c r="F116" s="7" t="s">
        <v>369</v>
      </c>
    </row>
    <row r="117" ht="22.5" customHeight="1">
      <c r="A117" s="6">
        <v>46205.68134604167</v>
      </c>
      <c r="B117" s="7" t="s">
        <v>370</v>
      </c>
      <c r="C117" s="7" t="s">
        <v>371</v>
      </c>
      <c r="D117" s="7">
        <v>7.2772837E7</v>
      </c>
      <c r="E117" s="7" t="s">
        <v>372</v>
      </c>
      <c r="F117" s="7" t="s">
        <v>373</v>
      </c>
    </row>
    <row r="118" ht="22.5" customHeight="1">
      <c r="A118" s="6">
        <v>46205.70794383102</v>
      </c>
      <c r="B118" s="7" t="s">
        <v>374</v>
      </c>
      <c r="C118" s="7" t="s">
        <v>375</v>
      </c>
      <c r="D118" s="7">
        <v>7.7129258E7</v>
      </c>
      <c r="E118" s="7">
        <v>9.31535887E8</v>
      </c>
      <c r="F118" s="7" t="s">
        <v>376</v>
      </c>
    </row>
    <row r="119" ht="22.5" customHeight="1">
      <c r="A119" s="6"/>
      <c r="B119" s="7"/>
      <c r="C119" s="7"/>
      <c r="D119" s="8"/>
      <c r="E119" s="8"/>
      <c r="F119" s="7"/>
    </row>
    <row r="120" ht="30.0" customHeight="1">
      <c r="D120" s="20"/>
      <c r="E120" s="20"/>
      <c r="I120" s="9"/>
    </row>
    <row r="121">
      <c r="D121" s="20"/>
      <c r="E121" s="20"/>
      <c r="I121" s="9"/>
    </row>
    <row r="122">
      <c r="D122" s="20"/>
      <c r="E122" s="20"/>
      <c r="I122" s="9"/>
    </row>
    <row r="123">
      <c r="D123" s="20"/>
      <c r="E123" s="20"/>
      <c r="I123" s="9"/>
    </row>
    <row r="124">
      <c r="D124" s="20"/>
      <c r="E124" s="20"/>
      <c r="I124" s="9"/>
    </row>
    <row r="125">
      <c r="D125" s="20"/>
      <c r="E125" s="20"/>
      <c r="I125" s="9"/>
    </row>
    <row r="126">
      <c r="D126" s="20"/>
      <c r="E126" s="20"/>
      <c r="I126" s="9"/>
    </row>
    <row r="127">
      <c r="D127" s="20"/>
      <c r="E127" s="20"/>
      <c r="I127" s="9"/>
    </row>
    <row r="128">
      <c r="D128" s="20"/>
      <c r="E128" s="20"/>
      <c r="I128" s="9"/>
    </row>
    <row r="129">
      <c r="D129" s="20"/>
      <c r="E129" s="20"/>
      <c r="H129" s="4" t="s">
        <v>377</v>
      </c>
      <c r="I129" s="9"/>
    </row>
    <row r="130">
      <c r="D130" s="20"/>
      <c r="E130" s="20"/>
      <c r="I130" s="9"/>
    </row>
    <row r="131">
      <c r="D131" s="20"/>
      <c r="E131" s="20"/>
      <c r="I131" s="9"/>
    </row>
    <row r="132">
      <c r="D132" s="20"/>
      <c r="E132" s="20"/>
      <c r="I132" s="9"/>
    </row>
    <row r="133">
      <c r="D133" s="20"/>
      <c r="E133" s="20"/>
      <c r="I133" s="9"/>
    </row>
    <row r="134" ht="29.25" customHeight="1">
      <c r="D134" s="20"/>
      <c r="E134" s="20"/>
      <c r="I134" s="9"/>
    </row>
    <row r="135">
      <c r="D135" s="20"/>
      <c r="E135" s="20"/>
      <c r="I135" s="9"/>
    </row>
    <row r="136">
      <c r="D136" s="20"/>
      <c r="E136" s="20"/>
      <c r="I136" s="9"/>
    </row>
    <row r="137">
      <c r="D137" s="20"/>
      <c r="E137" s="20"/>
      <c r="I137" s="9"/>
    </row>
    <row r="138">
      <c r="D138" s="20"/>
      <c r="E138" s="20"/>
      <c r="I138" s="9"/>
    </row>
    <row r="139">
      <c r="D139" s="20"/>
      <c r="E139" s="20"/>
      <c r="I139" s="9"/>
    </row>
    <row r="140">
      <c r="D140" s="20"/>
      <c r="E140" s="20"/>
      <c r="I140" s="9"/>
    </row>
    <row r="141">
      <c r="D141" s="20"/>
      <c r="E141" s="20"/>
      <c r="I141" s="9"/>
    </row>
    <row r="142">
      <c r="D142" s="20"/>
      <c r="E142" s="20"/>
      <c r="I142" s="9"/>
    </row>
    <row r="143">
      <c r="D143" s="20"/>
      <c r="E143" s="20"/>
      <c r="I143" s="9"/>
    </row>
    <row r="144">
      <c r="D144" s="20"/>
      <c r="E144" s="20"/>
      <c r="I144" s="9"/>
    </row>
    <row r="145">
      <c r="D145" s="20"/>
      <c r="E145" s="20"/>
      <c r="I145" s="9"/>
    </row>
    <row r="146">
      <c r="D146" s="20"/>
      <c r="E146" s="20"/>
      <c r="I146" s="9"/>
    </row>
    <row r="147">
      <c r="D147" s="20"/>
      <c r="E147" s="20"/>
      <c r="I147" s="9"/>
    </row>
    <row r="148">
      <c r="D148" s="20"/>
      <c r="E148" s="20"/>
      <c r="I148" s="9"/>
    </row>
    <row r="149">
      <c r="D149" s="20"/>
      <c r="E149" s="20"/>
      <c r="I149" s="9"/>
    </row>
    <row r="150">
      <c r="D150" s="20"/>
      <c r="E150" s="20"/>
      <c r="I150" s="9"/>
    </row>
    <row r="151">
      <c r="D151" s="20"/>
      <c r="E151" s="20"/>
      <c r="I151" s="9"/>
    </row>
    <row r="152">
      <c r="D152" s="20"/>
      <c r="E152" s="20"/>
      <c r="I152" s="9"/>
    </row>
    <row r="153">
      <c r="D153" s="20"/>
      <c r="E153" s="20"/>
      <c r="I153" s="9"/>
    </row>
    <row r="154">
      <c r="D154" s="20"/>
      <c r="E154" s="20"/>
      <c r="I154" s="9"/>
    </row>
    <row r="155">
      <c r="D155" s="20"/>
      <c r="E155" s="20"/>
      <c r="I155" s="9"/>
    </row>
    <row r="156">
      <c r="D156" s="20"/>
      <c r="E156" s="20"/>
      <c r="I156" s="9"/>
    </row>
    <row r="157">
      <c r="D157" s="20"/>
      <c r="E157" s="20"/>
      <c r="I157" s="9"/>
    </row>
    <row r="158">
      <c r="D158" s="20"/>
      <c r="E158" s="20"/>
      <c r="I158" s="9"/>
    </row>
    <row r="159">
      <c r="D159" s="20"/>
      <c r="E159" s="20"/>
      <c r="I159" s="9"/>
    </row>
    <row r="160">
      <c r="D160" s="20"/>
      <c r="E160" s="20"/>
      <c r="I160" s="9"/>
    </row>
    <row r="161">
      <c r="D161" s="20"/>
      <c r="E161" s="20"/>
      <c r="I161" s="9"/>
    </row>
    <row r="162">
      <c r="D162" s="20"/>
      <c r="E162" s="20"/>
      <c r="I162" s="9"/>
    </row>
    <row r="163">
      <c r="D163" s="20"/>
      <c r="E163" s="20"/>
      <c r="I163" s="9"/>
    </row>
    <row r="164">
      <c r="D164" s="20"/>
      <c r="E164" s="20"/>
      <c r="I164" s="9"/>
    </row>
    <row r="165">
      <c r="D165" s="20"/>
      <c r="E165" s="20"/>
      <c r="I165" s="9"/>
    </row>
    <row r="166">
      <c r="D166" s="20"/>
      <c r="E166" s="20"/>
      <c r="I166" s="9"/>
    </row>
    <row r="167">
      <c r="D167" s="20"/>
      <c r="E167" s="20"/>
      <c r="I167" s="9"/>
    </row>
    <row r="168">
      <c r="D168" s="20"/>
      <c r="E168" s="20"/>
      <c r="I168" s="9"/>
    </row>
    <row r="169">
      <c r="D169" s="20"/>
      <c r="E169" s="20"/>
      <c r="I169" s="9"/>
    </row>
    <row r="170">
      <c r="D170" s="20"/>
      <c r="E170" s="20"/>
      <c r="I170" s="9"/>
    </row>
    <row r="171">
      <c r="D171" s="20"/>
      <c r="E171" s="20"/>
      <c r="I171" s="9"/>
    </row>
    <row r="172">
      <c r="D172" s="20"/>
      <c r="E172" s="20"/>
      <c r="I172" s="9"/>
    </row>
    <row r="173">
      <c r="D173" s="20"/>
      <c r="E173" s="20"/>
      <c r="I173" s="9"/>
    </row>
    <row r="174">
      <c r="D174" s="20"/>
      <c r="E174" s="20"/>
      <c r="I174" s="9"/>
    </row>
    <row r="175">
      <c r="D175" s="20"/>
      <c r="E175" s="20"/>
      <c r="I175" s="9"/>
    </row>
    <row r="176">
      <c r="D176" s="20"/>
      <c r="E176" s="20"/>
      <c r="I176" s="9"/>
    </row>
    <row r="177">
      <c r="D177" s="20"/>
      <c r="E177" s="20"/>
      <c r="I177" s="9"/>
    </row>
    <row r="178">
      <c r="D178" s="20"/>
      <c r="E178" s="20"/>
      <c r="I178" s="9"/>
    </row>
    <row r="179">
      <c r="D179" s="20"/>
      <c r="E179" s="20"/>
      <c r="I179" s="9"/>
    </row>
    <row r="180">
      <c r="D180" s="20"/>
      <c r="E180" s="20"/>
      <c r="I180" s="9"/>
    </row>
    <row r="181">
      <c r="D181" s="20"/>
      <c r="E181" s="20"/>
      <c r="I181" s="9"/>
    </row>
    <row r="182">
      <c r="D182" s="20"/>
      <c r="E182" s="20"/>
      <c r="I182" s="9"/>
    </row>
    <row r="183">
      <c r="D183" s="20"/>
      <c r="E183" s="20"/>
      <c r="I183" s="9"/>
    </row>
    <row r="184">
      <c r="D184" s="20"/>
      <c r="E184" s="20"/>
      <c r="I184" s="9"/>
    </row>
    <row r="185">
      <c r="D185" s="20"/>
      <c r="E185" s="20"/>
      <c r="I185" s="9"/>
    </row>
    <row r="186">
      <c r="D186" s="20"/>
      <c r="E186" s="20"/>
      <c r="I186" s="9"/>
    </row>
    <row r="187">
      <c r="D187" s="20"/>
      <c r="E187" s="20"/>
      <c r="I187" s="9"/>
    </row>
    <row r="188">
      <c r="D188" s="20"/>
      <c r="E188" s="20"/>
      <c r="I188" s="9"/>
    </row>
    <row r="189">
      <c r="D189" s="20"/>
      <c r="E189" s="20"/>
      <c r="I189" s="9"/>
    </row>
    <row r="190">
      <c r="D190" s="20"/>
      <c r="E190" s="20"/>
      <c r="I190" s="9"/>
    </row>
    <row r="191">
      <c r="D191" s="20"/>
      <c r="E191" s="20"/>
      <c r="I191" s="9"/>
    </row>
    <row r="192">
      <c r="D192" s="20"/>
      <c r="E192" s="20"/>
      <c r="I192" s="9"/>
    </row>
    <row r="193">
      <c r="D193" s="20"/>
      <c r="E193" s="20"/>
      <c r="I193" s="9"/>
    </row>
    <row r="194">
      <c r="D194" s="20"/>
      <c r="E194" s="20"/>
      <c r="I194" s="9"/>
    </row>
    <row r="195">
      <c r="D195" s="20"/>
      <c r="E195" s="20"/>
      <c r="I195" s="9"/>
    </row>
    <row r="196">
      <c r="D196" s="20"/>
      <c r="E196" s="20"/>
      <c r="I196" s="9"/>
    </row>
    <row r="197">
      <c r="D197" s="20"/>
      <c r="E197" s="20"/>
      <c r="I197" s="9"/>
    </row>
    <row r="198">
      <c r="D198" s="20"/>
      <c r="E198" s="20"/>
      <c r="I198" s="9"/>
    </row>
    <row r="199">
      <c r="D199" s="20"/>
      <c r="E199" s="20"/>
      <c r="I199" s="9"/>
    </row>
    <row r="200">
      <c r="D200" s="20"/>
      <c r="E200" s="20"/>
      <c r="I200" s="9"/>
    </row>
    <row r="201">
      <c r="D201" s="20"/>
      <c r="E201" s="20"/>
      <c r="I201" s="9"/>
    </row>
    <row r="202">
      <c r="D202" s="20"/>
      <c r="E202" s="20"/>
      <c r="I202" s="9"/>
    </row>
    <row r="203">
      <c r="D203" s="20"/>
      <c r="E203" s="20"/>
      <c r="I203" s="9"/>
    </row>
    <row r="204">
      <c r="D204" s="20"/>
      <c r="E204" s="20"/>
      <c r="I204" s="9"/>
    </row>
    <row r="205">
      <c r="D205" s="20"/>
      <c r="E205" s="20"/>
      <c r="I205" s="9"/>
    </row>
    <row r="206">
      <c r="D206" s="20"/>
      <c r="E206" s="20"/>
      <c r="I206" s="9"/>
    </row>
    <row r="207">
      <c r="D207" s="20"/>
      <c r="E207" s="20"/>
      <c r="I207" s="9"/>
    </row>
    <row r="208">
      <c r="D208" s="20"/>
      <c r="E208" s="20"/>
      <c r="I208" s="9"/>
    </row>
    <row r="209">
      <c r="D209" s="20"/>
      <c r="E209" s="20"/>
      <c r="I209" s="9"/>
    </row>
    <row r="210">
      <c r="D210" s="20"/>
      <c r="E210" s="20"/>
      <c r="I210" s="9"/>
    </row>
    <row r="211">
      <c r="D211" s="20"/>
      <c r="E211" s="20"/>
      <c r="I211" s="9"/>
    </row>
    <row r="212">
      <c r="D212" s="20"/>
      <c r="E212" s="20"/>
      <c r="I212" s="9"/>
    </row>
    <row r="213">
      <c r="D213" s="20"/>
      <c r="E213" s="20"/>
      <c r="I213" s="9"/>
    </row>
    <row r="214">
      <c r="D214" s="20"/>
      <c r="E214" s="20"/>
      <c r="I214" s="9"/>
    </row>
    <row r="215">
      <c r="D215" s="20"/>
      <c r="E215" s="20"/>
      <c r="I215" s="9"/>
    </row>
    <row r="216">
      <c r="D216" s="20"/>
      <c r="E216" s="20"/>
      <c r="I216" s="9"/>
    </row>
    <row r="217">
      <c r="D217" s="20"/>
      <c r="E217" s="20"/>
      <c r="I217" s="9"/>
    </row>
    <row r="218">
      <c r="D218" s="20"/>
      <c r="E218" s="20"/>
      <c r="I218" s="9"/>
    </row>
    <row r="219">
      <c r="D219" s="20"/>
      <c r="E219" s="20"/>
      <c r="I219" s="9"/>
    </row>
  </sheetData>
  <hyperlinks>
    <hyperlink r:id="rId1" ref="B109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11" max="11" width="20.25"/>
  </cols>
  <sheetData>
    <row r="1">
      <c r="J1" s="4" t="s">
        <v>378</v>
      </c>
      <c r="K1" s="5" t="s">
        <v>379</v>
      </c>
    </row>
    <row r="2">
      <c r="J2" s="4" t="s">
        <v>380</v>
      </c>
      <c r="K2" s="9" t="str">
        <f>LOOKUP($K$1,A:A,B:B)</f>
        <v>Misael Bernardo Meca Navarro</v>
      </c>
    </row>
    <row r="3">
      <c r="J3" s="4" t="s">
        <v>3</v>
      </c>
      <c r="K3" s="9">
        <f>LOOKUP($K$1,A:A,C:C)</f>
        <v>77424156</v>
      </c>
    </row>
    <row r="4">
      <c r="J4" s="4" t="s">
        <v>381</v>
      </c>
      <c r="K4" s="9" t="str">
        <f>LOOKUP($K$1,A:A,D:D)</f>
        <v>927 377 359</v>
      </c>
    </row>
    <row r="5">
      <c r="J5" s="4" t="s">
        <v>382</v>
      </c>
      <c r="K5" s="9" t="str">
        <f>LOOKUP($K$1,A:A,E:E)</f>
        <v>SULLANA SANTA ROSA</v>
      </c>
    </row>
    <row r="7">
      <c r="A7" s="4" t="s">
        <v>264</v>
      </c>
      <c r="B7" s="4" t="s">
        <v>163</v>
      </c>
      <c r="C7" s="4">
        <v>7.3422191E7</v>
      </c>
      <c r="D7" s="11">
        <v>9.78009351E8</v>
      </c>
      <c r="E7" s="4" t="s">
        <v>164</v>
      </c>
    </row>
    <row r="8">
      <c r="A8" s="4" t="s">
        <v>383</v>
      </c>
      <c r="B8" s="4" t="s">
        <v>81</v>
      </c>
      <c r="C8" s="4">
        <v>6.0735065E7</v>
      </c>
      <c r="D8" s="11">
        <v>9.65906061E8</v>
      </c>
      <c r="E8" s="4" t="s">
        <v>384</v>
      </c>
    </row>
    <row r="9">
      <c r="A9" s="4" t="s">
        <v>385</v>
      </c>
      <c r="B9" s="4" t="s">
        <v>93</v>
      </c>
      <c r="C9" s="4">
        <v>7.5963967E7</v>
      </c>
      <c r="D9" s="11">
        <v>9.14084959E8</v>
      </c>
      <c r="E9" s="4" t="s">
        <v>386</v>
      </c>
      <c r="K9" s="9"/>
    </row>
    <row r="10">
      <c r="A10" s="4" t="s">
        <v>379</v>
      </c>
      <c r="B10" s="4" t="s">
        <v>290</v>
      </c>
      <c r="C10" s="4">
        <v>7.3329003E7</v>
      </c>
      <c r="D10" s="11">
        <v>9.67212471E8</v>
      </c>
      <c r="E10" s="4" t="s">
        <v>387</v>
      </c>
      <c r="K10" s="9"/>
    </row>
    <row r="11">
      <c r="A11" s="4" t="s">
        <v>388</v>
      </c>
      <c r="B11" s="4" t="s">
        <v>156</v>
      </c>
      <c r="C11" s="4">
        <v>1.5424788E7</v>
      </c>
      <c r="D11" s="11" t="s">
        <v>157</v>
      </c>
      <c r="E11" s="4" t="s">
        <v>389</v>
      </c>
      <c r="K11" s="9"/>
    </row>
    <row r="12">
      <c r="A12" s="4" t="s">
        <v>390</v>
      </c>
      <c r="B12" s="4" t="s">
        <v>236</v>
      </c>
      <c r="C12" s="4">
        <v>7.7424156E7</v>
      </c>
      <c r="D12" s="11" t="s">
        <v>237</v>
      </c>
      <c r="E12" s="4" t="s">
        <v>391</v>
      </c>
      <c r="K12" s="9"/>
    </row>
    <row r="13">
      <c r="K13" s="9"/>
    </row>
    <row r="14">
      <c r="K14" s="9"/>
    </row>
    <row r="15">
      <c r="K15" s="9"/>
    </row>
    <row r="16">
      <c r="K16" s="9"/>
    </row>
    <row r="17">
      <c r="K17" s="9"/>
    </row>
    <row r="18">
      <c r="K18" s="9"/>
    </row>
    <row r="19">
      <c r="K19" s="9"/>
    </row>
    <row r="20">
      <c r="K20" s="9"/>
    </row>
    <row r="21">
      <c r="K21" s="9"/>
    </row>
    <row r="22">
      <c r="K22" s="9"/>
    </row>
    <row r="23">
      <c r="K23" s="9"/>
    </row>
    <row r="24">
      <c r="K24" s="9"/>
    </row>
    <row r="25">
      <c r="K25" s="9"/>
    </row>
    <row r="26">
      <c r="K26" s="9"/>
    </row>
    <row r="27">
      <c r="K27" s="9"/>
    </row>
    <row r="28">
      <c r="K28" s="9"/>
    </row>
    <row r="29">
      <c r="K29" s="9"/>
    </row>
    <row r="30">
      <c r="K30" s="9"/>
    </row>
    <row r="31">
      <c r="K31" s="9"/>
    </row>
    <row r="32">
      <c r="K32" s="9"/>
    </row>
    <row r="33">
      <c r="K33" s="9"/>
    </row>
    <row r="34">
      <c r="K34" s="9"/>
    </row>
    <row r="35">
      <c r="K35" s="9"/>
    </row>
    <row r="36">
      <c r="K36" s="9"/>
    </row>
    <row r="37">
      <c r="K37" s="9"/>
    </row>
    <row r="38">
      <c r="K38" s="9"/>
    </row>
    <row r="39">
      <c r="K39" s="9"/>
    </row>
    <row r="40">
      <c r="K40" s="9"/>
    </row>
    <row r="41">
      <c r="K41" s="9"/>
    </row>
    <row r="42">
      <c r="K42" s="9"/>
    </row>
    <row r="43">
      <c r="K43" s="9"/>
    </row>
    <row r="44">
      <c r="K44" s="9"/>
    </row>
    <row r="45">
      <c r="K45" s="9"/>
    </row>
    <row r="46">
      <c r="K46" s="9"/>
    </row>
    <row r="47">
      <c r="K47" s="9"/>
    </row>
    <row r="48">
      <c r="K48" s="9"/>
    </row>
    <row r="49">
      <c r="K49" s="9"/>
    </row>
    <row r="50">
      <c r="K50" s="9"/>
    </row>
    <row r="51">
      <c r="K51" s="9"/>
    </row>
    <row r="52">
      <c r="K52" s="9"/>
    </row>
    <row r="53">
      <c r="K53" s="9"/>
    </row>
    <row r="54">
      <c r="K54" s="9"/>
    </row>
    <row r="55">
      <c r="K55" s="9"/>
    </row>
    <row r="56">
      <c r="K56" s="9"/>
    </row>
    <row r="57">
      <c r="K57" s="9"/>
    </row>
    <row r="58">
      <c r="K58" s="9"/>
    </row>
    <row r="59">
      <c r="K59" s="9"/>
    </row>
    <row r="60">
      <c r="K60" s="9"/>
    </row>
    <row r="61">
      <c r="K61" s="9"/>
    </row>
    <row r="62">
      <c r="K62" s="9"/>
    </row>
    <row r="63">
      <c r="K63" s="9"/>
    </row>
    <row r="64">
      <c r="K64" s="9"/>
    </row>
    <row r="65">
      <c r="K65" s="9"/>
    </row>
    <row r="66">
      <c r="K66" s="9"/>
    </row>
    <row r="67">
      <c r="K67" s="9"/>
    </row>
    <row r="68">
      <c r="K68" s="9"/>
    </row>
    <row r="69">
      <c r="K69" s="9"/>
    </row>
    <row r="70">
      <c r="K70" s="9"/>
    </row>
    <row r="71">
      <c r="K71" s="9"/>
    </row>
    <row r="72">
      <c r="K72" s="9"/>
    </row>
    <row r="73">
      <c r="K73" s="9"/>
    </row>
    <row r="74">
      <c r="K74" s="9"/>
    </row>
    <row r="75">
      <c r="K75" s="9"/>
    </row>
    <row r="76">
      <c r="K76" s="9"/>
    </row>
    <row r="77">
      <c r="K77" s="9"/>
    </row>
    <row r="78">
      <c r="K78" s="9"/>
    </row>
    <row r="79">
      <c r="K79" s="9"/>
    </row>
    <row r="80">
      <c r="K80" s="9"/>
    </row>
    <row r="81">
      <c r="K81" s="9"/>
    </row>
    <row r="82">
      <c r="K82" s="9"/>
    </row>
    <row r="83">
      <c r="K83" s="9"/>
    </row>
    <row r="84">
      <c r="K84" s="9"/>
    </row>
    <row r="85">
      <c r="K85" s="9"/>
    </row>
    <row r="86">
      <c r="K86" s="9"/>
    </row>
    <row r="87">
      <c r="K87" s="9"/>
    </row>
    <row r="88">
      <c r="K88" s="9"/>
    </row>
    <row r="89">
      <c r="K89" s="9"/>
    </row>
    <row r="90">
      <c r="K90" s="9"/>
    </row>
    <row r="91">
      <c r="K91" s="9"/>
    </row>
    <row r="92">
      <c r="K92" s="9"/>
    </row>
    <row r="93">
      <c r="K93" s="9"/>
    </row>
    <row r="94">
      <c r="K94" s="9"/>
    </row>
    <row r="95">
      <c r="K95" s="9"/>
    </row>
    <row r="96">
      <c r="K96" s="9"/>
    </row>
    <row r="97">
      <c r="K97" s="9"/>
    </row>
    <row r="98">
      <c r="K98" s="9"/>
    </row>
    <row r="99">
      <c r="K99" s="9"/>
    </row>
    <row r="100">
      <c r="K100" s="9"/>
    </row>
    <row r="101">
      <c r="K101" s="9"/>
    </row>
    <row r="102">
      <c r="K102" s="9"/>
    </row>
    <row r="103">
      <c r="K103" s="9"/>
    </row>
    <row r="104">
      <c r="K104" s="9"/>
    </row>
    <row r="105">
      <c r="K105" s="9"/>
    </row>
    <row r="106">
      <c r="K106" s="9"/>
    </row>
    <row r="107">
      <c r="K107" s="9"/>
    </row>
    <row r="108">
      <c r="K108" s="9"/>
    </row>
    <row r="109">
      <c r="K109" s="9"/>
    </row>
    <row r="110">
      <c r="K110" s="9"/>
    </row>
    <row r="111">
      <c r="K111" s="9"/>
    </row>
    <row r="112">
      <c r="K112" s="9"/>
    </row>
    <row r="113">
      <c r="K113" s="9"/>
    </row>
    <row r="114">
      <c r="K114" s="9"/>
    </row>
    <row r="115">
      <c r="K115" s="9"/>
    </row>
    <row r="116">
      <c r="K116" s="9"/>
    </row>
    <row r="117">
      <c r="K117" s="9"/>
    </row>
    <row r="118">
      <c r="K118" s="9"/>
    </row>
    <row r="119">
      <c r="K119" s="9"/>
    </row>
    <row r="120">
      <c r="K120" s="9"/>
    </row>
    <row r="121">
      <c r="K121" s="9"/>
    </row>
    <row r="122">
      <c r="K122" s="9"/>
    </row>
    <row r="123">
      <c r="K123" s="9"/>
    </row>
    <row r="124">
      <c r="K124" s="9"/>
    </row>
    <row r="125">
      <c r="K125" s="9"/>
    </row>
    <row r="126">
      <c r="K126" s="9"/>
    </row>
    <row r="127">
      <c r="K127" s="9"/>
    </row>
    <row r="128">
      <c r="K128" s="9"/>
    </row>
    <row r="129">
      <c r="K129" s="9"/>
    </row>
    <row r="130">
      <c r="K130" s="9"/>
    </row>
    <row r="131">
      <c r="K131" s="9"/>
    </row>
    <row r="132">
      <c r="K132" s="9"/>
    </row>
    <row r="133">
      <c r="K133" s="9"/>
    </row>
    <row r="134">
      <c r="K134" s="9"/>
    </row>
    <row r="135">
      <c r="K135" s="9"/>
    </row>
    <row r="136">
      <c r="K136" s="9"/>
    </row>
    <row r="137">
      <c r="K137" s="9"/>
    </row>
    <row r="138">
      <c r="K138" s="9"/>
    </row>
    <row r="139">
      <c r="K139" s="9"/>
    </row>
    <row r="140">
      <c r="K140" s="9"/>
    </row>
    <row r="141">
      <c r="K141" s="9"/>
    </row>
    <row r="142">
      <c r="K142" s="9"/>
    </row>
    <row r="143">
      <c r="K143" s="9"/>
    </row>
    <row r="144">
      <c r="K144" s="9"/>
    </row>
    <row r="145">
      <c r="K145" s="9"/>
    </row>
    <row r="146">
      <c r="K146" s="9"/>
    </row>
    <row r="147">
      <c r="K147" s="9"/>
    </row>
    <row r="148">
      <c r="K148" s="9"/>
    </row>
    <row r="149">
      <c r="K149" s="9"/>
    </row>
    <row r="150">
      <c r="K150" s="9"/>
    </row>
    <row r="151">
      <c r="K151" s="9"/>
    </row>
    <row r="152">
      <c r="K152" s="9"/>
    </row>
    <row r="153">
      <c r="K153" s="9"/>
    </row>
    <row r="154">
      <c r="K154" s="9"/>
    </row>
    <row r="155">
      <c r="K155" s="9"/>
    </row>
    <row r="156">
      <c r="K156" s="9"/>
    </row>
    <row r="157">
      <c r="K157" s="9"/>
    </row>
    <row r="158">
      <c r="K158" s="9"/>
    </row>
    <row r="159">
      <c r="K159" s="9"/>
    </row>
    <row r="160">
      <c r="K160" s="9"/>
    </row>
    <row r="161">
      <c r="K161" s="9"/>
    </row>
    <row r="162">
      <c r="K162" s="9"/>
    </row>
    <row r="163">
      <c r="K163" s="9"/>
    </row>
    <row r="164">
      <c r="K164" s="9"/>
    </row>
    <row r="165">
      <c r="K165" s="9"/>
    </row>
    <row r="166">
      <c r="K166" s="9"/>
    </row>
    <row r="167">
      <c r="K167" s="9"/>
    </row>
    <row r="168">
      <c r="K168" s="9"/>
    </row>
    <row r="169">
      <c r="K169" s="9"/>
    </row>
    <row r="170">
      <c r="K170" s="9"/>
    </row>
    <row r="171">
      <c r="K171" s="9"/>
    </row>
    <row r="172">
      <c r="K172" s="9"/>
    </row>
    <row r="173">
      <c r="K173" s="9"/>
    </row>
    <row r="174">
      <c r="K174" s="9"/>
    </row>
    <row r="175">
      <c r="K175" s="9"/>
    </row>
    <row r="176">
      <c r="K176" s="9"/>
    </row>
    <row r="177">
      <c r="K177" s="9"/>
    </row>
    <row r="178">
      <c r="K178" s="9"/>
    </row>
    <row r="179">
      <c r="K179" s="9"/>
    </row>
    <row r="180">
      <c r="K180" s="9"/>
    </row>
    <row r="181">
      <c r="K181" s="9"/>
    </row>
    <row r="182">
      <c r="K182" s="9"/>
    </row>
    <row r="183">
      <c r="K183" s="9"/>
    </row>
    <row r="184">
      <c r="K184" s="9"/>
    </row>
    <row r="185">
      <c r="K185" s="9"/>
    </row>
    <row r="186">
      <c r="K186" s="9"/>
    </row>
    <row r="187">
      <c r="K187" s="9"/>
    </row>
    <row r="188">
      <c r="K188" s="9"/>
    </row>
    <row r="189">
      <c r="K189" s="9"/>
    </row>
    <row r="190">
      <c r="K190" s="9"/>
    </row>
    <row r="191">
      <c r="K191" s="9"/>
    </row>
    <row r="192">
      <c r="K192" s="9"/>
    </row>
    <row r="193">
      <c r="K193" s="9"/>
    </row>
    <row r="194">
      <c r="K194" s="9"/>
    </row>
    <row r="195">
      <c r="K195" s="9"/>
    </row>
    <row r="196">
      <c r="K196" s="9"/>
    </row>
    <row r="197">
      <c r="K197" s="9"/>
    </row>
    <row r="198">
      <c r="K198" s="9"/>
    </row>
    <row r="199">
      <c r="K199" s="9"/>
    </row>
    <row r="200">
      <c r="K200" s="9"/>
    </row>
    <row r="201">
      <c r="K201" s="9"/>
    </row>
    <row r="202">
      <c r="K202" s="9"/>
    </row>
    <row r="203">
      <c r="K203" s="9"/>
    </row>
    <row r="204">
      <c r="K204" s="9"/>
    </row>
    <row r="205">
      <c r="K205" s="9"/>
    </row>
    <row r="206">
      <c r="K206" s="9"/>
    </row>
    <row r="207">
      <c r="K207" s="9"/>
    </row>
    <row r="208">
      <c r="K208" s="9"/>
    </row>
    <row r="209">
      <c r="K209" s="9"/>
    </row>
    <row r="210">
      <c r="K210" s="9"/>
    </row>
    <row r="211">
      <c r="K211" s="9"/>
    </row>
    <row r="212">
      <c r="K212" s="9"/>
    </row>
    <row r="213">
      <c r="K213" s="9"/>
    </row>
    <row r="214">
      <c r="K214" s="9"/>
    </row>
    <row r="215">
      <c r="K215" s="9"/>
    </row>
    <row r="216">
      <c r="K216" s="9"/>
    </row>
    <row r="217">
      <c r="K217" s="9"/>
    </row>
    <row r="218">
      <c r="K218" s="9"/>
    </row>
    <row r="219">
      <c r="K219" s="9"/>
    </row>
    <row r="220">
      <c r="K220" s="9"/>
    </row>
    <row r="221">
      <c r="K221" s="9"/>
    </row>
    <row r="222">
      <c r="K222" s="9"/>
    </row>
    <row r="223">
      <c r="K223" s="9"/>
    </row>
    <row r="224">
      <c r="K224" s="9"/>
    </row>
    <row r="225">
      <c r="K225" s="9"/>
    </row>
    <row r="226">
      <c r="K226" s="9"/>
    </row>
    <row r="227">
      <c r="K227" s="9"/>
    </row>
    <row r="228">
      <c r="K228" s="9"/>
    </row>
    <row r="229">
      <c r="K229" s="9"/>
    </row>
    <row r="230">
      <c r="K230" s="9"/>
    </row>
    <row r="231">
      <c r="K231" s="9"/>
    </row>
    <row r="232">
      <c r="K232" s="9"/>
    </row>
    <row r="233">
      <c r="K233" s="9"/>
    </row>
    <row r="234">
      <c r="K234" s="9"/>
    </row>
    <row r="235">
      <c r="K235" s="9"/>
    </row>
    <row r="236">
      <c r="K236" s="9"/>
    </row>
    <row r="237">
      <c r="K237" s="9"/>
    </row>
    <row r="238">
      <c r="K238" s="9"/>
    </row>
    <row r="239">
      <c r="K239" s="9"/>
    </row>
    <row r="240">
      <c r="K240" s="9"/>
    </row>
    <row r="241">
      <c r="K241" s="9"/>
    </row>
    <row r="242">
      <c r="K242" s="9"/>
    </row>
    <row r="243">
      <c r="K243" s="9"/>
    </row>
    <row r="244">
      <c r="K244" s="9"/>
    </row>
    <row r="245">
      <c r="K245" s="9"/>
    </row>
    <row r="246">
      <c r="K246" s="9"/>
    </row>
    <row r="247">
      <c r="K247" s="9"/>
    </row>
    <row r="248">
      <c r="K248" s="9"/>
    </row>
    <row r="249">
      <c r="K249" s="9"/>
    </row>
    <row r="250">
      <c r="K250" s="9"/>
    </row>
    <row r="251">
      <c r="K251" s="9"/>
    </row>
    <row r="252">
      <c r="K252" s="9"/>
    </row>
    <row r="253">
      <c r="K253" s="9"/>
    </row>
    <row r="254">
      <c r="K254" s="9"/>
    </row>
    <row r="255">
      <c r="K255" s="9"/>
    </row>
    <row r="256">
      <c r="K256" s="9"/>
    </row>
    <row r="257">
      <c r="K257" s="9"/>
    </row>
    <row r="258">
      <c r="K258" s="9"/>
    </row>
    <row r="259">
      <c r="K259" s="9"/>
    </row>
    <row r="260">
      <c r="K260" s="9"/>
    </row>
    <row r="261">
      <c r="K261" s="9"/>
    </row>
    <row r="262">
      <c r="K262" s="9"/>
    </row>
    <row r="263">
      <c r="K263" s="9"/>
    </row>
    <row r="264">
      <c r="K264" s="9"/>
    </row>
    <row r="265">
      <c r="K265" s="9"/>
    </row>
    <row r="266">
      <c r="K266" s="9"/>
    </row>
    <row r="267">
      <c r="K267" s="9"/>
    </row>
    <row r="268">
      <c r="K268" s="9"/>
    </row>
    <row r="269">
      <c r="K269" s="9"/>
    </row>
    <row r="270">
      <c r="K270" s="9"/>
    </row>
    <row r="271">
      <c r="K271" s="9"/>
    </row>
    <row r="272">
      <c r="K272" s="9"/>
    </row>
    <row r="273">
      <c r="K273" s="9"/>
    </row>
    <row r="274">
      <c r="K274" s="9"/>
    </row>
    <row r="275">
      <c r="K275" s="9"/>
    </row>
    <row r="276">
      <c r="K276" s="9"/>
    </row>
    <row r="277">
      <c r="K277" s="9"/>
    </row>
    <row r="278">
      <c r="K278" s="9"/>
    </row>
    <row r="279">
      <c r="K279" s="9"/>
    </row>
    <row r="280">
      <c r="K280" s="9"/>
    </row>
    <row r="281">
      <c r="K281" s="9"/>
    </row>
    <row r="282">
      <c r="K282" s="9"/>
    </row>
    <row r="283">
      <c r="K283" s="9"/>
    </row>
    <row r="284">
      <c r="K284" s="9"/>
    </row>
    <row r="285">
      <c r="K285" s="9"/>
    </row>
    <row r="286">
      <c r="K286" s="9"/>
    </row>
    <row r="287">
      <c r="K287" s="9"/>
    </row>
    <row r="288">
      <c r="K288" s="9"/>
    </row>
    <row r="289">
      <c r="K289" s="9"/>
    </row>
    <row r="290">
      <c r="K290" s="9"/>
    </row>
    <row r="291">
      <c r="K291" s="9"/>
    </row>
    <row r="292">
      <c r="K292" s="9"/>
    </row>
    <row r="293">
      <c r="K293" s="9"/>
    </row>
    <row r="294">
      <c r="K294" s="9"/>
    </row>
    <row r="295">
      <c r="K295" s="9"/>
    </row>
    <row r="296">
      <c r="K296" s="9"/>
    </row>
    <row r="297">
      <c r="K297" s="9"/>
    </row>
    <row r="298">
      <c r="K298" s="9"/>
    </row>
    <row r="299">
      <c r="K299" s="9"/>
    </row>
    <row r="300">
      <c r="K300" s="9"/>
    </row>
    <row r="301">
      <c r="K301" s="9"/>
    </row>
    <row r="302">
      <c r="K302" s="9"/>
    </row>
    <row r="303">
      <c r="K303" s="9"/>
    </row>
    <row r="304">
      <c r="K304" s="9"/>
    </row>
    <row r="305">
      <c r="K305" s="9"/>
    </row>
    <row r="306">
      <c r="K306" s="9"/>
    </row>
    <row r="307">
      <c r="K307" s="9"/>
    </row>
    <row r="308">
      <c r="K308" s="9"/>
    </row>
    <row r="309">
      <c r="K309" s="9"/>
    </row>
    <row r="310">
      <c r="K310" s="9"/>
    </row>
    <row r="311">
      <c r="K311" s="9"/>
    </row>
    <row r="312">
      <c r="K312" s="9"/>
    </row>
    <row r="313">
      <c r="K313" s="9"/>
    </row>
    <row r="314">
      <c r="K314" s="9"/>
    </row>
    <row r="315">
      <c r="K315" s="9"/>
    </row>
    <row r="316">
      <c r="K316" s="9"/>
    </row>
    <row r="317">
      <c r="K317" s="9"/>
    </row>
    <row r="318">
      <c r="K318" s="9"/>
    </row>
    <row r="319">
      <c r="K319" s="9"/>
    </row>
    <row r="320">
      <c r="K320" s="9"/>
    </row>
    <row r="321">
      <c r="K321" s="9"/>
    </row>
    <row r="322">
      <c r="K322" s="9"/>
    </row>
    <row r="323">
      <c r="K323" s="9"/>
    </row>
    <row r="324">
      <c r="K324" s="9"/>
    </row>
    <row r="325">
      <c r="K325" s="9"/>
    </row>
    <row r="326">
      <c r="K326" s="9"/>
    </row>
    <row r="327">
      <c r="K327" s="9"/>
    </row>
    <row r="328">
      <c r="K328" s="9"/>
    </row>
    <row r="329">
      <c r="K329" s="9"/>
    </row>
    <row r="330">
      <c r="K330" s="9"/>
    </row>
    <row r="331">
      <c r="K331" s="9"/>
    </row>
    <row r="332">
      <c r="K332" s="9"/>
    </row>
    <row r="333">
      <c r="K333" s="9"/>
    </row>
    <row r="334">
      <c r="K334" s="9"/>
    </row>
    <row r="335">
      <c r="K335" s="9"/>
    </row>
    <row r="336">
      <c r="K336" s="9"/>
    </row>
    <row r="337">
      <c r="K337" s="9"/>
    </row>
    <row r="338">
      <c r="K338" s="9"/>
    </row>
    <row r="339">
      <c r="K339" s="9"/>
    </row>
    <row r="340">
      <c r="K340" s="9"/>
    </row>
    <row r="341">
      <c r="K341" s="9"/>
    </row>
    <row r="342">
      <c r="K342" s="9"/>
    </row>
    <row r="343">
      <c r="K343" s="9"/>
    </row>
    <row r="344">
      <c r="K344" s="9"/>
    </row>
    <row r="345">
      <c r="K345" s="9"/>
    </row>
    <row r="346">
      <c r="K346" s="9"/>
    </row>
    <row r="347">
      <c r="K347" s="9"/>
    </row>
    <row r="348">
      <c r="K348" s="9"/>
    </row>
    <row r="349">
      <c r="K349" s="9"/>
    </row>
    <row r="350">
      <c r="K350" s="9"/>
    </row>
    <row r="351">
      <c r="K351" s="9"/>
    </row>
    <row r="352">
      <c r="K352" s="9"/>
    </row>
    <row r="353">
      <c r="K353" s="9"/>
    </row>
    <row r="354">
      <c r="K354" s="9"/>
    </row>
    <row r="355">
      <c r="K355" s="9"/>
    </row>
    <row r="356">
      <c r="K356" s="9"/>
    </row>
    <row r="357">
      <c r="K357" s="9"/>
    </row>
    <row r="358">
      <c r="K358" s="9"/>
    </row>
    <row r="359">
      <c r="K359" s="9"/>
    </row>
    <row r="360">
      <c r="K360" s="9"/>
    </row>
    <row r="361">
      <c r="K361" s="9"/>
    </row>
    <row r="362">
      <c r="K362" s="9"/>
    </row>
    <row r="363">
      <c r="K363" s="9"/>
    </row>
    <row r="364">
      <c r="K364" s="9"/>
    </row>
    <row r="365">
      <c r="K365" s="9"/>
    </row>
    <row r="366">
      <c r="K366" s="9"/>
    </row>
    <row r="367">
      <c r="K367" s="9"/>
    </row>
    <row r="368">
      <c r="K368" s="9"/>
    </row>
    <row r="369">
      <c r="K369" s="9"/>
    </row>
    <row r="370">
      <c r="K370" s="9"/>
    </row>
    <row r="371">
      <c r="K371" s="9"/>
    </row>
    <row r="372">
      <c r="K372" s="9"/>
    </row>
    <row r="373">
      <c r="K373" s="9"/>
    </row>
    <row r="374">
      <c r="K374" s="9"/>
    </row>
    <row r="375">
      <c r="K375" s="9"/>
    </row>
    <row r="376">
      <c r="K376" s="9"/>
    </row>
    <row r="377">
      <c r="K377" s="9"/>
    </row>
    <row r="378">
      <c r="K378" s="9"/>
    </row>
    <row r="379">
      <c r="K379" s="9"/>
    </row>
    <row r="380">
      <c r="K380" s="9"/>
    </row>
    <row r="381">
      <c r="K381" s="9"/>
    </row>
    <row r="382">
      <c r="K382" s="9"/>
    </row>
    <row r="383">
      <c r="K383" s="9"/>
    </row>
    <row r="384">
      <c r="K384" s="9"/>
    </row>
    <row r="385">
      <c r="K385" s="9"/>
    </row>
    <row r="386">
      <c r="K386" s="9"/>
    </row>
    <row r="387">
      <c r="K387" s="9"/>
    </row>
    <row r="388">
      <c r="K388" s="9"/>
    </row>
    <row r="389">
      <c r="K389" s="9"/>
    </row>
    <row r="390">
      <c r="K390" s="9"/>
    </row>
    <row r="391">
      <c r="K391" s="9"/>
    </row>
    <row r="392">
      <c r="K392" s="9"/>
    </row>
    <row r="393">
      <c r="K393" s="9"/>
    </row>
    <row r="394">
      <c r="K394" s="9"/>
    </row>
    <row r="395">
      <c r="K395" s="9"/>
    </row>
    <row r="396">
      <c r="K396" s="9"/>
    </row>
    <row r="397">
      <c r="K397" s="9"/>
    </row>
    <row r="398">
      <c r="K398" s="9"/>
    </row>
    <row r="399">
      <c r="K399" s="9"/>
    </row>
    <row r="400">
      <c r="K400" s="9"/>
    </row>
    <row r="401">
      <c r="K401" s="9"/>
    </row>
    <row r="402">
      <c r="K402" s="9"/>
    </row>
    <row r="403">
      <c r="K403" s="9"/>
    </row>
    <row r="404">
      <c r="K404" s="9"/>
    </row>
    <row r="405">
      <c r="K405" s="9"/>
    </row>
    <row r="406">
      <c r="K406" s="9"/>
    </row>
    <row r="407">
      <c r="K407" s="9"/>
    </row>
    <row r="408">
      <c r="K408" s="9"/>
    </row>
    <row r="409">
      <c r="K409" s="9"/>
    </row>
    <row r="410">
      <c r="K410" s="9"/>
    </row>
    <row r="411">
      <c r="K411" s="9"/>
    </row>
    <row r="412">
      <c r="K412" s="9"/>
    </row>
    <row r="413">
      <c r="K413" s="9"/>
    </row>
    <row r="414">
      <c r="K414" s="9"/>
    </row>
    <row r="415">
      <c r="K415" s="9"/>
    </row>
    <row r="416">
      <c r="K416" s="9"/>
    </row>
    <row r="417">
      <c r="K417" s="9"/>
    </row>
    <row r="418">
      <c r="K418" s="9"/>
    </row>
    <row r="419">
      <c r="K419" s="9"/>
    </row>
    <row r="420">
      <c r="K420" s="9"/>
    </row>
    <row r="421">
      <c r="K421" s="9"/>
    </row>
    <row r="422">
      <c r="K422" s="9"/>
    </row>
    <row r="423">
      <c r="K423" s="9"/>
    </row>
    <row r="424">
      <c r="K424" s="9"/>
    </row>
    <row r="425">
      <c r="K425" s="9"/>
    </row>
    <row r="426">
      <c r="K426" s="9"/>
    </row>
    <row r="427">
      <c r="K427" s="9"/>
    </row>
    <row r="428">
      <c r="K428" s="9"/>
    </row>
    <row r="429">
      <c r="K429" s="9"/>
    </row>
    <row r="430">
      <c r="K430" s="9"/>
    </row>
    <row r="431">
      <c r="K431" s="9"/>
    </row>
    <row r="432">
      <c r="K432" s="9"/>
    </row>
    <row r="433">
      <c r="K433" s="9"/>
    </row>
    <row r="434">
      <c r="K434" s="9"/>
    </row>
    <row r="435">
      <c r="K435" s="9"/>
    </row>
    <row r="436">
      <c r="K436" s="9"/>
    </row>
    <row r="437">
      <c r="K437" s="9"/>
    </row>
    <row r="438">
      <c r="K438" s="9"/>
    </row>
    <row r="439">
      <c r="K439" s="9"/>
    </row>
    <row r="440">
      <c r="K440" s="9"/>
    </row>
    <row r="441">
      <c r="K441" s="9"/>
    </row>
    <row r="442">
      <c r="K442" s="9"/>
    </row>
    <row r="443">
      <c r="K443" s="9"/>
    </row>
    <row r="444">
      <c r="K444" s="9"/>
    </row>
    <row r="445">
      <c r="K445" s="9"/>
    </row>
    <row r="446">
      <c r="K446" s="9"/>
    </row>
    <row r="447">
      <c r="K447" s="9"/>
    </row>
    <row r="448">
      <c r="K448" s="9"/>
    </row>
    <row r="449">
      <c r="K449" s="9"/>
    </row>
    <row r="450">
      <c r="K450" s="9"/>
    </row>
    <row r="451">
      <c r="K451" s="9"/>
    </row>
    <row r="452">
      <c r="K452" s="9"/>
    </row>
    <row r="453">
      <c r="K453" s="9"/>
    </row>
    <row r="454">
      <c r="K454" s="9"/>
    </row>
    <row r="455">
      <c r="K455" s="9"/>
    </row>
    <row r="456">
      <c r="K456" s="9"/>
    </row>
    <row r="457">
      <c r="K457" s="9"/>
    </row>
    <row r="458">
      <c r="K458" s="9"/>
    </row>
    <row r="459">
      <c r="K459" s="9"/>
    </row>
    <row r="460">
      <c r="K460" s="9"/>
    </row>
    <row r="461">
      <c r="K461" s="9"/>
    </row>
    <row r="462">
      <c r="K462" s="9"/>
    </row>
    <row r="463">
      <c r="K463" s="9"/>
    </row>
    <row r="464">
      <c r="K464" s="9"/>
    </row>
    <row r="465">
      <c r="K465" s="9"/>
    </row>
    <row r="466">
      <c r="K466" s="9"/>
    </row>
    <row r="467">
      <c r="K467" s="9"/>
    </row>
    <row r="468">
      <c r="K468" s="9"/>
    </row>
    <row r="469">
      <c r="K469" s="9"/>
    </row>
    <row r="470">
      <c r="K470" s="9"/>
    </row>
    <row r="471">
      <c r="K471" s="9"/>
    </row>
    <row r="472">
      <c r="K472" s="9"/>
    </row>
    <row r="473">
      <c r="K473" s="9"/>
    </row>
    <row r="474">
      <c r="K474" s="9"/>
    </row>
    <row r="475">
      <c r="K475" s="9"/>
    </row>
    <row r="476">
      <c r="K476" s="9"/>
    </row>
    <row r="477">
      <c r="K477" s="9"/>
    </row>
    <row r="478">
      <c r="K478" s="9"/>
    </row>
    <row r="479">
      <c r="K479" s="9"/>
    </row>
    <row r="480">
      <c r="K480" s="9"/>
    </row>
    <row r="481">
      <c r="K481" s="9"/>
    </row>
    <row r="482">
      <c r="K482" s="9"/>
    </row>
    <row r="483">
      <c r="K483" s="9"/>
    </row>
    <row r="484">
      <c r="K484" s="9"/>
    </row>
    <row r="485">
      <c r="K485" s="9"/>
    </row>
    <row r="486">
      <c r="K486" s="9"/>
    </row>
    <row r="487">
      <c r="K487" s="9"/>
    </row>
    <row r="488">
      <c r="K488" s="9"/>
    </row>
    <row r="489">
      <c r="K489" s="9"/>
    </row>
    <row r="490">
      <c r="K490" s="9"/>
    </row>
    <row r="491">
      <c r="K491" s="9"/>
    </row>
    <row r="492">
      <c r="K492" s="9"/>
    </row>
    <row r="493">
      <c r="K493" s="9"/>
    </row>
    <row r="494">
      <c r="K494" s="9"/>
    </row>
    <row r="495">
      <c r="K495" s="9"/>
    </row>
    <row r="496">
      <c r="K496" s="9"/>
    </row>
    <row r="497">
      <c r="K497" s="9"/>
    </row>
    <row r="498">
      <c r="K498" s="9"/>
    </row>
    <row r="499">
      <c r="K499" s="9"/>
    </row>
    <row r="500">
      <c r="K500" s="9"/>
    </row>
    <row r="501">
      <c r="K501" s="9"/>
    </row>
    <row r="502">
      <c r="K502" s="9"/>
    </row>
    <row r="503">
      <c r="K503" s="9"/>
    </row>
    <row r="504">
      <c r="K504" s="9"/>
    </row>
    <row r="505">
      <c r="K505" s="9"/>
    </row>
    <row r="506">
      <c r="K506" s="9"/>
    </row>
    <row r="507">
      <c r="K507" s="9"/>
    </row>
    <row r="508">
      <c r="K508" s="9"/>
    </row>
    <row r="509">
      <c r="K509" s="9"/>
    </row>
    <row r="510">
      <c r="K510" s="9"/>
    </row>
    <row r="511">
      <c r="K511" s="9"/>
    </row>
    <row r="512">
      <c r="K512" s="9"/>
    </row>
    <row r="513">
      <c r="K513" s="9"/>
    </row>
    <row r="514">
      <c r="K514" s="9"/>
    </row>
    <row r="515">
      <c r="K515" s="9"/>
    </row>
    <row r="516">
      <c r="K516" s="9"/>
    </row>
    <row r="517">
      <c r="K517" s="9"/>
    </row>
    <row r="518">
      <c r="K518" s="9"/>
    </row>
    <row r="519">
      <c r="K519" s="9"/>
    </row>
    <row r="520">
      <c r="K520" s="9"/>
    </row>
    <row r="521">
      <c r="K521" s="9"/>
    </row>
    <row r="522">
      <c r="K522" s="9"/>
    </row>
    <row r="523">
      <c r="K523" s="9"/>
    </row>
    <row r="524">
      <c r="K524" s="9"/>
    </row>
    <row r="525">
      <c r="K525" s="9"/>
    </row>
    <row r="526">
      <c r="K526" s="9"/>
    </row>
    <row r="527">
      <c r="K527" s="9"/>
    </row>
    <row r="528">
      <c r="K528" s="9"/>
    </row>
    <row r="529">
      <c r="K529" s="9"/>
    </row>
    <row r="530">
      <c r="K530" s="9"/>
    </row>
    <row r="531">
      <c r="K531" s="9"/>
    </row>
    <row r="532">
      <c r="K532" s="9"/>
    </row>
    <row r="533">
      <c r="K533" s="9"/>
    </row>
    <row r="534">
      <c r="K534" s="9"/>
    </row>
    <row r="535">
      <c r="K535" s="9"/>
    </row>
    <row r="536">
      <c r="K536" s="9"/>
    </row>
    <row r="537">
      <c r="K537" s="9"/>
    </row>
    <row r="538">
      <c r="K538" s="9"/>
    </row>
    <row r="539">
      <c r="K539" s="9"/>
    </row>
    <row r="540">
      <c r="K540" s="9"/>
    </row>
    <row r="541">
      <c r="K541" s="9"/>
    </row>
    <row r="542">
      <c r="K542" s="9"/>
    </row>
    <row r="543">
      <c r="K543" s="9"/>
    </row>
    <row r="544">
      <c r="K544" s="9"/>
    </row>
    <row r="545">
      <c r="K545" s="9"/>
    </row>
    <row r="546">
      <c r="K546" s="9"/>
    </row>
    <row r="547">
      <c r="K547" s="9"/>
    </row>
    <row r="548">
      <c r="K548" s="9"/>
    </row>
    <row r="549">
      <c r="K549" s="9"/>
    </row>
    <row r="550">
      <c r="K550" s="9"/>
    </row>
    <row r="551">
      <c r="K551" s="9"/>
    </row>
    <row r="552">
      <c r="K552" s="9"/>
    </row>
    <row r="553">
      <c r="K553" s="9"/>
    </row>
    <row r="554">
      <c r="K554" s="9"/>
    </row>
    <row r="555">
      <c r="K555" s="9"/>
    </row>
    <row r="556">
      <c r="K556" s="9"/>
    </row>
    <row r="557">
      <c r="K557" s="9"/>
    </row>
    <row r="558">
      <c r="K558" s="9"/>
    </row>
    <row r="559">
      <c r="K559" s="9"/>
    </row>
    <row r="560">
      <c r="K560" s="9"/>
    </row>
    <row r="561">
      <c r="K561" s="9"/>
    </row>
    <row r="562">
      <c r="K562" s="9"/>
    </row>
    <row r="563">
      <c r="K563" s="9"/>
    </row>
    <row r="564">
      <c r="K564" s="9"/>
    </row>
    <row r="565">
      <c r="K565" s="9"/>
    </row>
    <row r="566">
      <c r="K566" s="9"/>
    </row>
    <row r="567">
      <c r="K567" s="9"/>
    </row>
    <row r="568">
      <c r="K568" s="9"/>
    </row>
    <row r="569">
      <c r="K569" s="9"/>
    </row>
    <row r="570">
      <c r="K570" s="9"/>
    </row>
    <row r="571">
      <c r="K571" s="9"/>
    </row>
    <row r="572">
      <c r="K572" s="9"/>
    </row>
    <row r="573">
      <c r="K573" s="9"/>
    </row>
    <row r="574">
      <c r="K574" s="9"/>
    </row>
    <row r="575">
      <c r="K575" s="9"/>
    </row>
    <row r="576">
      <c r="K576" s="9"/>
    </row>
    <row r="577">
      <c r="K577" s="9"/>
    </row>
    <row r="578">
      <c r="K578" s="9"/>
    </row>
    <row r="579">
      <c r="K579" s="9"/>
    </row>
    <row r="580">
      <c r="K580" s="9"/>
    </row>
    <row r="581">
      <c r="K581" s="9"/>
    </row>
    <row r="582">
      <c r="K582" s="9"/>
    </row>
    <row r="583">
      <c r="K583" s="9"/>
    </row>
    <row r="584">
      <c r="K584" s="9"/>
    </row>
    <row r="585">
      <c r="K585" s="9"/>
    </row>
    <row r="586">
      <c r="K586" s="9"/>
    </row>
    <row r="587">
      <c r="K587" s="9"/>
    </row>
    <row r="588">
      <c r="K588" s="9"/>
    </row>
    <row r="589">
      <c r="K589" s="9"/>
    </row>
    <row r="590">
      <c r="K590" s="9"/>
    </row>
    <row r="591">
      <c r="K591" s="9"/>
    </row>
    <row r="592">
      <c r="K592" s="9"/>
    </row>
    <row r="593">
      <c r="K593" s="9"/>
    </row>
    <row r="594">
      <c r="K594" s="9"/>
    </row>
    <row r="595">
      <c r="K595" s="9"/>
    </row>
    <row r="596">
      <c r="K596" s="9"/>
    </row>
    <row r="597">
      <c r="K597" s="9"/>
    </row>
    <row r="598">
      <c r="K598" s="9"/>
    </row>
    <row r="599">
      <c r="K599" s="9"/>
    </row>
    <row r="600">
      <c r="K600" s="9"/>
    </row>
    <row r="601">
      <c r="K601" s="9"/>
    </row>
    <row r="602">
      <c r="K602" s="9"/>
    </row>
    <row r="603">
      <c r="K603" s="9"/>
    </row>
    <row r="604">
      <c r="K604" s="9"/>
    </row>
    <row r="605">
      <c r="K605" s="9"/>
    </row>
    <row r="606">
      <c r="K606" s="9"/>
    </row>
    <row r="607">
      <c r="K607" s="9"/>
    </row>
    <row r="608">
      <c r="K608" s="9"/>
    </row>
    <row r="609">
      <c r="K609" s="9"/>
    </row>
    <row r="610">
      <c r="K610" s="9"/>
    </row>
    <row r="611">
      <c r="K611" s="9"/>
    </row>
    <row r="612">
      <c r="K612" s="9"/>
    </row>
    <row r="613">
      <c r="K613" s="9"/>
    </row>
    <row r="614">
      <c r="K614" s="9"/>
    </row>
    <row r="615">
      <c r="K615" s="9"/>
    </row>
    <row r="616">
      <c r="K616" s="9"/>
    </row>
    <row r="617">
      <c r="K617" s="9"/>
    </row>
    <row r="618">
      <c r="K618" s="9"/>
    </row>
    <row r="619">
      <c r="K619" s="9"/>
    </row>
    <row r="620">
      <c r="K620" s="9"/>
    </row>
    <row r="621">
      <c r="K621" s="9"/>
    </row>
    <row r="622">
      <c r="K622" s="9"/>
    </row>
    <row r="623">
      <c r="K623" s="9"/>
    </row>
    <row r="624">
      <c r="K624" s="9"/>
    </row>
    <row r="625">
      <c r="K625" s="9"/>
    </row>
    <row r="626">
      <c r="K626" s="9"/>
    </row>
    <row r="627">
      <c r="K627" s="9"/>
    </row>
    <row r="628">
      <c r="K628" s="9"/>
    </row>
    <row r="629">
      <c r="K629" s="9"/>
    </row>
    <row r="630">
      <c r="K630" s="9"/>
    </row>
    <row r="631">
      <c r="K631" s="9"/>
    </row>
    <row r="632">
      <c r="K632" s="9"/>
    </row>
    <row r="633">
      <c r="K633" s="9"/>
    </row>
    <row r="634">
      <c r="K634" s="9"/>
    </row>
    <row r="635">
      <c r="K635" s="9"/>
    </row>
    <row r="636">
      <c r="K636" s="9"/>
    </row>
    <row r="637">
      <c r="K637" s="9"/>
    </row>
    <row r="638">
      <c r="K638" s="9"/>
    </row>
    <row r="639">
      <c r="K639" s="9"/>
    </row>
    <row r="640">
      <c r="K640" s="9"/>
    </row>
    <row r="641">
      <c r="K641" s="9"/>
    </row>
    <row r="642">
      <c r="K642" s="9"/>
    </row>
    <row r="643">
      <c r="K643" s="9"/>
    </row>
    <row r="644">
      <c r="K644" s="9"/>
    </row>
    <row r="645">
      <c r="K645" s="9"/>
    </row>
    <row r="646">
      <c r="K646" s="9"/>
    </row>
    <row r="647">
      <c r="K647" s="9"/>
    </row>
    <row r="648">
      <c r="K648" s="9"/>
    </row>
    <row r="649">
      <c r="K649" s="9"/>
    </row>
    <row r="650">
      <c r="K650" s="9"/>
    </row>
    <row r="651">
      <c r="K651" s="9"/>
    </row>
    <row r="652">
      <c r="K652" s="9"/>
    </row>
    <row r="653">
      <c r="K653" s="9"/>
    </row>
    <row r="654">
      <c r="K654" s="9"/>
    </row>
    <row r="655">
      <c r="K655" s="9"/>
    </row>
    <row r="656">
      <c r="K656" s="9"/>
    </row>
    <row r="657">
      <c r="K657" s="9"/>
    </row>
    <row r="658">
      <c r="K658" s="9"/>
    </row>
    <row r="659">
      <c r="K659" s="9"/>
    </row>
    <row r="660">
      <c r="K660" s="9"/>
    </row>
    <row r="661">
      <c r="K661" s="9"/>
    </row>
    <row r="662">
      <c r="K662" s="9"/>
    </row>
    <row r="663">
      <c r="K663" s="9"/>
    </row>
    <row r="664">
      <c r="K664" s="9"/>
    </row>
    <row r="665">
      <c r="K665" s="9"/>
    </row>
    <row r="666">
      <c r="K666" s="9"/>
    </row>
    <row r="667">
      <c r="K667" s="9"/>
    </row>
    <row r="668">
      <c r="K668" s="9"/>
    </row>
    <row r="669">
      <c r="K669" s="9"/>
    </row>
    <row r="670">
      <c r="K670" s="9"/>
    </row>
    <row r="671">
      <c r="K671" s="9"/>
    </row>
    <row r="672">
      <c r="K672" s="9"/>
    </row>
    <row r="673">
      <c r="K673" s="9"/>
    </row>
    <row r="674">
      <c r="K674" s="9"/>
    </row>
    <row r="675">
      <c r="K675" s="9"/>
    </row>
    <row r="676">
      <c r="K676" s="9"/>
    </row>
    <row r="677">
      <c r="K677" s="9"/>
    </row>
    <row r="678">
      <c r="K678" s="9"/>
    </row>
    <row r="679">
      <c r="K679" s="9"/>
    </row>
    <row r="680">
      <c r="K680" s="9"/>
    </row>
    <row r="681">
      <c r="K681" s="9"/>
    </row>
    <row r="682">
      <c r="K682" s="9"/>
    </row>
    <row r="683">
      <c r="K683" s="9"/>
    </row>
    <row r="684">
      <c r="K684" s="9"/>
    </row>
    <row r="685">
      <c r="K685" s="9"/>
    </row>
    <row r="686">
      <c r="K686" s="9"/>
    </row>
    <row r="687">
      <c r="K687" s="9"/>
    </row>
    <row r="688">
      <c r="K688" s="9"/>
    </row>
    <row r="689">
      <c r="K689" s="9"/>
    </row>
    <row r="690">
      <c r="K690" s="9"/>
    </row>
    <row r="691">
      <c r="K691" s="9"/>
    </row>
    <row r="692">
      <c r="K692" s="9"/>
    </row>
    <row r="693">
      <c r="K693" s="9"/>
    </row>
    <row r="694">
      <c r="K694" s="9"/>
    </row>
    <row r="695">
      <c r="K695" s="9"/>
    </row>
    <row r="696">
      <c r="K696" s="9"/>
    </row>
    <row r="697">
      <c r="K697" s="9"/>
    </row>
    <row r="698">
      <c r="K698" s="9"/>
    </row>
    <row r="699">
      <c r="K699" s="9"/>
    </row>
    <row r="700">
      <c r="K700" s="9"/>
    </row>
    <row r="701">
      <c r="K701" s="9"/>
    </row>
    <row r="702">
      <c r="K702" s="9"/>
    </row>
    <row r="703">
      <c r="K703" s="9"/>
    </row>
    <row r="704">
      <c r="K704" s="9"/>
    </row>
    <row r="705">
      <c r="K705" s="9"/>
    </row>
    <row r="706">
      <c r="K706" s="9"/>
    </row>
    <row r="707">
      <c r="K707" s="9"/>
    </row>
    <row r="708">
      <c r="K708" s="9"/>
    </row>
    <row r="709">
      <c r="K709" s="9"/>
    </row>
    <row r="710">
      <c r="K710" s="9"/>
    </row>
    <row r="711">
      <c r="K711" s="9"/>
    </row>
    <row r="712">
      <c r="K712" s="9"/>
    </row>
    <row r="713">
      <c r="K713" s="9"/>
    </row>
    <row r="714">
      <c r="K714" s="9"/>
    </row>
    <row r="715">
      <c r="K715" s="9"/>
    </row>
    <row r="716">
      <c r="K716" s="9"/>
    </row>
    <row r="717">
      <c r="K717" s="9"/>
    </row>
    <row r="718">
      <c r="K718" s="9"/>
    </row>
    <row r="719">
      <c r="K719" s="9"/>
    </row>
    <row r="720">
      <c r="K720" s="9"/>
    </row>
    <row r="721">
      <c r="K721" s="9"/>
    </row>
    <row r="722">
      <c r="K722" s="9"/>
    </row>
    <row r="723">
      <c r="K723" s="9"/>
    </row>
    <row r="724">
      <c r="K724" s="9"/>
    </row>
    <row r="725">
      <c r="K725" s="9"/>
    </row>
    <row r="726">
      <c r="K726" s="9"/>
    </row>
    <row r="727">
      <c r="K727" s="9"/>
    </row>
    <row r="728">
      <c r="K728" s="9"/>
    </row>
    <row r="729">
      <c r="K729" s="9"/>
    </row>
    <row r="730">
      <c r="K730" s="9"/>
    </row>
    <row r="731">
      <c r="K731" s="9"/>
    </row>
    <row r="732">
      <c r="K732" s="9"/>
    </row>
    <row r="733">
      <c r="K733" s="9"/>
    </row>
    <row r="734">
      <c r="K734" s="9"/>
    </row>
    <row r="735">
      <c r="K735" s="9"/>
    </row>
    <row r="736">
      <c r="K736" s="9"/>
    </row>
    <row r="737">
      <c r="K737" s="9"/>
    </row>
    <row r="738">
      <c r="K738" s="9"/>
    </row>
    <row r="739">
      <c r="K739" s="9"/>
    </row>
    <row r="740">
      <c r="K740" s="9"/>
    </row>
    <row r="741">
      <c r="K741" s="9"/>
    </row>
    <row r="742">
      <c r="K742" s="9"/>
    </row>
    <row r="743">
      <c r="K743" s="9"/>
    </row>
    <row r="744">
      <c r="K744" s="9"/>
    </row>
    <row r="745">
      <c r="K745" s="9"/>
    </row>
    <row r="746">
      <c r="K746" s="9"/>
    </row>
    <row r="747">
      <c r="K747" s="9"/>
    </row>
    <row r="748">
      <c r="K748" s="9"/>
    </row>
    <row r="749">
      <c r="K749" s="9"/>
    </row>
    <row r="750">
      <c r="K750" s="9"/>
    </row>
    <row r="751">
      <c r="K751" s="9"/>
    </row>
    <row r="752">
      <c r="K752" s="9"/>
    </row>
    <row r="753">
      <c r="K753" s="9"/>
    </row>
    <row r="754">
      <c r="K754" s="9"/>
    </row>
    <row r="755">
      <c r="K755" s="9"/>
    </row>
    <row r="756">
      <c r="K756" s="9"/>
    </row>
    <row r="757">
      <c r="K757" s="9"/>
    </row>
    <row r="758">
      <c r="K758" s="9"/>
    </row>
    <row r="759">
      <c r="K759" s="9"/>
    </row>
    <row r="760">
      <c r="K760" s="9"/>
    </row>
    <row r="761">
      <c r="K761" s="9"/>
    </row>
    <row r="762">
      <c r="K762" s="9"/>
    </row>
    <row r="763">
      <c r="K763" s="9"/>
    </row>
    <row r="764">
      <c r="K764" s="9"/>
    </row>
    <row r="765">
      <c r="K765" s="9"/>
    </row>
    <row r="766">
      <c r="K766" s="9"/>
    </row>
    <row r="767">
      <c r="K767" s="9"/>
    </row>
    <row r="768">
      <c r="K768" s="9"/>
    </row>
    <row r="769">
      <c r="K769" s="9"/>
    </row>
    <row r="770">
      <c r="K770" s="9"/>
    </row>
    <row r="771">
      <c r="K771" s="9"/>
    </row>
    <row r="772">
      <c r="K772" s="9"/>
    </row>
    <row r="773">
      <c r="K773" s="9"/>
    </row>
    <row r="774">
      <c r="K774" s="9"/>
    </row>
    <row r="775">
      <c r="K775" s="9"/>
    </row>
    <row r="776">
      <c r="K776" s="9"/>
    </row>
    <row r="777">
      <c r="K777" s="9"/>
    </row>
    <row r="778">
      <c r="K778" s="9"/>
    </row>
    <row r="779">
      <c r="K779" s="9"/>
    </row>
    <row r="780">
      <c r="K780" s="9"/>
    </row>
    <row r="781">
      <c r="K781" s="9"/>
    </row>
    <row r="782">
      <c r="K782" s="9"/>
    </row>
    <row r="783">
      <c r="K783" s="9"/>
    </row>
    <row r="784">
      <c r="K784" s="9"/>
    </row>
    <row r="785">
      <c r="K785" s="9"/>
    </row>
    <row r="786">
      <c r="K786" s="9"/>
    </row>
    <row r="787">
      <c r="K787" s="9"/>
    </row>
    <row r="788">
      <c r="K788" s="9"/>
    </row>
    <row r="789">
      <c r="K789" s="9"/>
    </row>
    <row r="790">
      <c r="K790" s="9"/>
    </row>
    <row r="791">
      <c r="K791" s="9"/>
    </row>
    <row r="792">
      <c r="K792" s="9"/>
    </row>
    <row r="793">
      <c r="K793" s="9"/>
    </row>
    <row r="794">
      <c r="K794" s="9"/>
    </row>
    <row r="795">
      <c r="K795" s="9"/>
    </row>
    <row r="796">
      <c r="K796" s="9"/>
    </row>
    <row r="797">
      <c r="K797" s="9"/>
    </row>
    <row r="798">
      <c r="K798" s="9"/>
    </row>
    <row r="799">
      <c r="K799" s="9"/>
    </row>
    <row r="800">
      <c r="K800" s="9"/>
    </row>
    <row r="801">
      <c r="K801" s="9"/>
    </row>
    <row r="802">
      <c r="K802" s="9"/>
    </row>
    <row r="803">
      <c r="K803" s="9"/>
    </row>
    <row r="804">
      <c r="K804" s="9"/>
    </row>
    <row r="805">
      <c r="K805" s="9"/>
    </row>
    <row r="806">
      <c r="K806" s="9"/>
    </row>
    <row r="807">
      <c r="K807" s="9"/>
    </row>
    <row r="808">
      <c r="K808" s="9"/>
    </row>
    <row r="809">
      <c r="K809" s="9"/>
    </row>
    <row r="810">
      <c r="K810" s="9"/>
    </row>
    <row r="811">
      <c r="K811" s="9"/>
    </row>
    <row r="812">
      <c r="K812" s="9"/>
    </row>
    <row r="813">
      <c r="K813" s="9"/>
    </row>
    <row r="814">
      <c r="K814" s="9"/>
    </row>
    <row r="815">
      <c r="K815" s="9"/>
    </row>
    <row r="816">
      <c r="K816" s="9"/>
    </row>
    <row r="817">
      <c r="K817" s="9"/>
    </row>
    <row r="818">
      <c r="K818" s="9"/>
    </row>
    <row r="819">
      <c r="K819" s="9"/>
    </row>
    <row r="820">
      <c r="K820" s="9"/>
    </row>
    <row r="821">
      <c r="K821" s="9"/>
    </row>
    <row r="822">
      <c r="K822" s="9"/>
    </row>
    <row r="823">
      <c r="K823" s="9"/>
    </row>
    <row r="824">
      <c r="K824" s="9"/>
    </row>
    <row r="825">
      <c r="K825" s="9"/>
    </row>
    <row r="826">
      <c r="K826" s="9"/>
    </row>
    <row r="827">
      <c r="K827" s="9"/>
    </row>
    <row r="828">
      <c r="K828" s="9"/>
    </row>
    <row r="829">
      <c r="K829" s="9"/>
    </row>
    <row r="830">
      <c r="K830" s="9"/>
    </row>
    <row r="831">
      <c r="K831" s="9"/>
    </row>
    <row r="832">
      <c r="K832" s="9"/>
    </row>
    <row r="833">
      <c r="K833" s="9"/>
    </row>
    <row r="834">
      <c r="K834" s="9"/>
    </row>
    <row r="835">
      <c r="K835" s="9"/>
    </row>
    <row r="836">
      <c r="K836" s="9"/>
    </row>
    <row r="837">
      <c r="K837" s="9"/>
    </row>
    <row r="838">
      <c r="K838" s="9"/>
    </row>
    <row r="839">
      <c r="K839" s="9"/>
    </row>
    <row r="840">
      <c r="K840" s="9"/>
    </row>
    <row r="841">
      <c r="K841" s="9"/>
    </row>
    <row r="842">
      <c r="K842" s="9"/>
    </row>
    <row r="843">
      <c r="K843" s="9"/>
    </row>
    <row r="844">
      <c r="K844" s="9"/>
    </row>
    <row r="845">
      <c r="K845" s="9"/>
    </row>
    <row r="846">
      <c r="K846" s="9"/>
    </row>
    <row r="847">
      <c r="K847" s="9"/>
    </row>
    <row r="848">
      <c r="K848" s="9"/>
    </row>
    <row r="849">
      <c r="K849" s="9"/>
    </row>
    <row r="850">
      <c r="K850" s="9"/>
    </row>
    <row r="851">
      <c r="K851" s="9"/>
    </row>
    <row r="852">
      <c r="K852" s="9"/>
    </row>
    <row r="853">
      <c r="K853" s="9"/>
    </row>
    <row r="854">
      <c r="K854" s="9"/>
    </row>
    <row r="855">
      <c r="K855" s="9"/>
    </row>
    <row r="856">
      <c r="K856" s="9"/>
    </row>
    <row r="857">
      <c r="K857" s="9"/>
    </row>
    <row r="858">
      <c r="K858" s="9"/>
    </row>
    <row r="859">
      <c r="K859" s="9"/>
    </row>
    <row r="860">
      <c r="K860" s="9"/>
    </row>
    <row r="861">
      <c r="K861" s="9"/>
    </row>
    <row r="862">
      <c r="K862" s="9"/>
    </row>
    <row r="863">
      <c r="K863" s="9"/>
    </row>
    <row r="864">
      <c r="K864" s="9"/>
    </row>
    <row r="865">
      <c r="K865" s="9"/>
    </row>
    <row r="866">
      <c r="K866" s="9"/>
    </row>
    <row r="867">
      <c r="K867" s="9"/>
    </row>
    <row r="868">
      <c r="K868" s="9"/>
    </row>
    <row r="869">
      <c r="K869" s="9"/>
    </row>
    <row r="870">
      <c r="K870" s="9"/>
    </row>
    <row r="871">
      <c r="K871" s="9"/>
    </row>
    <row r="872">
      <c r="K872" s="9"/>
    </row>
    <row r="873">
      <c r="K873" s="9"/>
    </row>
    <row r="874">
      <c r="K874" s="9"/>
    </row>
    <row r="875">
      <c r="K875" s="9"/>
    </row>
    <row r="876">
      <c r="K876" s="9"/>
    </row>
    <row r="877">
      <c r="K877" s="9"/>
    </row>
    <row r="878">
      <c r="K878" s="9"/>
    </row>
    <row r="879">
      <c r="K879" s="9"/>
    </row>
    <row r="880">
      <c r="K880" s="9"/>
    </row>
    <row r="881">
      <c r="K881" s="9"/>
    </row>
    <row r="882">
      <c r="K882" s="9"/>
    </row>
    <row r="883">
      <c r="K883" s="9"/>
    </row>
    <row r="884">
      <c r="K884" s="9"/>
    </row>
    <row r="885">
      <c r="K885" s="9"/>
    </row>
    <row r="886">
      <c r="K886" s="9"/>
    </row>
    <row r="887">
      <c r="K887" s="9"/>
    </row>
    <row r="888">
      <c r="K888" s="9"/>
    </row>
    <row r="889">
      <c r="K889" s="9"/>
    </row>
    <row r="890">
      <c r="K890" s="9"/>
    </row>
    <row r="891">
      <c r="K891" s="9"/>
    </row>
    <row r="892">
      <c r="K892" s="9"/>
    </row>
    <row r="893">
      <c r="K893" s="9"/>
    </row>
    <row r="894">
      <c r="K894" s="9"/>
    </row>
    <row r="895">
      <c r="K895" s="9"/>
    </row>
    <row r="896">
      <c r="K896" s="9"/>
    </row>
    <row r="897">
      <c r="K897" s="9"/>
    </row>
    <row r="898">
      <c r="K898" s="9"/>
    </row>
    <row r="899">
      <c r="K899" s="9"/>
    </row>
    <row r="900">
      <c r="K900" s="9"/>
    </row>
    <row r="901">
      <c r="K901" s="9"/>
    </row>
    <row r="902">
      <c r="K902" s="9"/>
    </row>
    <row r="903">
      <c r="K903" s="9"/>
    </row>
    <row r="904">
      <c r="K904" s="9"/>
    </row>
    <row r="905">
      <c r="K905" s="9"/>
    </row>
    <row r="906">
      <c r="K906" s="9"/>
    </row>
    <row r="907">
      <c r="K907" s="9"/>
    </row>
    <row r="908">
      <c r="K908" s="9"/>
    </row>
    <row r="909">
      <c r="K909" s="9"/>
    </row>
    <row r="910">
      <c r="K910" s="9"/>
    </row>
    <row r="911">
      <c r="K911" s="9"/>
    </row>
    <row r="912">
      <c r="K912" s="9"/>
    </row>
    <row r="913">
      <c r="K913" s="9"/>
    </row>
    <row r="914">
      <c r="K914" s="9"/>
    </row>
    <row r="915">
      <c r="K915" s="9"/>
    </row>
    <row r="916">
      <c r="K916" s="9"/>
    </row>
    <row r="917">
      <c r="K917" s="9"/>
    </row>
    <row r="918">
      <c r="K918" s="9"/>
    </row>
    <row r="919">
      <c r="K919" s="9"/>
    </row>
    <row r="920">
      <c r="K920" s="9"/>
    </row>
    <row r="921">
      <c r="K921" s="9"/>
    </row>
    <row r="922">
      <c r="K922" s="9"/>
    </row>
    <row r="923">
      <c r="K923" s="9"/>
    </row>
    <row r="924">
      <c r="K924" s="9"/>
    </row>
    <row r="925">
      <c r="K925" s="9"/>
    </row>
    <row r="926">
      <c r="K926" s="9"/>
    </row>
    <row r="927">
      <c r="K927" s="9"/>
    </row>
    <row r="928">
      <c r="K928" s="9"/>
    </row>
    <row r="929">
      <c r="K929" s="9"/>
    </row>
    <row r="930">
      <c r="K930" s="9"/>
    </row>
    <row r="931">
      <c r="K931" s="9"/>
    </row>
    <row r="932">
      <c r="K932" s="9"/>
    </row>
    <row r="933">
      <c r="K933" s="9"/>
    </row>
    <row r="934">
      <c r="K934" s="9"/>
    </row>
    <row r="935">
      <c r="K935" s="9"/>
    </row>
    <row r="936">
      <c r="K936" s="9"/>
    </row>
    <row r="937">
      <c r="K937" s="9"/>
    </row>
    <row r="938">
      <c r="K938" s="9"/>
    </row>
    <row r="939">
      <c r="K939" s="9"/>
    </row>
    <row r="940">
      <c r="K940" s="9"/>
    </row>
    <row r="941">
      <c r="K941" s="9"/>
    </row>
    <row r="942">
      <c r="K942" s="9"/>
    </row>
    <row r="943">
      <c r="K943" s="9"/>
    </row>
    <row r="944">
      <c r="K944" s="9"/>
    </row>
    <row r="945">
      <c r="K945" s="9"/>
    </row>
    <row r="946">
      <c r="K946" s="9"/>
    </row>
    <row r="947">
      <c r="K947" s="9"/>
    </row>
    <row r="948">
      <c r="K948" s="9"/>
    </row>
    <row r="949">
      <c r="K949" s="9"/>
    </row>
    <row r="950">
      <c r="K950" s="9"/>
    </row>
    <row r="951">
      <c r="K951" s="9"/>
    </row>
    <row r="952">
      <c r="K952" s="9"/>
    </row>
    <row r="953">
      <c r="K953" s="9"/>
    </row>
    <row r="954">
      <c r="K954" s="9"/>
    </row>
    <row r="955">
      <c r="K955" s="9"/>
    </row>
    <row r="956">
      <c r="K956" s="9"/>
    </row>
    <row r="957">
      <c r="K957" s="9"/>
    </row>
    <row r="958">
      <c r="K958" s="9"/>
    </row>
    <row r="959">
      <c r="K959" s="9"/>
    </row>
    <row r="960">
      <c r="K960" s="9"/>
    </row>
    <row r="961">
      <c r="K961" s="9"/>
    </row>
    <row r="962">
      <c r="K962" s="9"/>
    </row>
    <row r="963">
      <c r="K963" s="9"/>
    </row>
    <row r="964">
      <c r="K964" s="9"/>
    </row>
    <row r="965">
      <c r="K965" s="9"/>
    </row>
    <row r="966">
      <c r="K966" s="9"/>
    </row>
    <row r="967">
      <c r="K967" s="9"/>
    </row>
    <row r="968">
      <c r="K968" s="9"/>
    </row>
    <row r="969">
      <c r="K969" s="9"/>
    </row>
    <row r="970">
      <c r="K970" s="9"/>
    </row>
    <row r="971">
      <c r="K971" s="9"/>
    </row>
    <row r="972">
      <c r="K972" s="9"/>
    </row>
    <row r="973">
      <c r="K973" s="9"/>
    </row>
    <row r="974">
      <c r="K974" s="9"/>
    </row>
    <row r="975">
      <c r="K975" s="9"/>
    </row>
    <row r="976">
      <c r="K976" s="9"/>
    </row>
    <row r="977">
      <c r="K977" s="9"/>
    </row>
    <row r="978">
      <c r="K978" s="9"/>
    </row>
    <row r="979">
      <c r="K979" s="9"/>
    </row>
    <row r="980">
      <c r="K980" s="9"/>
    </row>
    <row r="981">
      <c r="K981" s="9"/>
    </row>
    <row r="982">
      <c r="K982" s="9"/>
    </row>
    <row r="983">
      <c r="K983" s="9"/>
    </row>
    <row r="984">
      <c r="K984" s="9"/>
    </row>
    <row r="985">
      <c r="K985" s="9"/>
    </row>
    <row r="986">
      <c r="K986" s="9"/>
    </row>
    <row r="987">
      <c r="K987" s="9"/>
    </row>
    <row r="988">
      <c r="K988" s="9"/>
    </row>
    <row r="989">
      <c r="K989" s="9"/>
    </row>
    <row r="990">
      <c r="K990" s="9"/>
    </row>
    <row r="991">
      <c r="K991" s="9"/>
    </row>
    <row r="992">
      <c r="K992" s="9"/>
    </row>
    <row r="993">
      <c r="K993" s="9"/>
    </row>
    <row r="994">
      <c r="K994" s="9"/>
    </row>
    <row r="995">
      <c r="K995" s="9"/>
    </row>
    <row r="996">
      <c r="K996" s="9"/>
    </row>
    <row r="997">
      <c r="K997" s="9"/>
    </row>
    <row r="998">
      <c r="K998" s="9"/>
    </row>
    <row r="999">
      <c r="K999" s="9"/>
    </row>
    <row r="1000">
      <c r="K1000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25"/>
    <col customWidth="1" min="3" max="3" width="37.63"/>
    <col customWidth="1" min="4" max="4" width="24.0"/>
    <col customWidth="1" min="5" max="5" width="30.38"/>
    <col customWidth="1" min="6" max="11" width="18.88"/>
  </cols>
  <sheetData>
    <row r="1" ht="22.5" customHeight="1">
      <c r="A1" s="21" t="s">
        <v>0</v>
      </c>
      <c r="B1" s="21" t="s">
        <v>392</v>
      </c>
      <c r="C1" s="21" t="s">
        <v>393</v>
      </c>
      <c r="D1" s="21" t="s">
        <v>394</v>
      </c>
      <c r="E1" s="21" t="s">
        <v>395</v>
      </c>
    </row>
    <row r="2" ht="22.5" customHeight="1">
      <c r="A2" s="6">
        <v>45934.401235578705</v>
      </c>
      <c r="B2" s="7" t="s">
        <v>396</v>
      </c>
      <c r="C2" s="7" t="s">
        <v>397</v>
      </c>
      <c r="D2" s="22">
        <v>27658.0</v>
      </c>
      <c r="E2" s="7" t="s">
        <v>398</v>
      </c>
    </row>
    <row r="3" ht="22.5" customHeight="1">
      <c r="A3" s="6">
        <v>45934.40111583333</v>
      </c>
      <c r="B3" s="7" t="s">
        <v>399</v>
      </c>
      <c r="C3" s="7" t="s">
        <v>400</v>
      </c>
      <c r="D3" s="22">
        <v>29294.0</v>
      </c>
      <c r="E3" s="7" t="s">
        <v>401</v>
      </c>
    </row>
    <row r="4" ht="22.5" customHeight="1">
      <c r="A4" s="6">
        <v>45932.61742744213</v>
      </c>
      <c r="B4" s="7" t="s">
        <v>402</v>
      </c>
      <c r="C4" s="7" t="s">
        <v>400</v>
      </c>
      <c r="D4" s="22">
        <v>35781.0</v>
      </c>
      <c r="E4" s="7" t="s">
        <v>403</v>
      </c>
    </row>
    <row r="5" ht="22.5" customHeight="1">
      <c r="A5" s="23">
        <v>45932.50047600694</v>
      </c>
      <c r="B5" s="24" t="s">
        <v>404</v>
      </c>
      <c r="C5" s="24" t="s">
        <v>405</v>
      </c>
      <c r="D5" s="25">
        <v>36583.0</v>
      </c>
      <c r="E5" s="24" t="s">
        <v>406</v>
      </c>
    </row>
    <row r="6" ht="22.5" customHeight="1">
      <c r="A6" s="6">
        <v>45950.70169103009</v>
      </c>
      <c r="B6" s="7" t="s">
        <v>113</v>
      </c>
      <c r="C6" s="7" t="s">
        <v>400</v>
      </c>
      <c r="D6" s="22">
        <v>37833.0</v>
      </c>
      <c r="E6" s="7" t="s">
        <v>407</v>
      </c>
    </row>
    <row r="7" ht="22.5" customHeight="1">
      <c r="A7" s="6">
        <v>45952.246892511575</v>
      </c>
      <c r="B7" s="7" t="s">
        <v>408</v>
      </c>
      <c r="C7" s="7" t="s">
        <v>409</v>
      </c>
      <c r="D7" s="22">
        <v>45956.0</v>
      </c>
      <c r="E7" s="7" t="s">
        <v>410</v>
      </c>
    </row>
    <row r="8" ht="22.5" customHeight="1">
      <c r="A8" s="6">
        <v>45952.248272384255</v>
      </c>
      <c r="B8" s="7" t="s">
        <v>411</v>
      </c>
      <c r="C8" s="7" t="s">
        <v>409</v>
      </c>
      <c r="D8" s="22">
        <v>45956.0</v>
      </c>
      <c r="E8" s="7" t="s">
        <v>412</v>
      </c>
    </row>
    <row r="9" ht="22.5" customHeight="1">
      <c r="A9" s="6">
        <v>45932.51523359954</v>
      </c>
      <c r="B9" s="7" t="s">
        <v>413</v>
      </c>
      <c r="C9" s="7" t="s">
        <v>400</v>
      </c>
      <c r="D9" s="22">
        <v>45958.0</v>
      </c>
    </row>
    <row r="10" ht="22.5" customHeight="1">
      <c r="A10" s="6">
        <v>45934.39560421296</v>
      </c>
      <c r="B10" s="7" t="s">
        <v>414</v>
      </c>
      <c r="C10" s="7" t="s">
        <v>415</v>
      </c>
      <c r="D10" s="22">
        <v>45976.0</v>
      </c>
      <c r="E10" s="7" t="s">
        <v>416</v>
      </c>
    </row>
    <row r="11" ht="22.5" customHeight="1">
      <c r="A11" s="6">
        <v>45969.522208888884</v>
      </c>
      <c r="B11" s="7" t="s">
        <v>113</v>
      </c>
      <c r="C11" s="7" t="s">
        <v>417</v>
      </c>
      <c r="D11" s="22">
        <v>37833.0</v>
      </c>
      <c r="E11" s="7" t="s">
        <v>418</v>
      </c>
    </row>
    <row r="12" ht="22.5" customHeight="1">
      <c r="A12" s="6">
        <v>45974.64528453704</v>
      </c>
      <c r="B12" s="7" t="s">
        <v>419</v>
      </c>
      <c r="C12" s="7" t="s">
        <v>400</v>
      </c>
      <c r="D12" s="22">
        <v>38944.0</v>
      </c>
    </row>
    <row r="13" ht="22.5" customHeight="1">
      <c r="A13" s="6">
        <v>45974.66312611111</v>
      </c>
      <c r="B13" s="7" t="s">
        <v>420</v>
      </c>
      <c r="C13" s="7" t="s">
        <v>400</v>
      </c>
      <c r="D13" s="22">
        <v>37735.0</v>
      </c>
    </row>
    <row r="14" ht="22.5" customHeight="1">
      <c r="A14" s="6">
        <v>45975.47694302083</v>
      </c>
      <c r="B14" s="7" t="s">
        <v>421</v>
      </c>
      <c r="C14" s="7" t="s">
        <v>400</v>
      </c>
      <c r="D14" s="22">
        <v>38458.0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63"/>
  </cols>
  <sheetData>
    <row r="1">
      <c r="A1" s="4" t="s">
        <v>422</v>
      </c>
      <c r="C1" s="26">
        <f>SUM(B:B)</f>
        <v>7940</v>
      </c>
      <c r="F1" s="27" t="s">
        <v>423</v>
      </c>
      <c r="G1" s="28"/>
      <c r="H1" s="29"/>
      <c r="I1" s="29"/>
      <c r="J1" s="29"/>
    </row>
    <row r="2">
      <c r="F2" s="30"/>
      <c r="G2" s="20"/>
    </row>
    <row r="3">
      <c r="A3" s="4" t="s">
        <v>424</v>
      </c>
      <c r="B3" s="4" t="s">
        <v>425</v>
      </c>
      <c r="C3" s="4" t="s">
        <v>426</v>
      </c>
      <c r="D3" s="4" t="s">
        <v>427</v>
      </c>
      <c r="F3" s="11" t="s">
        <v>424</v>
      </c>
      <c r="G3" s="31" t="s">
        <v>425</v>
      </c>
      <c r="J3" s="29"/>
    </row>
    <row r="4">
      <c r="A4" s="4" t="s">
        <v>428</v>
      </c>
      <c r="B4" s="4">
        <v>110.0</v>
      </c>
      <c r="C4" s="32">
        <v>45924.0</v>
      </c>
      <c r="D4" s="4" t="b">
        <v>1</v>
      </c>
      <c r="G4" s="20"/>
      <c r="H4" s="33"/>
      <c r="I4" s="29"/>
      <c r="J4" s="34"/>
    </row>
    <row r="5">
      <c r="A5" s="4" t="s">
        <v>429</v>
      </c>
      <c r="B5" s="4">
        <v>180.0</v>
      </c>
      <c r="C5" s="32">
        <v>45925.0</v>
      </c>
      <c r="D5" s="4" t="b">
        <v>1</v>
      </c>
      <c r="F5" s="27" t="s">
        <v>430</v>
      </c>
      <c r="G5" s="35">
        <v>415.0</v>
      </c>
      <c r="H5" s="33"/>
      <c r="I5" s="29"/>
      <c r="J5" s="34"/>
    </row>
    <row r="6">
      <c r="A6" s="4" t="s">
        <v>431</v>
      </c>
      <c r="B6" s="4">
        <v>350.0</v>
      </c>
      <c r="C6" s="32">
        <v>45929.0</v>
      </c>
      <c r="D6" s="4" t="b">
        <v>1</v>
      </c>
      <c r="F6" s="27" t="s">
        <v>432</v>
      </c>
      <c r="G6" s="35">
        <v>121.0</v>
      </c>
      <c r="H6" s="33"/>
      <c r="I6" s="29"/>
      <c r="J6" s="34"/>
    </row>
    <row r="7">
      <c r="A7" s="4" t="s">
        <v>433</v>
      </c>
      <c r="B7" s="4">
        <v>400.0</v>
      </c>
      <c r="C7" s="32">
        <v>45930.0</v>
      </c>
      <c r="D7" s="4" t="b">
        <v>1</v>
      </c>
      <c r="F7" s="27" t="s">
        <v>434</v>
      </c>
      <c r="G7" s="35">
        <v>50.0</v>
      </c>
      <c r="H7" s="29"/>
      <c r="I7" s="29"/>
      <c r="J7" s="34"/>
    </row>
    <row r="8">
      <c r="A8" s="4" t="s">
        <v>428</v>
      </c>
      <c r="B8" s="4">
        <v>80.0</v>
      </c>
      <c r="C8" s="32">
        <v>45937.0</v>
      </c>
      <c r="D8" s="4" t="b">
        <v>1</v>
      </c>
      <c r="F8" s="27" t="s">
        <v>435</v>
      </c>
      <c r="G8" s="35" t="s">
        <v>436</v>
      </c>
      <c r="H8" s="36" t="s">
        <v>437</v>
      </c>
      <c r="I8" s="29"/>
      <c r="J8" s="34"/>
    </row>
    <row r="9">
      <c r="A9" s="4" t="s">
        <v>438</v>
      </c>
      <c r="B9" s="4">
        <v>500.0</v>
      </c>
      <c r="C9" s="37">
        <v>45945.0</v>
      </c>
      <c r="D9" s="4" t="b">
        <v>1</v>
      </c>
      <c r="F9" s="27" t="s">
        <v>439</v>
      </c>
      <c r="G9" s="35">
        <v>520.0</v>
      </c>
      <c r="H9" s="36"/>
      <c r="I9" s="36"/>
      <c r="J9" s="34"/>
    </row>
    <row r="10">
      <c r="A10" s="4" t="s">
        <v>440</v>
      </c>
      <c r="B10" s="4">
        <v>1400.0</v>
      </c>
      <c r="C10" s="4" t="s">
        <v>441</v>
      </c>
      <c r="D10" s="26" t="b">
        <v>0</v>
      </c>
      <c r="F10" s="27" t="s">
        <v>442</v>
      </c>
      <c r="G10" s="35">
        <v>490.0</v>
      </c>
      <c r="H10" s="29">
        <f>G9+G10</f>
        <v>1010</v>
      </c>
      <c r="I10" s="29">
        <f>H10/3</f>
        <v>336.6666667</v>
      </c>
      <c r="J10" s="34"/>
    </row>
    <row r="11">
      <c r="A11" s="4" t="s">
        <v>443</v>
      </c>
      <c r="B11" s="4">
        <v>700.0</v>
      </c>
      <c r="C11" s="37">
        <v>45950.0</v>
      </c>
      <c r="D11" s="4" t="b">
        <v>1</v>
      </c>
      <c r="F11" s="27" t="s">
        <v>444</v>
      </c>
      <c r="G11" s="35">
        <v>350.0</v>
      </c>
      <c r="H11" s="29"/>
      <c r="I11" s="29"/>
      <c r="J11" s="34"/>
    </row>
    <row r="12">
      <c r="A12" s="4" t="s">
        <v>445</v>
      </c>
      <c r="B12" s="4">
        <v>1200.0</v>
      </c>
      <c r="C12" s="4" t="s">
        <v>441</v>
      </c>
      <c r="D12" s="26" t="b">
        <v>0</v>
      </c>
      <c r="F12" s="27" t="s">
        <v>446</v>
      </c>
      <c r="G12" s="35">
        <v>400.0</v>
      </c>
      <c r="H12" s="29"/>
      <c r="I12" s="29"/>
      <c r="J12" s="34"/>
    </row>
    <row r="13">
      <c r="A13" s="4" t="s">
        <v>431</v>
      </c>
      <c r="B13" s="4">
        <v>350.0</v>
      </c>
      <c r="C13" s="37">
        <v>45960.0</v>
      </c>
      <c r="D13" s="4" t="b">
        <v>1</v>
      </c>
      <c r="F13" s="11" t="s">
        <v>447</v>
      </c>
      <c r="G13" s="38">
        <v>60.0</v>
      </c>
    </row>
    <row r="14">
      <c r="F14" s="30"/>
      <c r="G14" s="20"/>
    </row>
    <row r="15">
      <c r="F15" s="30"/>
      <c r="G15" s="20"/>
    </row>
    <row r="16">
      <c r="F16" s="30"/>
      <c r="G16" s="20"/>
    </row>
    <row r="17">
      <c r="F17" s="30"/>
      <c r="G17" s="38" t="s">
        <v>448</v>
      </c>
    </row>
    <row r="18">
      <c r="F18" s="30"/>
      <c r="G18" s="20"/>
    </row>
    <row r="19">
      <c r="A19" s="4" t="s">
        <v>449</v>
      </c>
      <c r="F19" s="30"/>
      <c r="G19" s="20"/>
    </row>
    <row r="20">
      <c r="F20" s="30"/>
      <c r="G20" s="20"/>
    </row>
    <row r="21">
      <c r="A21" s="4" t="s">
        <v>424</v>
      </c>
      <c r="B21" s="4" t="s">
        <v>425</v>
      </c>
      <c r="C21" s="4" t="s">
        <v>426</v>
      </c>
      <c r="D21" s="4" t="s">
        <v>427</v>
      </c>
      <c r="F21" s="30"/>
      <c r="G21" s="20"/>
    </row>
    <row r="22">
      <c r="A22" s="4" t="s">
        <v>450</v>
      </c>
      <c r="B22" s="4">
        <v>500.0</v>
      </c>
      <c r="C22" s="32">
        <v>45968.0</v>
      </c>
      <c r="D22" s="4" t="b">
        <v>1</v>
      </c>
      <c r="F22" s="30"/>
      <c r="G22" s="20"/>
    </row>
    <row r="23">
      <c r="A23" s="4" t="s">
        <v>451</v>
      </c>
      <c r="B23" s="4">
        <v>120.0</v>
      </c>
      <c r="C23" s="37">
        <v>45976.0</v>
      </c>
      <c r="D23" s="4" t="b">
        <v>1</v>
      </c>
      <c r="F23" s="30"/>
      <c r="G23" s="20"/>
    </row>
    <row r="24">
      <c r="A24" s="4" t="s">
        <v>438</v>
      </c>
      <c r="B24" s="4">
        <v>500.0</v>
      </c>
      <c r="C24" s="37">
        <v>45976.0</v>
      </c>
      <c r="D24" s="4" t="b">
        <v>1</v>
      </c>
      <c r="F24" s="30"/>
      <c r="G24" s="20"/>
    </row>
    <row r="25">
      <c r="A25" s="4" t="s">
        <v>443</v>
      </c>
      <c r="B25" s="4">
        <v>1200.0</v>
      </c>
      <c r="C25" s="37">
        <v>45981.0</v>
      </c>
      <c r="D25" s="4" t="b">
        <v>1</v>
      </c>
      <c r="F25" s="30"/>
      <c r="G25" s="20"/>
    </row>
    <row r="26">
      <c r="A26" s="4" t="s">
        <v>452</v>
      </c>
      <c r="B26" s="4">
        <v>350.0</v>
      </c>
      <c r="C26" s="37">
        <v>45991.0</v>
      </c>
      <c r="D26" s="26" t="b">
        <v>0</v>
      </c>
      <c r="F26" s="30"/>
      <c r="G26" s="20"/>
    </row>
    <row r="27">
      <c r="F27" s="30"/>
      <c r="G27" s="20"/>
    </row>
    <row r="28">
      <c r="F28" s="30"/>
      <c r="G28" s="20"/>
    </row>
    <row r="29">
      <c r="F29" s="30"/>
      <c r="G29" s="20"/>
    </row>
    <row r="30">
      <c r="F30" s="30"/>
      <c r="G30" s="20"/>
    </row>
    <row r="31">
      <c r="F31" s="30"/>
      <c r="G31" s="20"/>
    </row>
    <row r="32">
      <c r="F32" s="30"/>
      <c r="G32" s="20"/>
    </row>
    <row r="33">
      <c r="F33" s="30"/>
      <c r="G33" s="20"/>
    </row>
    <row r="34">
      <c r="F34" s="30"/>
      <c r="G34" s="20"/>
    </row>
    <row r="35">
      <c r="F35" s="30"/>
      <c r="G35" s="20"/>
    </row>
    <row r="36">
      <c r="F36" s="30"/>
      <c r="G36" s="20"/>
    </row>
    <row r="37">
      <c r="F37" s="30"/>
      <c r="G37" s="20"/>
    </row>
    <row r="38">
      <c r="F38" s="30"/>
      <c r="G38" s="20"/>
    </row>
    <row r="39">
      <c r="F39" s="30"/>
      <c r="G39" s="20"/>
    </row>
    <row r="40">
      <c r="F40" s="30"/>
      <c r="G40" s="20"/>
    </row>
    <row r="41">
      <c r="F41" s="30"/>
      <c r="G41" s="20"/>
    </row>
    <row r="42">
      <c r="F42" s="30"/>
      <c r="G42" s="20"/>
    </row>
    <row r="43">
      <c r="F43" s="30"/>
      <c r="G43" s="20"/>
    </row>
    <row r="44">
      <c r="F44" s="30"/>
      <c r="G44" s="20"/>
    </row>
    <row r="45">
      <c r="F45" s="30"/>
      <c r="G45" s="20"/>
    </row>
    <row r="46">
      <c r="F46" s="30"/>
      <c r="G46" s="20"/>
    </row>
    <row r="47">
      <c r="F47" s="30"/>
      <c r="G47" s="20"/>
    </row>
    <row r="48">
      <c r="F48" s="30"/>
      <c r="G48" s="20"/>
    </row>
    <row r="49">
      <c r="F49" s="30"/>
      <c r="G49" s="20"/>
    </row>
    <row r="50">
      <c r="F50" s="30"/>
      <c r="G50" s="20"/>
    </row>
    <row r="51">
      <c r="F51" s="30"/>
      <c r="G51" s="20"/>
    </row>
    <row r="52">
      <c r="F52" s="30"/>
      <c r="G52" s="20"/>
    </row>
    <row r="53">
      <c r="F53" s="30"/>
      <c r="G53" s="20"/>
    </row>
    <row r="54">
      <c r="F54" s="30"/>
      <c r="G54" s="20"/>
    </row>
    <row r="55">
      <c r="F55" s="30"/>
      <c r="G55" s="20"/>
    </row>
    <row r="56">
      <c r="F56" s="30"/>
      <c r="G56" s="20"/>
    </row>
    <row r="57">
      <c r="F57" s="30"/>
      <c r="G57" s="20"/>
    </row>
    <row r="58">
      <c r="F58" s="30"/>
      <c r="G58" s="20"/>
    </row>
    <row r="59">
      <c r="F59" s="30"/>
      <c r="G59" s="20"/>
    </row>
    <row r="60">
      <c r="F60" s="30"/>
      <c r="G60" s="20"/>
    </row>
    <row r="61">
      <c r="F61" s="30"/>
      <c r="G61" s="20"/>
    </row>
    <row r="62">
      <c r="F62" s="30"/>
      <c r="G62" s="20"/>
    </row>
    <row r="63">
      <c r="F63" s="30"/>
      <c r="G63" s="20"/>
    </row>
    <row r="64">
      <c r="F64" s="30"/>
      <c r="G64" s="20"/>
    </row>
    <row r="65">
      <c r="F65" s="30"/>
      <c r="G65" s="20"/>
    </row>
    <row r="66">
      <c r="F66" s="30"/>
      <c r="G66" s="20"/>
    </row>
    <row r="67">
      <c r="F67" s="30"/>
      <c r="G67" s="20"/>
    </row>
    <row r="68">
      <c r="F68" s="30"/>
      <c r="G68" s="20"/>
    </row>
    <row r="69">
      <c r="F69" s="30"/>
      <c r="G69" s="20"/>
    </row>
    <row r="70">
      <c r="F70" s="30"/>
      <c r="G70" s="20"/>
    </row>
    <row r="71">
      <c r="F71" s="30"/>
      <c r="G71" s="20"/>
    </row>
    <row r="72">
      <c r="F72" s="30"/>
      <c r="G72" s="20"/>
    </row>
    <row r="73">
      <c r="F73" s="30"/>
      <c r="G73" s="20"/>
    </row>
    <row r="74">
      <c r="F74" s="30"/>
      <c r="G74" s="20"/>
    </row>
    <row r="75">
      <c r="F75" s="30"/>
      <c r="G75" s="20"/>
    </row>
    <row r="76">
      <c r="F76" s="30"/>
      <c r="G76" s="20"/>
    </row>
    <row r="77">
      <c r="F77" s="30"/>
      <c r="G77" s="20"/>
    </row>
    <row r="78">
      <c r="F78" s="30"/>
      <c r="G78" s="20"/>
    </row>
    <row r="79">
      <c r="F79" s="30"/>
      <c r="G79" s="20"/>
    </row>
    <row r="80">
      <c r="F80" s="30"/>
      <c r="G80" s="20"/>
    </row>
    <row r="81">
      <c r="F81" s="30"/>
      <c r="G81" s="20"/>
    </row>
    <row r="82">
      <c r="F82" s="30"/>
      <c r="G82" s="20"/>
    </row>
    <row r="83">
      <c r="F83" s="30"/>
      <c r="G83" s="20"/>
    </row>
    <row r="84">
      <c r="F84" s="30"/>
      <c r="G84" s="20"/>
    </row>
    <row r="85">
      <c r="F85" s="30"/>
      <c r="G85" s="20"/>
    </row>
    <row r="86">
      <c r="F86" s="30"/>
      <c r="G86" s="20"/>
    </row>
    <row r="87">
      <c r="F87" s="30"/>
      <c r="G87" s="20"/>
    </row>
    <row r="88">
      <c r="F88" s="30"/>
      <c r="G88" s="20"/>
    </row>
    <row r="89">
      <c r="F89" s="30"/>
      <c r="G89" s="20"/>
    </row>
    <row r="90">
      <c r="F90" s="30"/>
      <c r="G90" s="20"/>
    </row>
    <row r="91">
      <c r="F91" s="30"/>
      <c r="G91" s="20"/>
    </row>
    <row r="92">
      <c r="F92" s="30"/>
      <c r="G92" s="20"/>
    </row>
    <row r="93">
      <c r="F93" s="30"/>
      <c r="G93" s="20"/>
    </row>
    <row r="94">
      <c r="F94" s="30"/>
      <c r="G94" s="20"/>
    </row>
    <row r="95">
      <c r="F95" s="30"/>
      <c r="G95" s="20"/>
    </row>
    <row r="96">
      <c r="F96" s="30"/>
      <c r="G96" s="20"/>
    </row>
    <row r="97">
      <c r="F97" s="30"/>
      <c r="G97" s="20"/>
    </row>
    <row r="98">
      <c r="F98" s="30"/>
      <c r="G98" s="20"/>
    </row>
    <row r="99">
      <c r="F99" s="30"/>
      <c r="G99" s="20"/>
    </row>
    <row r="100">
      <c r="F100" s="30"/>
      <c r="G100" s="20"/>
    </row>
    <row r="101">
      <c r="F101" s="30"/>
      <c r="G101" s="20"/>
    </row>
    <row r="102">
      <c r="F102" s="30"/>
      <c r="G102" s="20"/>
    </row>
    <row r="103">
      <c r="F103" s="30"/>
      <c r="G103" s="20"/>
    </row>
    <row r="104">
      <c r="F104" s="30"/>
      <c r="G104" s="20"/>
    </row>
    <row r="105">
      <c r="F105" s="30"/>
      <c r="G105" s="20"/>
    </row>
    <row r="106">
      <c r="F106" s="30"/>
      <c r="G106" s="20"/>
    </row>
    <row r="107">
      <c r="F107" s="30"/>
      <c r="G107" s="20"/>
    </row>
    <row r="108">
      <c r="F108" s="30"/>
      <c r="G108" s="20"/>
    </row>
    <row r="109">
      <c r="F109" s="30"/>
      <c r="G109" s="20"/>
    </row>
    <row r="110">
      <c r="F110" s="30"/>
      <c r="G110" s="20"/>
    </row>
    <row r="111">
      <c r="F111" s="30"/>
      <c r="G111" s="20"/>
    </row>
    <row r="112">
      <c r="F112" s="30"/>
      <c r="G112" s="20"/>
    </row>
    <row r="113">
      <c r="F113" s="30"/>
      <c r="G113" s="20"/>
    </row>
    <row r="114">
      <c r="F114" s="30"/>
      <c r="G114" s="20"/>
    </row>
    <row r="115">
      <c r="F115" s="30"/>
      <c r="G115" s="20"/>
    </row>
    <row r="116">
      <c r="F116" s="30"/>
      <c r="G116" s="20"/>
    </row>
    <row r="117">
      <c r="F117" s="30"/>
      <c r="G117" s="20"/>
    </row>
    <row r="118">
      <c r="F118" s="30"/>
      <c r="G118" s="20"/>
    </row>
    <row r="119">
      <c r="F119" s="30"/>
      <c r="G119" s="20"/>
    </row>
    <row r="120">
      <c r="F120" s="30"/>
      <c r="G120" s="20"/>
    </row>
    <row r="121">
      <c r="F121" s="30"/>
      <c r="G121" s="20"/>
    </row>
    <row r="122">
      <c r="F122" s="30"/>
      <c r="G122" s="20"/>
    </row>
    <row r="123">
      <c r="F123" s="30"/>
      <c r="G123" s="20"/>
    </row>
    <row r="124">
      <c r="F124" s="30"/>
      <c r="G124" s="20"/>
    </row>
    <row r="125">
      <c r="F125" s="30"/>
      <c r="G125" s="20"/>
    </row>
    <row r="126">
      <c r="F126" s="30"/>
      <c r="G126" s="20"/>
    </row>
    <row r="127">
      <c r="F127" s="30"/>
      <c r="G127" s="20"/>
    </row>
    <row r="128">
      <c r="F128" s="30"/>
      <c r="G128" s="20"/>
    </row>
    <row r="129">
      <c r="F129" s="30"/>
      <c r="G129" s="20"/>
    </row>
    <row r="130">
      <c r="F130" s="30"/>
      <c r="G130" s="20"/>
    </row>
    <row r="131">
      <c r="F131" s="30"/>
      <c r="G131" s="20"/>
    </row>
    <row r="132">
      <c r="F132" s="30"/>
      <c r="G132" s="20"/>
    </row>
    <row r="133">
      <c r="F133" s="30"/>
      <c r="G133" s="20"/>
    </row>
    <row r="134">
      <c r="F134" s="30"/>
      <c r="G134" s="20"/>
    </row>
    <row r="135">
      <c r="F135" s="30"/>
      <c r="G135" s="20"/>
    </row>
    <row r="136">
      <c r="F136" s="30"/>
      <c r="G136" s="20"/>
    </row>
    <row r="137">
      <c r="F137" s="30"/>
      <c r="G137" s="20"/>
    </row>
    <row r="138">
      <c r="F138" s="30"/>
      <c r="G138" s="20"/>
    </row>
    <row r="139">
      <c r="F139" s="30"/>
      <c r="G139" s="20"/>
    </row>
    <row r="140">
      <c r="F140" s="30"/>
      <c r="G140" s="20"/>
    </row>
    <row r="141">
      <c r="F141" s="30"/>
      <c r="G141" s="20"/>
    </row>
    <row r="142">
      <c r="F142" s="30"/>
      <c r="G142" s="20"/>
    </row>
    <row r="143">
      <c r="F143" s="30"/>
      <c r="G143" s="20"/>
    </row>
    <row r="144">
      <c r="F144" s="30"/>
      <c r="G144" s="20"/>
    </row>
    <row r="145">
      <c r="F145" s="30"/>
      <c r="G145" s="20"/>
    </row>
    <row r="146">
      <c r="F146" s="30"/>
      <c r="G146" s="20"/>
    </row>
    <row r="147">
      <c r="F147" s="30"/>
      <c r="G147" s="20"/>
    </row>
    <row r="148">
      <c r="F148" s="30"/>
      <c r="G148" s="20"/>
    </row>
    <row r="149">
      <c r="F149" s="30"/>
      <c r="G149" s="20"/>
    </row>
    <row r="150">
      <c r="F150" s="30"/>
      <c r="G150" s="20"/>
    </row>
    <row r="151">
      <c r="F151" s="30"/>
      <c r="G151" s="20"/>
    </row>
    <row r="152">
      <c r="F152" s="30"/>
      <c r="G152" s="20"/>
    </row>
    <row r="153">
      <c r="F153" s="30"/>
      <c r="G153" s="20"/>
    </row>
    <row r="154">
      <c r="F154" s="30"/>
      <c r="G154" s="20"/>
    </row>
    <row r="155">
      <c r="F155" s="30"/>
      <c r="G155" s="20"/>
    </row>
    <row r="156">
      <c r="F156" s="30"/>
      <c r="G156" s="20"/>
    </row>
    <row r="157">
      <c r="F157" s="30"/>
      <c r="G157" s="20"/>
    </row>
    <row r="158">
      <c r="F158" s="30"/>
      <c r="G158" s="20"/>
    </row>
    <row r="159">
      <c r="F159" s="30"/>
      <c r="G159" s="20"/>
    </row>
    <row r="160">
      <c r="F160" s="30"/>
      <c r="G160" s="20"/>
    </row>
    <row r="161">
      <c r="F161" s="30"/>
      <c r="G161" s="20"/>
    </row>
    <row r="162">
      <c r="F162" s="30"/>
      <c r="G162" s="20"/>
    </row>
    <row r="163">
      <c r="F163" s="30"/>
      <c r="G163" s="20"/>
    </row>
    <row r="164">
      <c r="F164" s="30"/>
      <c r="G164" s="20"/>
    </row>
    <row r="165">
      <c r="F165" s="30"/>
      <c r="G165" s="20"/>
    </row>
    <row r="166">
      <c r="F166" s="30"/>
      <c r="G166" s="20"/>
    </row>
    <row r="167">
      <c r="F167" s="30"/>
      <c r="G167" s="20"/>
    </row>
    <row r="168">
      <c r="F168" s="30"/>
      <c r="G168" s="20"/>
    </row>
    <row r="169">
      <c r="F169" s="30"/>
      <c r="G169" s="20"/>
    </row>
    <row r="170">
      <c r="F170" s="30"/>
      <c r="G170" s="20"/>
    </row>
    <row r="171">
      <c r="F171" s="30"/>
      <c r="G171" s="20"/>
    </row>
    <row r="172">
      <c r="F172" s="30"/>
      <c r="G172" s="20"/>
    </row>
    <row r="173">
      <c r="F173" s="30"/>
      <c r="G173" s="20"/>
    </row>
    <row r="174">
      <c r="F174" s="30"/>
      <c r="G174" s="20"/>
    </row>
    <row r="175">
      <c r="F175" s="30"/>
      <c r="G175" s="20"/>
    </row>
    <row r="176">
      <c r="F176" s="30"/>
      <c r="G176" s="20"/>
    </row>
    <row r="177">
      <c r="F177" s="30"/>
      <c r="G177" s="20"/>
    </row>
    <row r="178">
      <c r="F178" s="30"/>
      <c r="G178" s="20"/>
    </row>
    <row r="179">
      <c r="F179" s="30"/>
      <c r="G179" s="20"/>
    </row>
    <row r="180">
      <c r="F180" s="30"/>
      <c r="G180" s="20"/>
    </row>
    <row r="181">
      <c r="F181" s="30"/>
      <c r="G181" s="20"/>
    </row>
    <row r="182">
      <c r="F182" s="30"/>
      <c r="G182" s="20"/>
    </row>
    <row r="183">
      <c r="F183" s="30"/>
      <c r="G183" s="20"/>
    </row>
    <row r="184">
      <c r="F184" s="30"/>
      <c r="G184" s="20"/>
    </row>
    <row r="185">
      <c r="F185" s="30"/>
      <c r="G185" s="20"/>
    </row>
    <row r="186">
      <c r="F186" s="30"/>
      <c r="G186" s="20"/>
    </row>
    <row r="187">
      <c r="F187" s="30"/>
      <c r="G187" s="20"/>
    </row>
    <row r="188">
      <c r="F188" s="30"/>
      <c r="G188" s="20"/>
    </row>
    <row r="189">
      <c r="F189" s="30"/>
      <c r="G189" s="20"/>
    </row>
    <row r="190">
      <c r="F190" s="30"/>
      <c r="G190" s="20"/>
    </row>
    <row r="191">
      <c r="F191" s="30"/>
      <c r="G191" s="20"/>
    </row>
    <row r="192">
      <c r="F192" s="30"/>
      <c r="G192" s="20"/>
    </row>
    <row r="193">
      <c r="F193" s="30"/>
      <c r="G193" s="20"/>
    </row>
    <row r="194">
      <c r="F194" s="30"/>
      <c r="G194" s="20"/>
    </row>
    <row r="195">
      <c r="F195" s="30"/>
      <c r="G195" s="20"/>
    </row>
    <row r="196">
      <c r="F196" s="30"/>
      <c r="G196" s="20"/>
    </row>
    <row r="197">
      <c r="F197" s="30"/>
      <c r="G197" s="20"/>
    </row>
    <row r="198">
      <c r="F198" s="30"/>
      <c r="G198" s="20"/>
    </row>
    <row r="199">
      <c r="F199" s="30"/>
      <c r="G199" s="20"/>
    </row>
    <row r="200">
      <c r="F200" s="30"/>
      <c r="G200" s="20"/>
    </row>
    <row r="201">
      <c r="F201" s="30"/>
      <c r="G201" s="20"/>
    </row>
    <row r="202">
      <c r="F202" s="30"/>
      <c r="G202" s="20"/>
    </row>
    <row r="203">
      <c r="F203" s="30"/>
      <c r="G203" s="20"/>
    </row>
    <row r="204">
      <c r="F204" s="30"/>
      <c r="G204" s="20"/>
    </row>
    <row r="205">
      <c r="F205" s="30"/>
      <c r="G205" s="20"/>
    </row>
    <row r="206">
      <c r="F206" s="30"/>
      <c r="G206" s="20"/>
    </row>
    <row r="207">
      <c r="F207" s="30"/>
      <c r="G207" s="20"/>
    </row>
    <row r="208">
      <c r="F208" s="30"/>
      <c r="G208" s="20"/>
    </row>
    <row r="209">
      <c r="F209" s="30"/>
      <c r="G209" s="20"/>
    </row>
    <row r="210">
      <c r="F210" s="30"/>
      <c r="G210" s="20"/>
    </row>
    <row r="211">
      <c r="F211" s="30"/>
      <c r="G211" s="20"/>
    </row>
    <row r="212">
      <c r="F212" s="30"/>
      <c r="G212" s="20"/>
    </row>
    <row r="213">
      <c r="F213" s="30"/>
      <c r="G213" s="20"/>
    </row>
    <row r="214">
      <c r="F214" s="30"/>
      <c r="G214" s="20"/>
    </row>
    <row r="215">
      <c r="F215" s="30"/>
      <c r="G215" s="20"/>
    </row>
    <row r="216">
      <c r="F216" s="30"/>
      <c r="G216" s="20"/>
    </row>
    <row r="217">
      <c r="F217" s="30"/>
      <c r="G217" s="20"/>
    </row>
    <row r="218">
      <c r="F218" s="30"/>
      <c r="G218" s="20"/>
    </row>
    <row r="219">
      <c r="F219" s="30"/>
      <c r="G219" s="20"/>
    </row>
    <row r="220">
      <c r="F220" s="30"/>
      <c r="G220" s="20"/>
    </row>
    <row r="221">
      <c r="F221" s="30"/>
      <c r="G221" s="20"/>
    </row>
    <row r="222">
      <c r="F222" s="30"/>
      <c r="G222" s="20"/>
    </row>
    <row r="223">
      <c r="F223" s="30"/>
      <c r="G223" s="20"/>
    </row>
    <row r="224">
      <c r="F224" s="30"/>
      <c r="G224" s="20"/>
    </row>
    <row r="225">
      <c r="F225" s="30"/>
      <c r="G225" s="20"/>
    </row>
    <row r="226">
      <c r="F226" s="30"/>
      <c r="G226" s="20"/>
    </row>
    <row r="227">
      <c r="F227" s="30"/>
      <c r="G227" s="20"/>
    </row>
    <row r="228">
      <c r="F228" s="30"/>
      <c r="G228" s="20"/>
    </row>
    <row r="229">
      <c r="F229" s="30"/>
      <c r="G229" s="20"/>
    </row>
    <row r="230">
      <c r="F230" s="30"/>
      <c r="G230" s="20"/>
    </row>
    <row r="231">
      <c r="F231" s="30"/>
      <c r="G231" s="20"/>
    </row>
    <row r="232">
      <c r="F232" s="30"/>
      <c r="G232" s="20"/>
    </row>
    <row r="233">
      <c r="F233" s="30"/>
      <c r="G233" s="20"/>
    </row>
    <row r="234">
      <c r="F234" s="30"/>
      <c r="G234" s="20"/>
    </row>
    <row r="235">
      <c r="F235" s="30"/>
      <c r="G235" s="20"/>
    </row>
    <row r="236">
      <c r="F236" s="30"/>
      <c r="G236" s="20"/>
    </row>
    <row r="237">
      <c r="F237" s="30"/>
      <c r="G237" s="20"/>
    </row>
    <row r="238">
      <c r="F238" s="30"/>
      <c r="G238" s="20"/>
    </row>
    <row r="239">
      <c r="F239" s="30"/>
      <c r="G239" s="20"/>
    </row>
    <row r="240">
      <c r="F240" s="30"/>
      <c r="G240" s="20"/>
    </row>
    <row r="241">
      <c r="F241" s="30"/>
      <c r="G241" s="20"/>
    </row>
    <row r="242">
      <c r="F242" s="30"/>
      <c r="G242" s="20"/>
    </row>
    <row r="243">
      <c r="F243" s="30"/>
      <c r="G243" s="20"/>
    </row>
    <row r="244">
      <c r="F244" s="30"/>
      <c r="G244" s="20"/>
    </row>
    <row r="245">
      <c r="F245" s="30"/>
      <c r="G245" s="20"/>
    </row>
    <row r="246">
      <c r="F246" s="30"/>
      <c r="G246" s="20"/>
    </row>
    <row r="247">
      <c r="F247" s="30"/>
      <c r="G247" s="20"/>
    </row>
    <row r="248">
      <c r="F248" s="30"/>
      <c r="G248" s="20"/>
    </row>
    <row r="249">
      <c r="F249" s="30"/>
      <c r="G249" s="20"/>
    </row>
    <row r="250">
      <c r="F250" s="30"/>
      <c r="G250" s="20"/>
    </row>
    <row r="251">
      <c r="F251" s="30"/>
      <c r="G251" s="20"/>
    </row>
    <row r="252">
      <c r="F252" s="30"/>
      <c r="G252" s="20"/>
    </row>
    <row r="253">
      <c r="F253" s="30"/>
      <c r="G253" s="20"/>
    </row>
    <row r="254">
      <c r="F254" s="30"/>
      <c r="G254" s="20"/>
    </row>
    <row r="255">
      <c r="F255" s="30"/>
      <c r="G255" s="20"/>
    </row>
    <row r="256">
      <c r="F256" s="30"/>
      <c r="G256" s="20"/>
    </row>
    <row r="257">
      <c r="F257" s="30"/>
      <c r="G257" s="20"/>
    </row>
    <row r="258">
      <c r="F258" s="30"/>
      <c r="G258" s="20"/>
    </row>
    <row r="259">
      <c r="F259" s="30"/>
      <c r="G259" s="20"/>
    </row>
    <row r="260">
      <c r="F260" s="30"/>
      <c r="G260" s="20"/>
    </row>
    <row r="261">
      <c r="F261" s="30"/>
      <c r="G261" s="20"/>
    </row>
    <row r="262">
      <c r="F262" s="30"/>
      <c r="G262" s="20"/>
    </row>
    <row r="263">
      <c r="F263" s="30"/>
      <c r="G263" s="20"/>
    </row>
    <row r="264">
      <c r="F264" s="30"/>
      <c r="G264" s="20"/>
    </row>
    <row r="265">
      <c r="F265" s="30"/>
      <c r="G265" s="20"/>
    </row>
    <row r="266">
      <c r="F266" s="30"/>
      <c r="G266" s="20"/>
    </row>
    <row r="267">
      <c r="F267" s="30"/>
      <c r="G267" s="20"/>
    </row>
    <row r="268">
      <c r="F268" s="30"/>
      <c r="G268" s="20"/>
    </row>
    <row r="269">
      <c r="F269" s="30"/>
      <c r="G269" s="20"/>
    </row>
    <row r="270">
      <c r="F270" s="30"/>
      <c r="G270" s="20"/>
    </row>
    <row r="271">
      <c r="F271" s="30"/>
      <c r="G271" s="20"/>
    </row>
    <row r="272">
      <c r="F272" s="30"/>
      <c r="G272" s="20"/>
    </row>
    <row r="273">
      <c r="F273" s="30"/>
      <c r="G273" s="20"/>
    </row>
    <row r="274">
      <c r="F274" s="30"/>
      <c r="G274" s="20"/>
    </row>
    <row r="275">
      <c r="F275" s="30"/>
      <c r="G275" s="20"/>
    </row>
    <row r="276">
      <c r="F276" s="30"/>
      <c r="G276" s="20"/>
    </row>
    <row r="277">
      <c r="F277" s="30"/>
      <c r="G277" s="20"/>
    </row>
    <row r="278">
      <c r="F278" s="30"/>
      <c r="G278" s="20"/>
    </row>
    <row r="279">
      <c r="F279" s="30"/>
      <c r="G279" s="20"/>
    </row>
    <row r="280">
      <c r="F280" s="30"/>
      <c r="G280" s="20"/>
    </row>
    <row r="281">
      <c r="F281" s="30"/>
      <c r="G281" s="20"/>
    </row>
    <row r="282">
      <c r="F282" s="30"/>
      <c r="G282" s="20"/>
    </row>
    <row r="283">
      <c r="F283" s="30"/>
      <c r="G283" s="20"/>
    </row>
    <row r="284">
      <c r="F284" s="30"/>
      <c r="G284" s="20"/>
    </row>
    <row r="285">
      <c r="F285" s="30"/>
      <c r="G285" s="20"/>
    </row>
    <row r="286">
      <c r="F286" s="30"/>
      <c r="G286" s="20"/>
    </row>
    <row r="287">
      <c r="F287" s="30"/>
      <c r="G287" s="20"/>
    </row>
    <row r="288">
      <c r="F288" s="30"/>
      <c r="G288" s="20"/>
    </row>
    <row r="289">
      <c r="F289" s="30"/>
      <c r="G289" s="20"/>
    </row>
    <row r="290">
      <c r="F290" s="30"/>
      <c r="G290" s="20"/>
    </row>
    <row r="291">
      <c r="F291" s="30"/>
      <c r="G291" s="20"/>
    </row>
    <row r="292">
      <c r="F292" s="30"/>
      <c r="G292" s="20"/>
    </row>
    <row r="293">
      <c r="F293" s="30"/>
      <c r="G293" s="20"/>
    </row>
    <row r="294">
      <c r="F294" s="30"/>
      <c r="G294" s="20"/>
    </row>
    <row r="295">
      <c r="F295" s="30"/>
      <c r="G295" s="20"/>
    </row>
    <row r="296">
      <c r="F296" s="30"/>
      <c r="G296" s="20"/>
    </row>
    <row r="297">
      <c r="F297" s="30"/>
      <c r="G297" s="20"/>
    </row>
    <row r="298">
      <c r="F298" s="30"/>
      <c r="G298" s="20"/>
    </row>
    <row r="299">
      <c r="F299" s="30"/>
      <c r="G299" s="20"/>
    </row>
    <row r="300">
      <c r="F300" s="30"/>
      <c r="G300" s="20"/>
    </row>
    <row r="301">
      <c r="F301" s="30"/>
      <c r="G301" s="20"/>
    </row>
    <row r="302">
      <c r="F302" s="30"/>
      <c r="G302" s="20"/>
    </row>
    <row r="303">
      <c r="F303" s="30"/>
      <c r="G303" s="20"/>
    </row>
    <row r="304">
      <c r="F304" s="30"/>
      <c r="G304" s="20"/>
    </row>
    <row r="305">
      <c r="F305" s="30"/>
      <c r="G305" s="20"/>
    </row>
    <row r="306">
      <c r="F306" s="30"/>
      <c r="G306" s="20"/>
    </row>
    <row r="307">
      <c r="F307" s="30"/>
      <c r="G307" s="20"/>
    </row>
    <row r="308">
      <c r="F308" s="30"/>
      <c r="G308" s="20"/>
    </row>
    <row r="309">
      <c r="F309" s="30"/>
      <c r="G309" s="20"/>
    </row>
    <row r="310">
      <c r="F310" s="30"/>
      <c r="G310" s="20"/>
    </row>
    <row r="311">
      <c r="F311" s="30"/>
      <c r="G311" s="20"/>
    </row>
    <row r="312">
      <c r="F312" s="30"/>
      <c r="G312" s="20"/>
    </row>
    <row r="313">
      <c r="F313" s="30"/>
      <c r="G313" s="20"/>
    </row>
    <row r="314">
      <c r="F314" s="30"/>
      <c r="G314" s="20"/>
    </row>
    <row r="315">
      <c r="F315" s="30"/>
      <c r="G315" s="20"/>
    </row>
    <row r="316">
      <c r="F316" s="30"/>
      <c r="G316" s="20"/>
    </row>
    <row r="317">
      <c r="F317" s="30"/>
      <c r="G317" s="20"/>
    </row>
    <row r="318">
      <c r="F318" s="30"/>
      <c r="G318" s="20"/>
    </row>
    <row r="319">
      <c r="F319" s="30"/>
      <c r="G319" s="20"/>
    </row>
    <row r="320">
      <c r="F320" s="30"/>
      <c r="G320" s="20"/>
    </row>
    <row r="321">
      <c r="F321" s="30"/>
      <c r="G321" s="20"/>
    </row>
    <row r="322">
      <c r="F322" s="30"/>
      <c r="G322" s="20"/>
    </row>
    <row r="323">
      <c r="F323" s="30"/>
      <c r="G323" s="20"/>
    </row>
    <row r="324">
      <c r="F324" s="30"/>
      <c r="G324" s="20"/>
    </row>
    <row r="325">
      <c r="F325" s="30"/>
      <c r="G325" s="20"/>
    </row>
    <row r="326">
      <c r="F326" s="30"/>
      <c r="G326" s="20"/>
    </row>
    <row r="327">
      <c r="F327" s="30"/>
      <c r="G327" s="20"/>
    </row>
    <row r="328">
      <c r="F328" s="30"/>
      <c r="G328" s="20"/>
    </row>
    <row r="329">
      <c r="F329" s="30"/>
      <c r="G329" s="20"/>
    </row>
    <row r="330">
      <c r="F330" s="30"/>
      <c r="G330" s="20"/>
    </row>
    <row r="331">
      <c r="F331" s="30"/>
      <c r="G331" s="20"/>
    </row>
    <row r="332">
      <c r="F332" s="30"/>
      <c r="G332" s="20"/>
    </row>
    <row r="333">
      <c r="F333" s="30"/>
      <c r="G333" s="20"/>
    </row>
    <row r="334">
      <c r="F334" s="30"/>
      <c r="G334" s="20"/>
    </row>
    <row r="335">
      <c r="F335" s="30"/>
      <c r="G335" s="20"/>
    </row>
    <row r="336">
      <c r="F336" s="30"/>
      <c r="G336" s="20"/>
    </row>
    <row r="337">
      <c r="F337" s="30"/>
      <c r="G337" s="20"/>
    </row>
    <row r="338">
      <c r="F338" s="30"/>
      <c r="G338" s="20"/>
    </row>
    <row r="339">
      <c r="F339" s="30"/>
      <c r="G339" s="20"/>
    </row>
    <row r="340">
      <c r="F340" s="30"/>
      <c r="G340" s="20"/>
    </row>
    <row r="341">
      <c r="F341" s="30"/>
      <c r="G341" s="20"/>
    </row>
    <row r="342">
      <c r="F342" s="30"/>
      <c r="G342" s="20"/>
    </row>
    <row r="343">
      <c r="F343" s="30"/>
      <c r="G343" s="20"/>
    </row>
    <row r="344">
      <c r="F344" s="30"/>
      <c r="G344" s="20"/>
    </row>
    <row r="345">
      <c r="F345" s="30"/>
      <c r="G345" s="20"/>
    </row>
    <row r="346">
      <c r="F346" s="30"/>
      <c r="G346" s="20"/>
    </row>
    <row r="347">
      <c r="F347" s="30"/>
      <c r="G347" s="20"/>
    </row>
    <row r="348">
      <c r="F348" s="30"/>
      <c r="G348" s="20"/>
    </row>
    <row r="349">
      <c r="F349" s="30"/>
      <c r="G349" s="20"/>
    </row>
    <row r="350">
      <c r="F350" s="30"/>
      <c r="G350" s="20"/>
    </row>
    <row r="351">
      <c r="F351" s="30"/>
      <c r="G351" s="20"/>
    </row>
    <row r="352">
      <c r="F352" s="30"/>
      <c r="G352" s="20"/>
    </row>
    <row r="353">
      <c r="F353" s="30"/>
      <c r="G353" s="20"/>
    </row>
    <row r="354">
      <c r="F354" s="30"/>
      <c r="G354" s="20"/>
    </row>
    <row r="355">
      <c r="F355" s="30"/>
      <c r="G355" s="20"/>
    </row>
    <row r="356">
      <c r="F356" s="30"/>
      <c r="G356" s="20"/>
    </row>
    <row r="357">
      <c r="F357" s="30"/>
      <c r="G357" s="20"/>
    </row>
    <row r="358">
      <c r="F358" s="30"/>
      <c r="G358" s="20"/>
    </row>
    <row r="359">
      <c r="F359" s="30"/>
      <c r="G359" s="20"/>
    </row>
    <row r="360">
      <c r="F360" s="30"/>
      <c r="G360" s="20"/>
    </row>
    <row r="361">
      <c r="F361" s="30"/>
      <c r="G361" s="20"/>
    </row>
    <row r="362">
      <c r="F362" s="30"/>
      <c r="G362" s="20"/>
    </row>
    <row r="363">
      <c r="F363" s="30"/>
      <c r="G363" s="20"/>
    </row>
    <row r="364">
      <c r="F364" s="30"/>
      <c r="G364" s="20"/>
    </row>
    <row r="365">
      <c r="F365" s="30"/>
      <c r="G365" s="20"/>
    </row>
    <row r="366">
      <c r="F366" s="30"/>
      <c r="G366" s="20"/>
    </row>
    <row r="367">
      <c r="F367" s="30"/>
      <c r="G367" s="20"/>
    </row>
    <row r="368">
      <c r="F368" s="30"/>
      <c r="G368" s="20"/>
    </row>
    <row r="369">
      <c r="F369" s="30"/>
      <c r="G369" s="20"/>
    </row>
    <row r="370">
      <c r="F370" s="30"/>
      <c r="G370" s="20"/>
    </row>
    <row r="371">
      <c r="F371" s="30"/>
      <c r="G371" s="20"/>
    </row>
    <row r="372">
      <c r="F372" s="30"/>
      <c r="G372" s="20"/>
    </row>
    <row r="373">
      <c r="F373" s="30"/>
      <c r="G373" s="20"/>
    </row>
    <row r="374">
      <c r="F374" s="30"/>
      <c r="G374" s="20"/>
    </row>
    <row r="375">
      <c r="F375" s="30"/>
      <c r="G375" s="20"/>
    </row>
    <row r="376">
      <c r="F376" s="30"/>
      <c r="G376" s="20"/>
    </row>
    <row r="377">
      <c r="F377" s="30"/>
      <c r="G377" s="20"/>
    </row>
    <row r="378">
      <c r="F378" s="30"/>
      <c r="G378" s="20"/>
    </row>
    <row r="379">
      <c r="F379" s="30"/>
      <c r="G379" s="20"/>
    </row>
    <row r="380">
      <c r="F380" s="30"/>
      <c r="G380" s="20"/>
    </row>
    <row r="381">
      <c r="F381" s="30"/>
      <c r="G381" s="20"/>
    </row>
    <row r="382">
      <c r="F382" s="30"/>
      <c r="G382" s="20"/>
    </row>
    <row r="383">
      <c r="F383" s="30"/>
      <c r="G383" s="20"/>
    </row>
    <row r="384">
      <c r="F384" s="30"/>
      <c r="G384" s="20"/>
    </row>
    <row r="385">
      <c r="F385" s="30"/>
      <c r="G385" s="20"/>
    </row>
    <row r="386">
      <c r="F386" s="30"/>
      <c r="G386" s="20"/>
    </row>
    <row r="387">
      <c r="F387" s="30"/>
      <c r="G387" s="20"/>
    </row>
    <row r="388">
      <c r="F388" s="30"/>
      <c r="G388" s="20"/>
    </row>
    <row r="389">
      <c r="F389" s="30"/>
      <c r="G389" s="20"/>
    </row>
    <row r="390">
      <c r="F390" s="30"/>
      <c r="G390" s="20"/>
    </row>
    <row r="391">
      <c r="F391" s="30"/>
      <c r="G391" s="20"/>
    </row>
    <row r="392">
      <c r="F392" s="30"/>
      <c r="G392" s="20"/>
    </row>
    <row r="393">
      <c r="F393" s="30"/>
      <c r="G393" s="20"/>
    </row>
    <row r="394">
      <c r="F394" s="30"/>
      <c r="G394" s="20"/>
    </row>
    <row r="395">
      <c r="F395" s="30"/>
      <c r="G395" s="20"/>
    </row>
    <row r="396">
      <c r="F396" s="30"/>
      <c r="G396" s="20"/>
    </row>
    <row r="397">
      <c r="F397" s="30"/>
      <c r="G397" s="20"/>
    </row>
    <row r="398">
      <c r="F398" s="30"/>
      <c r="G398" s="20"/>
    </row>
    <row r="399">
      <c r="F399" s="30"/>
      <c r="G399" s="20"/>
    </row>
    <row r="400">
      <c r="F400" s="30"/>
      <c r="G400" s="20"/>
    </row>
    <row r="401">
      <c r="F401" s="30"/>
      <c r="G401" s="20"/>
    </row>
    <row r="402">
      <c r="F402" s="30"/>
      <c r="G402" s="20"/>
    </row>
    <row r="403">
      <c r="F403" s="30"/>
      <c r="G403" s="20"/>
    </row>
    <row r="404">
      <c r="F404" s="30"/>
      <c r="G404" s="20"/>
    </row>
    <row r="405">
      <c r="F405" s="30"/>
      <c r="G405" s="20"/>
    </row>
    <row r="406">
      <c r="F406" s="30"/>
      <c r="G406" s="20"/>
    </row>
    <row r="407">
      <c r="F407" s="30"/>
      <c r="G407" s="20"/>
    </row>
    <row r="408">
      <c r="F408" s="30"/>
      <c r="G408" s="20"/>
    </row>
    <row r="409">
      <c r="F409" s="30"/>
      <c r="G409" s="20"/>
    </row>
    <row r="410">
      <c r="F410" s="30"/>
      <c r="G410" s="20"/>
    </row>
    <row r="411">
      <c r="F411" s="30"/>
      <c r="G411" s="20"/>
    </row>
    <row r="412">
      <c r="F412" s="30"/>
      <c r="G412" s="20"/>
    </row>
    <row r="413">
      <c r="F413" s="30"/>
      <c r="G413" s="20"/>
    </row>
    <row r="414">
      <c r="F414" s="30"/>
      <c r="G414" s="20"/>
    </row>
    <row r="415">
      <c r="F415" s="30"/>
      <c r="G415" s="20"/>
    </row>
    <row r="416">
      <c r="F416" s="30"/>
      <c r="G416" s="20"/>
    </row>
    <row r="417">
      <c r="F417" s="30"/>
      <c r="G417" s="20"/>
    </row>
    <row r="418">
      <c r="F418" s="30"/>
      <c r="G418" s="20"/>
    </row>
    <row r="419">
      <c r="F419" s="30"/>
      <c r="G419" s="20"/>
    </row>
    <row r="420">
      <c r="F420" s="30"/>
      <c r="G420" s="20"/>
    </row>
    <row r="421">
      <c r="F421" s="30"/>
      <c r="G421" s="20"/>
    </row>
    <row r="422">
      <c r="F422" s="30"/>
      <c r="G422" s="20"/>
    </row>
    <row r="423">
      <c r="F423" s="30"/>
      <c r="G423" s="20"/>
    </row>
    <row r="424">
      <c r="F424" s="30"/>
      <c r="G424" s="20"/>
    </row>
    <row r="425">
      <c r="F425" s="30"/>
      <c r="G425" s="20"/>
    </row>
    <row r="426">
      <c r="F426" s="30"/>
      <c r="G426" s="20"/>
    </row>
    <row r="427">
      <c r="F427" s="30"/>
      <c r="G427" s="20"/>
    </row>
    <row r="428">
      <c r="F428" s="30"/>
      <c r="G428" s="20"/>
    </row>
    <row r="429">
      <c r="F429" s="30"/>
      <c r="G429" s="20"/>
    </row>
    <row r="430">
      <c r="F430" s="30"/>
      <c r="G430" s="20"/>
    </row>
    <row r="431">
      <c r="F431" s="30"/>
      <c r="G431" s="20"/>
    </row>
    <row r="432">
      <c r="F432" s="30"/>
      <c r="G432" s="20"/>
    </row>
    <row r="433">
      <c r="F433" s="30"/>
      <c r="G433" s="20"/>
    </row>
    <row r="434">
      <c r="F434" s="30"/>
      <c r="G434" s="20"/>
    </row>
    <row r="435">
      <c r="F435" s="30"/>
      <c r="G435" s="20"/>
    </row>
    <row r="436">
      <c r="F436" s="30"/>
      <c r="G436" s="20"/>
    </row>
    <row r="437">
      <c r="F437" s="30"/>
      <c r="G437" s="20"/>
    </row>
    <row r="438">
      <c r="F438" s="30"/>
      <c r="G438" s="20"/>
    </row>
    <row r="439">
      <c r="F439" s="30"/>
      <c r="G439" s="20"/>
    </row>
    <row r="440">
      <c r="F440" s="30"/>
      <c r="G440" s="20"/>
    </row>
    <row r="441">
      <c r="F441" s="30"/>
      <c r="G441" s="20"/>
    </row>
    <row r="442">
      <c r="F442" s="30"/>
      <c r="G442" s="20"/>
    </row>
    <row r="443">
      <c r="F443" s="30"/>
      <c r="G443" s="20"/>
    </row>
    <row r="444">
      <c r="F444" s="30"/>
      <c r="G444" s="20"/>
    </row>
    <row r="445">
      <c r="F445" s="30"/>
      <c r="G445" s="20"/>
    </row>
    <row r="446">
      <c r="F446" s="30"/>
      <c r="G446" s="20"/>
    </row>
    <row r="447">
      <c r="F447" s="30"/>
      <c r="G447" s="20"/>
    </row>
    <row r="448">
      <c r="F448" s="30"/>
      <c r="G448" s="20"/>
    </row>
    <row r="449">
      <c r="F449" s="30"/>
      <c r="G449" s="20"/>
    </row>
    <row r="450">
      <c r="F450" s="30"/>
      <c r="G450" s="20"/>
    </row>
    <row r="451">
      <c r="F451" s="30"/>
      <c r="G451" s="20"/>
    </row>
    <row r="452">
      <c r="F452" s="30"/>
      <c r="G452" s="20"/>
    </row>
    <row r="453">
      <c r="F453" s="30"/>
      <c r="G453" s="20"/>
    </row>
    <row r="454">
      <c r="F454" s="30"/>
      <c r="G454" s="20"/>
    </row>
    <row r="455">
      <c r="F455" s="30"/>
      <c r="G455" s="20"/>
    </row>
    <row r="456">
      <c r="F456" s="30"/>
      <c r="G456" s="20"/>
    </row>
    <row r="457">
      <c r="F457" s="30"/>
      <c r="G457" s="20"/>
    </row>
    <row r="458">
      <c r="F458" s="30"/>
      <c r="G458" s="20"/>
    </row>
    <row r="459">
      <c r="F459" s="30"/>
      <c r="G459" s="20"/>
    </row>
    <row r="460">
      <c r="F460" s="30"/>
      <c r="G460" s="20"/>
    </row>
    <row r="461">
      <c r="F461" s="30"/>
      <c r="G461" s="20"/>
    </row>
    <row r="462">
      <c r="F462" s="30"/>
      <c r="G462" s="20"/>
    </row>
    <row r="463">
      <c r="F463" s="30"/>
      <c r="G463" s="20"/>
    </row>
    <row r="464">
      <c r="F464" s="30"/>
      <c r="G464" s="20"/>
    </row>
    <row r="465">
      <c r="F465" s="30"/>
      <c r="G465" s="20"/>
    </row>
    <row r="466">
      <c r="F466" s="30"/>
      <c r="G466" s="20"/>
    </row>
    <row r="467">
      <c r="F467" s="30"/>
      <c r="G467" s="20"/>
    </row>
    <row r="468">
      <c r="F468" s="30"/>
      <c r="G468" s="20"/>
    </row>
    <row r="469">
      <c r="F469" s="30"/>
      <c r="G469" s="20"/>
    </row>
    <row r="470">
      <c r="F470" s="30"/>
      <c r="G470" s="20"/>
    </row>
    <row r="471">
      <c r="F471" s="30"/>
      <c r="G471" s="20"/>
    </row>
    <row r="472">
      <c r="F472" s="30"/>
      <c r="G472" s="20"/>
    </row>
    <row r="473">
      <c r="F473" s="30"/>
      <c r="G473" s="20"/>
    </row>
    <row r="474">
      <c r="F474" s="30"/>
      <c r="G474" s="20"/>
    </row>
    <row r="475">
      <c r="F475" s="30"/>
      <c r="G475" s="20"/>
    </row>
    <row r="476">
      <c r="F476" s="30"/>
      <c r="G476" s="20"/>
    </row>
    <row r="477">
      <c r="F477" s="30"/>
      <c r="G477" s="20"/>
    </row>
    <row r="478">
      <c r="F478" s="30"/>
      <c r="G478" s="20"/>
    </row>
    <row r="479">
      <c r="F479" s="30"/>
      <c r="G479" s="20"/>
    </row>
    <row r="480">
      <c r="F480" s="30"/>
      <c r="G480" s="20"/>
    </row>
    <row r="481">
      <c r="F481" s="30"/>
      <c r="G481" s="20"/>
    </row>
    <row r="482">
      <c r="F482" s="30"/>
      <c r="G482" s="20"/>
    </row>
    <row r="483">
      <c r="F483" s="30"/>
      <c r="G483" s="20"/>
    </row>
    <row r="484">
      <c r="F484" s="30"/>
      <c r="G484" s="20"/>
    </row>
    <row r="485">
      <c r="F485" s="30"/>
      <c r="G485" s="20"/>
    </row>
    <row r="486">
      <c r="F486" s="30"/>
      <c r="G486" s="20"/>
    </row>
    <row r="487">
      <c r="F487" s="30"/>
      <c r="G487" s="20"/>
    </row>
    <row r="488">
      <c r="F488" s="30"/>
      <c r="G488" s="20"/>
    </row>
    <row r="489">
      <c r="F489" s="30"/>
      <c r="G489" s="20"/>
    </row>
    <row r="490">
      <c r="F490" s="30"/>
      <c r="G490" s="20"/>
    </row>
    <row r="491">
      <c r="F491" s="30"/>
      <c r="G491" s="20"/>
    </row>
    <row r="492">
      <c r="F492" s="30"/>
      <c r="G492" s="20"/>
    </row>
    <row r="493">
      <c r="F493" s="30"/>
      <c r="G493" s="20"/>
    </row>
    <row r="494">
      <c r="F494" s="30"/>
      <c r="G494" s="20"/>
    </row>
    <row r="495">
      <c r="F495" s="30"/>
      <c r="G495" s="20"/>
    </row>
    <row r="496">
      <c r="F496" s="30"/>
      <c r="G496" s="20"/>
    </row>
    <row r="497">
      <c r="F497" s="30"/>
      <c r="G497" s="20"/>
    </row>
    <row r="498">
      <c r="F498" s="30"/>
      <c r="G498" s="20"/>
    </row>
    <row r="499">
      <c r="F499" s="30"/>
      <c r="G499" s="20"/>
    </row>
    <row r="500">
      <c r="F500" s="30"/>
      <c r="G500" s="20"/>
    </row>
    <row r="501">
      <c r="F501" s="30"/>
      <c r="G501" s="20"/>
    </row>
    <row r="502">
      <c r="F502" s="30"/>
      <c r="G502" s="20"/>
    </row>
    <row r="503">
      <c r="F503" s="30"/>
      <c r="G503" s="20"/>
    </row>
    <row r="504">
      <c r="F504" s="30"/>
      <c r="G504" s="20"/>
    </row>
    <row r="505">
      <c r="F505" s="30"/>
      <c r="G505" s="20"/>
    </row>
    <row r="506">
      <c r="F506" s="30"/>
      <c r="G506" s="20"/>
    </row>
    <row r="507">
      <c r="F507" s="30"/>
      <c r="G507" s="20"/>
    </row>
    <row r="508">
      <c r="F508" s="30"/>
      <c r="G508" s="20"/>
    </row>
    <row r="509">
      <c r="F509" s="30"/>
      <c r="G509" s="20"/>
    </row>
    <row r="510">
      <c r="F510" s="30"/>
      <c r="G510" s="20"/>
    </row>
    <row r="511">
      <c r="F511" s="30"/>
      <c r="G511" s="20"/>
    </row>
    <row r="512">
      <c r="F512" s="30"/>
      <c r="G512" s="20"/>
    </row>
    <row r="513">
      <c r="F513" s="30"/>
      <c r="G513" s="20"/>
    </row>
    <row r="514">
      <c r="F514" s="30"/>
      <c r="G514" s="20"/>
    </row>
    <row r="515">
      <c r="F515" s="30"/>
      <c r="G515" s="20"/>
    </row>
    <row r="516">
      <c r="F516" s="30"/>
      <c r="G516" s="20"/>
    </row>
    <row r="517">
      <c r="F517" s="30"/>
      <c r="G517" s="20"/>
    </row>
    <row r="518">
      <c r="F518" s="30"/>
      <c r="G518" s="20"/>
    </row>
    <row r="519">
      <c r="F519" s="30"/>
      <c r="G519" s="20"/>
    </row>
    <row r="520">
      <c r="F520" s="30"/>
      <c r="G520" s="20"/>
    </row>
    <row r="521">
      <c r="F521" s="30"/>
      <c r="G521" s="20"/>
    </row>
    <row r="522">
      <c r="F522" s="30"/>
      <c r="G522" s="20"/>
    </row>
    <row r="523">
      <c r="F523" s="30"/>
      <c r="G523" s="20"/>
    </row>
    <row r="524">
      <c r="F524" s="30"/>
      <c r="G524" s="20"/>
    </row>
    <row r="525">
      <c r="F525" s="30"/>
      <c r="G525" s="20"/>
    </row>
    <row r="526">
      <c r="F526" s="30"/>
      <c r="G526" s="20"/>
    </row>
    <row r="527">
      <c r="F527" s="30"/>
      <c r="G527" s="20"/>
    </row>
    <row r="528">
      <c r="F528" s="30"/>
      <c r="G528" s="20"/>
    </row>
    <row r="529">
      <c r="F529" s="30"/>
      <c r="G529" s="20"/>
    </row>
    <row r="530">
      <c r="F530" s="30"/>
      <c r="G530" s="20"/>
    </row>
    <row r="531">
      <c r="F531" s="30"/>
      <c r="G531" s="20"/>
    </row>
    <row r="532">
      <c r="F532" s="30"/>
      <c r="G532" s="20"/>
    </row>
    <row r="533">
      <c r="F533" s="30"/>
      <c r="G533" s="20"/>
    </row>
    <row r="534">
      <c r="F534" s="30"/>
      <c r="G534" s="20"/>
    </row>
    <row r="535">
      <c r="F535" s="30"/>
      <c r="G535" s="20"/>
    </row>
    <row r="536">
      <c r="F536" s="30"/>
      <c r="G536" s="20"/>
    </row>
    <row r="537">
      <c r="F537" s="30"/>
      <c r="G537" s="20"/>
    </row>
    <row r="538">
      <c r="F538" s="30"/>
      <c r="G538" s="20"/>
    </row>
    <row r="539">
      <c r="F539" s="30"/>
      <c r="G539" s="20"/>
    </row>
    <row r="540">
      <c r="F540" s="30"/>
      <c r="G540" s="20"/>
    </row>
    <row r="541">
      <c r="F541" s="30"/>
      <c r="G541" s="20"/>
    </row>
    <row r="542">
      <c r="F542" s="30"/>
      <c r="G542" s="20"/>
    </row>
    <row r="543">
      <c r="F543" s="30"/>
      <c r="G543" s="20"/>
    </row>
    <row r="544">
      <c r="F544" s="30"/>
      <c r="G544" s="20"/>
    </row>
    <row r="545">
      <c r="F545" s="30"/>
      <c r="G545" s="20"/>
    </row>
    <row r="546">
      <c r="F546" s="30"/>
      <c r="G546" s="20"/>
    </row>
    <row r="547">
      <c r="F547" s="30"/>
      <c r="G547" s="20"/>
    </row>
    <row r="548">
      <c r="F548" s="30"/>
      <c r="G548" s="20"/>
    </row>
    <row r="549">
      <c r="F549" s="30"/>
      <c r="G549" s="20"/>
    </row>
    <row r="550">
      <c r="F550" s="30"/>
      <c r="G550" s="20"/>
    </row>
    <row r="551">
      <c r="F551" s="30"/>
      <c r="G551" s="20"/>
    </row>
    <row r="552">
      <c r="F552" s="30"/>
      <c r="G552" s="20"/>
    </row>
    <row r="553">
      <c r="F553" s="30"/>
      <c r="G553" s="20"/>
    </row>
    <row r="554">
      <c r="F554" s="30"/>
      <c r="G554" s="20"/>
    </row>
    <row r="555">
      <c r="F555" s="30"/>
      <c r="G555" s="20"/>
    </row>
    <row r="556">
      <c r="F556" s="30"/>
      <c r="G556" s="20"/>
    </row>
    <row r="557">
      <c r="F557" s="30"/>
      <c r="G557" s="20"/>
    </row>
    <row r="558">
      <c r="F558" s="30"/>
      <c r="G558" s="20"/>
    </row>
    <row r="559">
      <c r="F559" s="30"/>
      <c r="G559" s="20"/>
    </row>
    <row r="560">
      <c r="F560" s="30"/>
      <c r="G560" s="20"/>
    </row>
    <row r="561">
      <c r="F561" s="30"/>
      <c r="G561" s="20"/>
    </row>
    <row r="562">
      <c r="F562" s="30"/>
      <c r="G562" s="20"/>
    </row>
    <row r="563">
      <c r="F563" s="30"/>
      <c r="G563" s="20"/>
    </row>
    <row r="564">
      <c r="F564" s="30"/>
      <c r="G564" s="20"/>
    </row>
    <row r="565">
      <c r="F565" s="30"/>
      <c r="G565" s="20"/>
    </row>
    <row r="566">
      <c r="F566" s="30"/>
      <c r="G566" s="20"/>
    </row>
    <row r="567">
      <c r="F567" s="30"/>
      <c r="G567" s="20"/>
    </row>
    <row r="568">
      <c r="F568" s="30"/>
      <c r="G568" s="20"/>
    </row>
    <row r="569">
      <c r="F569" s="30"/>
      <c r="G569" s="20"/>
    </row>
    <row r="570">
      <c r="F570" s="30"/>
      <c r="G570" s="20"/>
    </row>
    <row r="571">
      <c r="F571" s="30"/>
      <c r="G571" s="20"/>
    </row>
    <row r="572">
      <c r="F572" s="30"/>
      <c r="G572" s="20"/>
    </row>
    <row r="573">
      <c r="F573" s="30"/>
      <c r="G573" s="20"/>
    </row>
    <row r="574">
      <c r="F574" s="30"/>
      <c r="G574" s="20"/>
    </row>
    <row r="575">
      <c r="F575" s="30"/>
      <c r="G575" s="20"/>
    </row>
    <row r="576">
      <c r="F576" s="30"/>
      <c r="G576" s="20"/>
    </row>
    <row r="577">
      <c r="F577" s="30"/>
      <c r="G577" s="20"/>
    </row>
    <row r="578">
      <c r="F578" s="30"/>
      <c r="G578" s="20"/>
    </row>
    <row r="579">
      <c r="F579" s="30"/>
      <c r="G579" s="20"/>
    </row>
    <row r="580">
      <c r="F580" s="30"/>
      <c r="G580" s="20"/>
    </row>
    <row r="581">
      <c r="F581" s="30"/>
      <c r="G581" s="20"/>
    </row>
    <row r="582">
      <c r="F582" s="30"/>
      <c r="G582" s="20"/>
    </row>
    <row r="583">
      <c r="F583" s="30"/>
      <c r="G583" s="20"/>
    </row>
    <row r="584">
      <c r="F584" s="30"/>
      <c r="G584" s="20"/>
    </row>
    <row r="585">
      <c r="F585" s="30"/>
      <c r="G585" s="20"/>
    </row>
    <row r="586">
      <c r="F586" s="30"/>
      <c r="G586" s="20"/>
    </row>
    <row r="587">
      <c r="F587" s="30"/>
      <c r="G587" s="20"/>
    </row>
    <row r="588">
      <c r="F588" s="30"/>
      <c r="G588" s="20"/>
    </row>
    <row r="589">
      <c r="F589" s="30"/>
      <c r="G589" s="20"/>
    </row>
    <row r="590">
      <c r="F590" s="30"/>
      <c r="G590" s="20"/>
    </row>
    <row r="591">
      <c r="F591" s="30"/>
      <c r="G591" s="20"/>
    </row>
    <row r="592">
      <c r="F592" s="30"/>
      <c r="G592" s="20"/>
    </row>
    <row r="593">
      <c r="F593" s="30"/>
      <c r="G593" s="20"/>
    </row>
    <row r="594">
      <c r="F594" s="30"/>
      <c r="G594" s="20"/>
    </row>
    <row r="595">
      <c r="F595" s="30"/>
      <c r="G595" s="20"/>
    </row>
    <row r="596">
      <c r="F596" s="30"/>
      <c r="G596" s="20"/>
    </row>
    <row r="597">
      <c r="F597" s="30"/>
      <c r="G597" s="20"/>
    </row>
    <row r="598">
      <c r="F598" s="30"/>
      <c r="G598" s="20"/>
    </row>
    <row r="599">
      <c r="F599" s="30"/>
      <c r="G599" s="20"/>
    </row>
    <row r="600">
      <c r="F600" s="30"/>
      <c r="G600" s="20"/>
    </row>
    <row r="601">
      <c r="F601" s="30"/>
      <c r="G601" s="20"/>
    </row>
    <row r="602">
      <c r="F602" s="30"/>
      <c r="G602" s="20"/>
    </row>
    <row r="603">
      <c r="F603" s="30"/>
      <c r="G603" s="20"/>
    </row>
    <row r="604">
      <c r="F604" s="30"/>
      <c r="G604" s="20"/>
    </row>
    <row r="605">
      <c r="F605" s="30"/>
      <c r="G605" s="20"/>
    </row>
    <row r="606">
      <c r="F606" s="30"/>
      <c r="G606" s="20"/>
    </row>
    <row r="607">
      <c r="F607" s="30"/>
      <c r="G607" s="20"/>
    </row>
    <row r="608">
      <c r="F608" s="30"/>
      <c r="G608" s="20"/>
    </row>
    <row r="609">
      <c r="F609" s="30"/>
      <c r="G609" s="20"/>
    </row>
    <row r="610">
      <c r="F610" s="30"/>
      <c r="G610" s="20"/>
    </row>
    <row r="611">
      <c r="F611" s="30"/>
      <c r="G611" s="20"/>
    </row>
    <row r="612">
      <c r="F612" s="30"/>
      <c r="G612" s="20"/>
    </row>
    <row r="613">
      <c r="F613" s="30"/>
      <c r="G613" s="20"/>
    </row>
    <row r="614">
      <c r="F614" s="30"/>
      <c r="G614" s="20"/>
    </row>
    <row r="615">
      <c r="F615" s="30"/>
      <c r="G615" s="20"/>
    </row>
    <row r="616">
      <c r="F616" s="30"/>
      <c r="G616" s="20"/>
    </row>
    <row r="617">
      <c r="F617" s="30"/>
      <c r="G617" s="20"/>
    </row>
    <row r="618">
      <c r="F618" s="30"/>
      <c r="G618" s="20"/>
    </row>
    <row r="619">
      <c r="F619" s="30"/>
      <c r="G619" s="20"/>
    </row>
    <row r="620">
      <c r="F620" s="30"/>
      <c r="G620" s="20"/>
    </row>
    <row r="621">
      <c r="F621" s="30"/>
      <c r="G621" s="20"/>
    </row>
    <row r="622">
      <c r="F622" s="30"/>
      <c r="G622" s="20"/>
    </row>
    <row r="623">
      <c r="F623" s="30"/>
      <c r="G623" s="20"/>
    </row>
    <row r="624">
      <c r="F624" s="30"/>
      <c r="G624" s="20"/>
    </row>
    <row r="625">
      <c r="F625" s="30"/>
      <c r="G625" s="20"/>
    </row>
    <row r="626">
      <c r="F626" s="30"/>
      <c r="G626" s="20"/>
    </row>
    <row r="627">
      <c r="F627" s="30"/>
      <c r="G627" s="20"/>
    </row>
    <row r="628">
      <c r="F628" s="30"/>
      <c r="G628" s="20"/>
    </row>
    <row r="629">
      <c r="F629" s="30"/>
      <c r="G629" s="20"/>
    </row>
    <row r="630">
      <c r="F630" s="30"/>
      <c r="G630" s="20"/>
    </row>
    <row r="631">
      <c r="F631" s="30"/>
      <c r="G631" s="20"/>
    </row>
    <row r="632">
      <c r="F632" s="30"/>
      <c r="G632" s="20"/>
    </row>
    <row r="633">
      <c r="F633" s="30"/>
      <c r="G633" s="20"/>
    </row>
    <row r="634">
      <c r="F634" s="30"/>
      <c r="G634" s="20"/>
    </row>
    <row r="635">
      <c r="F635" s="30"/>
      <c r="G635" s="20"/>
    </row>
    <row r="636">
      <c r="F636" s="30"/>
      <c r="G636" s="20"/>
    </row>
    <row r="637">
      <c r="F637" s="30"/>
      <c r="G637" s="20"/>
    </row>
    <row r="638">
      <c r="F638" s="30"/>
      <c r="G638" s="20"/>
    </row>
    <row r="639">
      <c r="F639" s="30"/>
      <c r="G639" s="20"/>
    </row>
    <row r="640">
      <c r="F640" s="30"/>
      <c r="G640" s="20"/>
    </row>
    <row r="641">
      <c r="F641" s="30"/>
      <c r="G641" s="20"/>
    </row>
    <row r="642">
      <c r="F642" s="30"/>
      <c r="G642" s="20"/>
    </row>
    <row r="643">
      <c r="F643" s="30"/>
      <c r="G643" s="20"/>
    </row>
    <row r="644">
      <c r="F644" s="30"/>
      <c r="G644" s="20"/>
    </row>
    <row r="645">
      <c r="F645" s="30"/>
      <c r="G645" s="20"/>
    </row>
    <row r="646">
      <c r="F646" s="30"/>
      <c r="G646" s="20"/>
    </row>
    <row r="647">
      <c r="F647" s="30"/>
      <c r="G647" s="20"/>
    </row>
    <row r="648">
      <c r="F648" s="30"/>
      <c r="G648" s="20"/>
    </row>
    <row r="649">
      <c r="F649" s="30"/>
      <c r="G649" s="20"/>
    </row>
    <row r="650">
      <c r="F650" s="30"/>
      <c r="G650" s="20"/>
    </row>
    <row r="651">
      <c r="F651" s="30"/>
      <c r="G651" s="20"/>
    </row>
    <row r="652">
      <c r="F652" s="30"/>
      <c r="G652" s="20"/>
    </row>
    <row r="653">
      <c r="F653" s="30"/>
      <c r="G653" s="20"/>
    </row>
    <row r="654">
      <c r="F654" s="30"/>
      <c r="G654" s="20"/>
    </row>
    <row r="655">
      <c r="F655" s="30"/>
      <c r="G655" s="20"/>
    </row>
    <row r="656">
      <c r="F656" s="30"/>
      <c r="G656" s="20"/>
    </row>
    <row r="657">
      <c r="F657" s="30"/>
      <c r="G657" s="20"/>
    </row>
    <row r="658">
      <c r="F658" s="30"/>
      <c r="G658" s="20"/>
    </row>
    <row r="659">
      <c r="F659" s="30"/>
      <c r="G659" s="20"/>
    </row>
    <row r="660">
      <c r="F660" s="30"/>
      <c r="G660" s="20"/>
    </row>
    <row r="661">
      <c r="F661" s="30"/>
      <c r="G661" s="20"/>
    </row>
    <row r="662">
      <c r="F662" s="30"/>
      <c r="G662" s="20"/>
    </row>
    <row r="663">
      <c r="F663" s="30"/>
      <c r="G663" s="20"/>
    </row>
    <row r="664">
      <c r="F664" s="30"/>
      <c r="G664" s="20"/>
    </row>
    <row r="665">
      <c r="F665" s="30"/>
      <c r="G665" s="20"/>
    </row>
    <row r="666">
      <c r="F666" s="30"/>
      <c r="G666" s="20"/>
    </row>
    <row r="667">
      <c r="F667" s="30"/>
      <c r="G667" s="20"/>
    </row>
    <row r="668">
      <c r="F668" s="30"/>
      <c r="G668" s="20"/>
    </row>
    <row r="669">
      <c r="F669" s="30"/>
      <c r="G669" s="20"/>
    </row>
    <row r="670">
      <c r="F670" s="30"/>
      <c r="G670" s="20"/>
    </row>
    <row r="671">
      <c r="F671" s="30"/>
      <c r="G671" s="20"/>
    </row>
    <row r="672">
      <c r="F672" s="30"/>
      <c r="G672" s="20"/>
    </row>
    <row r="673">
      <c r="F673" s="30"/>
      <c r="G673" s="20"/>
    </row>
    <row r="674">
      <c r="F674" s="30"/>
      <c r="G674" s="20"/>
    </row>
    <row r="675">
      <c r="F675" s="30"/>
      <c r="G675" s="20"/>
    </row>
    <row r="676">
      <c r="F676" s="30"/>
      <c r="G676" s="20"/>
    </row>
    <row r="677">
      <c r="F677" s="30"/>
      <c r="G677" s="20"/>
    </row>
    <row r="678">
      <c r="F678" s="30"/>
      <c r="G678" s="20"/>
    </row>
    <row r="679">
      <c r="F679" s="30"/>
      <c r="G679" s="20"/>
    </row>
    <row r="680">
      <c r="F680" s="30"/>
      <c r="G680" s="20"/>
    </row>
    <row r="681">
      <c r="F681" s="30"/>
      <c r="G681" s="20"/>
    </row>
    <row r="682">
      <c r="F682" s="30"/>
      <c r="G682" s="20"/>
    </row>
    <row r="683">
      <c r="F683" s="30"/>
      <c r="G683" s="20"/>
    </row>
    <row r="684">
      <c r="F684" s="30"/>
      <c r="G684" s="20"/>
    </row>
    <row r="685">
      <c r="F685" s="30"/>
      <c r="G685" s="20"/>
    </row>
    <row r="686">
      <c r="F686" s="30"/>
      <c r="G686" s="20"/>
    </row>
    <row r="687">
      <c r="F687" s="30"/>
      <c r="G687" s="20"/>
    </row>
    <row r="688">
      <c r="F688" s="30"/>
      <c r="G688" s="20"/>
    </row>
    <row r="689">
      <c r="F689" s="30"/>
      <c r="G689" s="20"/>
    </row>
    <row r="690">
      <c r="F690" s="30"/>
      <c r="G690" s="20"/>
    </row>
    <row r="691">
      <c r="F691" s="30"/>
      <c r="G691" s="20"/>
    </row>
    <row r="692">
      <c r="F692" s="30"/>
      <c r="G692" s="20"/>
    </row>
    <row r="693">
      <c r="F693" s="30"/>
      <c r="G693" s="20"/>
    </row>
    <row r="694">
      <c r="F694" s="30"/>
      <c r="G694" s="20"/>
    </row>
    <row r="695">
      <c r="F695" s="30"/>
      <c r="G695" s="20"/>
    </row>
    <row r="696">
      <c r="F696" s="30"/>
      <c r="G696" s="20"/>
    </row>
    <row r="697">
      <c r="F697" s="30"/>
      <c r="G697" s="20"/>
    </row>
    <row r="698">
      <c r="F698" s="30"/>
      <c r="G698" s="20"/>
    </row>
    <row r="699">
      <c r="F699" s="30"/>
      <c r="G699" s="20"/>
    </row>
    <row r="700">
      <c r="F700" s="30"/>
      <c r="G700" s="20"/>
    </row>
    <row r="701">
      <c r="F701" s="30"/>
      <c r="G701" s="20"/>
    </row>
    <row r="702">
      <c r="F702" s="30"/>
      <c r="G702" s="20"/>
    </row>
    <row r="703">
      <c r="F703" s="30"/>
      <c r="G703" s="20"/>
    </row>
    <row r="704">
      <c r="F704" s="30"/>
      <c r="G704" s="20"/>
    </row>
    <row r="705">
      <c r="F705" s="30"/>
      <c r="G705" s="20"/>
    </row>
    <row r="706">
      <c r="F706" s="30"/>
      <c r="G706" s="20"/>
    </row>
    <row r="707">
      <c r="F707" s="30"/>
      <c r="G707" s="20"/>
    </row>
    <row r="708">
      <c r="F708" s="30"/>
      <c r="G708" s="20"/>
    </row>
    <row r="709">
      <c r="F709" s="30"/>
      <c r="G709" s="20"/>
    </row>
    <row r="710">
      <c r="F710" s="30"/>
      <c r="G710" s="20"/>
    </row>
    <row r="711">
      <c r="F711" s="30"/>
      <c r="G711" s="20"/>
    </row>
    <row r="712">
      <c r="F712" s="30"/>
      <c r="G712" s="20"/>
    </row>
    <row r="713">
      <c r="F713" s="30"/>
      <c r="G713" s="20"/>
    </row>
    <row r="714">
      <c r="F714" s="30"/>
      <c r="G714" s="20"/>
    </row>
    <row r="715">
      <c r="F715" s="30"/>
      <c r="G715" s="20"/>
    </row>
    <row r="716">
      <c r="F716" s="30"/>
      <c r="G716" s="20"/>
    </row>
    <row r="717">
      <c r="F717" s="30"/>
      <c r="G717" s="20"/>
    </row>
    <row r="718">
      <c r="F718" s="30"/>
      <c r="G718" s="20"/>
    </row>
    <row r="719">
      <c r="F719" s="30"/>
      <c r="G719" s="20"/>
    </row>
    <row r="720">
      <c r="F720" s="30"/>
      <c r="G720" s="20"/>
    </row>
    <row r="721">
      <c r="F721" s="30"/>
      <c r="G721" s="20"/>
    </row>
    <row r="722">
      <c r="F722" s="30"/>
      <c r="G722" s="20"/>
    </row>
    <row r="723">
      <c r="F723" s="30"/>
      <c r="G723" s="20"/>
    </row>
    <row r="724">
      <c r="F724" s="30"/>
      <c r="G724" s="20"/>
    </row>
    <row r="725">
      <c r="F725" s="30"/>
      <c r="G725" s="20"/>
    </row>
    <row r="726">
      <c r="F726" s="30"/>
      <c r="G726" s="20"/>
    </row>
    <row r="727">
      <c r="F727" s="30"/>
      <c r="G727" s="20"/>
    </row>
    <row r="728">
      <c r="F728" s="30"/>
      <c r="G728" s="20"/>
    </row>
    <row r="729">
      <c r="F729" s="30"/>
      <c r="G729" s="20"/>
    </row>
    <row r="730">
      <c r="F730" s="30"/>
      <c r="G730" s="20"/>
    </row>
    <row r="731">
      <c r="F731" s="30"/>
      <c r="G731" s="20"/>
    </row>
    <row r="732">
      <c r="F732" s="30"/>
      <c r="G732" s="20"/>
    </row>
    <row r="733">
      <c r="F733" s="30"/>
      <c r="G733" s="20"/>
    </row>
    <row r="734">
      <c r="F734" s="30"/>
      <c r="G734" s="20"/>
    </row>
    <row r="735">
      <c r="F735" s="30"/>
      <c r="G735" s="20"/>
    </row>
    <row r="736">
      <c r="F736" s="30"/>
      <c r="G736" s="20"/>
    </row>
    <row r="737">
      <c r="F737" s="30"/>
      <c r="G737" s="20"/>
    </row>
    <row r="738">
      <c r="F738" s="30"/>
      <c r="G738" s="20"/>
    </row>
    <row r="739">
      <c r="F739" s="30"/>
      <c r="G739" s="20"/>
    </row>
    <row r="740">
      <c r="F740" s="30"/>
      <c r="G740" s="20"/>
    </row>
    <row r="741">
      <c r="F741" s="30"/>
      <c r="G741" s="20"/>
    </row>
    <row r="742">
      <c r="F742" s="30"/>
      <c r="G742" s="20"/>
    </row>
    <row r="743">
      <c r="F743" s="30"/>
      <c r="G743" s="20"/>
    </row>
    <row r="744">
      <c r="F744" s="30"/>
      <c r="G744" s="20"/>
    </row>
    <row r="745">
      <c r="F745" s="30"/>
      <c r="G745" s="20"/>
    </row>
    <row r="746">
      <c r="F746" s="30"/>
      <c r="G746" s="20"/>
    </row>
    <row r="747">
      <c r="F747" s="30"/>
      <c r="G747" s="20"/>
    </row>
    <row r="748">
      <c r="F748" s="30"/>
      <c r="G748" s="20"/>
    </row>
    <row r="749">
      <c r="F749" s="30"/>
      <c r="G749" s="20"/>
    </row>
    <row r="750">
      <c r="F750" s="30"/>
      <c r="G750" s="20"/>
    </row>
    <row r="751">
      <c r="F751" s="30"/>
      <c r="G751" s="20"/>
    </row>
    <row r="752">
      <c r="F752" s="30"/>
      <c r="G752" s="20"/>
    </row>
    <row r="753">
      <c r="F753" s="30"/>
      <c r="G753" s="20"/>
    </row>
    <row r="754">
      <c r="F754" s="30"/>
      <c r="G754" s="20"/>
    </row>
    <row r="755">
      <c r="F755" s="30"/>
      <c r="G755" s="20"/>
    </row>
    <row r="756">
      <c r="F756" s="30"/>
      <c r="G756" s="20"/>
    </row>
    <row r="757">
      <c r="F757" s="30"/>
      <c r="G757" s="20"/>
    </row>
    <row r="758">
      <c r="F758" s="30"/>
      <c r="G758" s="20"/>
    </row>
    <row r="759">
      <c r="F759" s="30"/>
      <c r="G759" s="20"/>
    </row>
    <row r="760">
      <c r="F760" s="30"/>
      <c r="G760" s="20"/>
    </row>
    <row r="761">
      <c r="F761" s="30"/>
      <c r="G761" s="20"/>
    </row>
    <row r="762">
      <c r="F762" s="30"/>
      <c r="G762" s="20"/>
    </row>
    <row r="763">
      <c r="F763" s="30"/>
      <c r="G763" s="20"/>
    </row>
    <row r="764">
      <c r="F764" s="30"/>
      <c r="G764" s="20"/>
    </row>
    <row r="765">
      <c r="F765" s="30"/>
      <c r="G765" s="20"/>
    </row>
    <row r="766">
      <c r="F766" s="30"/>
      <c r="G766" s="20"/>
    </row>
    <row r="767">
      <c r="F767" s="30"/>
      <c r="G767" s="20"/>
    </row>
    <row r="768">
      <c r="F768" s="30"/>
      <c r="G768" s="20"/>
    </row>
    <row r="769">
      <c r="F769" s="30"/>
      <c r="G769" s="20"/>
    </row>
    <row r="770">
      <c r="F770" s="30"/>
      <c r="G770" s="20"/>
    </row>
    <row r="771">
      <c r="F771" s="30"/>
      <c r="G771" s="20"/>
    </row>
    <row r="772">
      <c r="F772" s="30"/>
      <c r="G772" s="20"/>
    </row>
    <row r="773">
      <c r="F773" s="30"/>
      <c r="G773" s="20"/>
    </row>
    <row r="774">
      <c r="F774" s="30"/>
      <c r="G774" s="20"/>
    </row>
    <row r="775">
      <c r="F775" s="30"/>
      <c r="G775" s="20"/>
    </row>
    <row r="776">
      <c r="F776" s="30"/>
      <c r="G776" s="20"/>
    </row>
    <row r="777">
      <c r="F777" s="30"/>
      <c r="G777" s="20"/>
    </row>
    <row r="778">
      <c r="F778" s="30"/>
      <c r="G778" s="20"/>
    </row>
    <row r="779">
      <c r="F779" s="30"/>
      <c r="G779" s="20"/>
    </row>
    <row r="780">
      <c r="F780" s="30"/>
      <c r="G780" s="20"/>
    </row>
    <row r="781">
      <c r="F781" s="30"/>
      <c r="G781" s="20"/>
    </row>
    <row r="782">
      <c r="F782" s="30"/>
      <c r="G782" s="20"/>
    </row>
    <row r="783">
      <c r="F783" s="30"/>
      <c r="G783" s="20"/>
    </row>
    <row r="784">
      <c r="F784" s="30"/>
      <c r="G784" s="20"/>
    </row>
    <row r="785">
      <c r="F785" s="30"/>
      <c r="G785" s="20"/>
    </row>
    <row r="786">
      <c r="F786" s="30"/>
      <c r="G786" s="20"/>
    </row>
    <row r="787">
      <c r="F787" s="30"/>
      <c r="G787" s="20"/>
    </row>
    <row r="788">
      <c r="F788" s="30"/>
      <c r="G788" s="20"/>
    </row>
    <row r="789">
      <c r="F789" s="30"/>
      <c r="G789" s="20"/>
    </row>
    <row r="790">
      <c r="F790" s="30"/>
      <c r="G790" s="20"/>
    </row>
    <row r="791">
      <c r="F791" s="30"/>
      <c r="G791" s="20"/>
    </row>
    <row r="792">
      <c r="F792" s="30"/>
      <c r="G792" s="20"/>
    </row>
    <row r="793">
      <c r="F793" s="30"/>
      <c r="G793" s="20"/>
    </row>
    <row r="794">
      <c r="F794" s="30"/>
      <c r="G794" s="20"/>
    </row>
    <row r="795">
      <c r="F795" s="30"/>
      <c r="G795" s="20"/>
    </row>
    <row r="796">
      <c r="F796" s="30"/>
      <c r="G796" s="20"/>
    </row>
    <row r="797">
      <c r="F797" s="30"/>
      <c r="G797" s="20"/>
    </row>
    <row r="798">
      <c r="F798" s="30"/>
      <c r="G798" s="20"/>
    </row>
    <row r="799">
      <c r="F799" s="30"/>
      <c r="G799" s="20"/>
    </row>
    <row r="800">
      <c r="F800" s="30"/>
      <c r="G800" s="20"/>
    </row>
    <row r="801">
      <c r="F801" s="30"/>
      <c r="G801" s="20"/>
    </row>
    <row r="802">
      <c r="F802" s="30"/>
      <c r="G802" s="20"/>
    </row>
    <row r="803">
      <c r="F803" s="30"/>
      <c r="G803" s="20"/>
    </row>
    <row r="804">
      <c r="F804" s="30"/>
      <c r="G804" s="20"/>
    </row>
    <row r="805">
      <c r="F805" s="30"/>
      <c r="G805" s="20"/>
    </row>
    <row r="806">
      <c r="F806" s="30"/>
      <c r="G806" s="20"/>
    </row>
    <row r="807">
      <c r="F807" s="30"/>
      <c r="G807" s="20"/>
    </row>
    <row r="808">
      <c r="F808" s="30"/>
      <c r="G808" s="20"/>
    </row>
    <row r="809">
      <c r="F809" s="30"/>
      <c r="G809" s="20"/>
    </row>
    <row r="810">
      <c r="F810" s="30"/>
      <c r="G810" s="20"/>
    </row>
    <row r="811">
      <c r="F811" s="30"/>
      <c r="G811" s="20"/>
    </row>
    <row r="812">
      <c r="F812" s="30"/>
      <c r="G812" s="20"/>
    </row>
    <row r="813">
      <c r="F813" s="30"/>
      <c r="G813" s="20"/>
    </row>
    <row r="814">
      <c r="F814" s="30"/>
      <c r="G814" s="20"/>
    </row>
    <row r="815">
      <c r="F815" s="30"/>
      <c r="G815" s="20"/>
    </row>
    <row r="816">
      <c r="F816" s="30"/>
      <c r="G816" s="20"/>
    </row>
    <row r="817">
      <c r="F817" s="30"/>
      <c r="G817" s="20"/>
    </row>
    <row r="818">
      <c r="F818" s="30"/>
      <c r="G818" s="20"/>
    </row>
    <row r="819">
      <c r="F819" s="30"/>
      <c r="G819" s="20"/>
    </row>
    <row r="820">
      <c r="F820" s="30"/>
      <c r="G820" s="20"/>
    </row>
    <row r="821">
      <c r="F821" s="30"/>
      <c r="G821" s="20"/>
    </row>
    <row r="822">
      <c r="F822" s="30"/>
      <c r="G822" s="20"/>
    </row>
    <row r="823">
      <c r="F823" s="30"/>
      <c r="G823" s="20"/>
    </row>
    <row r="824">
      <c r="F824" s="30"/>
      <c r="G824" s="20"/>
    </row>
    <row r="825">
      <c r="F825" s="30"/>
      <c r="G825" s="20"/>
    </row>
    <row r="826">
      <c r="F826" s="30"/>
      <c r="G826" s="20"/>
    </row>
    <row r="827">
      <c r="F827" s="30"/>
      <c r="G827" s="20"/>
    </row>
    <row r="828">
      <c r="F828" s="30"/>
      <c r="G828" s="20"/>
    </row>
    <row r="829">
      <c r="F829" s="30"/>
      <c r="G829" s="20"/>
    </row>
    <row r="830">
      <c r="F830" s="30"/>
      <c r="G830" s="20"/>
    </row>
    <row r="831">
      <c r="F831" s="30"/>
      <c r="G831" s="20"/>
    </row>
    <row r="832">
      <c r="F832" s="30"/>
      <c r="G832" s="20"/>
    </row>
    <row r="833">
      <c r="F833" s="30"/>
      <c r="G833" s="20"/>
    </row>
    <row r="834">
      <c r="F834" s="30"/>
      <c r="G834" s="20"/>
    </row>
    <row r="835">
      <c r="F835" s="30"/>
      <c r="G835" s="20"/>
    </row>
    <row r="836">
      <c r="F836" s="30"/>
      <c r="G836" s="20"/>
    </row>
    <row r="837">
      <c r="F837" s="30"/>
      <c r="G837" s="20"/>
    </row>
    <row r="838">
      <c r="F838" s="30"/>
      <c r="G838" s="20"/>
    </row>
    <row r="839">
      <c r="F839" s="30"/>
      <c r="G839" s="20"/>
    </row>
    <row r="840">
      <c r="F840" s="30"/>
      <c r="G840" s="20"/>
    </row>
    <row r="841">
      <c r="F841" s="30"/>
      <c r="G841" s="20"/>
    </row>
    <row r="842">
      <c r="F842" s="30"/>
      <c r="G842" s="20"/>
    </row>
    <row r="843">
      <c r="F843" s="30"/>
      <c r="G843" s="20"/>
    </row>
    <row r="844">
      <c r="F844" s="30"/>
      <c r="G844" s="20"/>
    </row>
    <row r="845">
      <c r="F845" s="30"/>
      <c r="G845" s="20"/>
    </row>
    <row r="846">
      <c r="F846" s="30"/>
      <c r="G846" s="20"/>
    </row>
    <row r="847">
      <c r="F847" s="30"/>
      <c r="G847" s="20"/>
    </row>
    <row r="848">
      <c r="F848" s="30"/>
      <c r="G848" s="20"/>
    </row>
    <row r="849">
      <c r="F849" s="30"/>
      <c r="G849" s="20"/>
    </row>
    <row r="850">
      <c r="F850" s="30"/>
      <c r="G850" s="20"/>
    </row>
    <row r="851">
      <c r="F851" s="30"/>
      <c r="G851" s="20"/>
    </row>
    <row r="852">
      <c r="F852" s="30"/>
      <c r="G852" s="20"/>
    </row>
    <row r="853">
      <c r="F853" s="30"/>
      <c r="G853" s="20"/>
    </row>
    <row r="854">
      <c r="F854" s="30"/>
      <c r="G854" s="20"/>
    </row>
    <row r="855">
      <c r="F855" s="30"/>
      <c r="G855" s="20"/>
    </row>
    <row r="856">
      <c r="F856" s="30"/>
      <c r="G856" s="20"/>
    </row>
    <row r="857">
      <c r="F857" s="30"/>
      <c r="G857" s="20"/>
    </row>
    <row r="858">
      <c r="F858" s="30"/>
      <c r="G858" s="20"/>
    </row>
    <row r="859">
      <c r="F859" s="30"/>
      <c r="G859" s="20"/>
    </row>
    <row r="860">
      <c r="F860" s="30"/>
      <c r="G860" s="20"/>
    </row>
    <row r="861">
      <c r="F861" s="30"/>
      <c r="G861" s="20"/>
    </row>
    <row r="862">
      <c r="F862" s="30"/>
      <c r="G862" s="20"/>
    </row>
    <row r="863">
      <c r="F863" s="30"/>
      <c r="G863" s="20"/>
    </row>
    <row r="864">
      <c r="F864" s="30"/>
      <c r="G864" s="20"/>
    </row>
    <row r="865">
      <c r="F865" s="30"/>
      <c r="G865" s="20"/>
    </row>
    <row r="866">
      <c r="F866" s="30"/>
      <c r="G866" s="20"/>
    </row>
    <row r="867">
      <c r="F867" s="30"/>
      <c r="G867" s="20"/>
    </row>
    <row r="868">
      <c r="F868" s="30"/>
      <c r="G868" s="20"/>
    </row>
    <row r="869">
      <c r="F869" s="30"/>
      <c r="G869" s="20"/>
    </row>
    <row r="870">
      <c r="F870" s="30"/>
      <c r="G870" s="20"/>
    </row>
    <row r="871">
      <c r="F871" s="30"/>
      <c r="G871" s="20"/>
    </row>
    <row r="872">
      <c r="F872" s="30"/>
      <c r="G872" s="20"/>
    </row>
    <row r="873">
      <c r="F873" s="30"/>
      <c r="G873" s="20"/>
    </row>
    <row r="874">
      <c r="F874" s="30"/>
      <c r="G874" s="20"/>
    </row>
    <row r="875">
      <c r="F875" s="30"/>
      <c r="G875" s="20"/>
    </row>
    <row r="876">
      <c r="F876" s="30"/>
      <c r="G876" s="20"/>
    </row>
    <row r="877">
      <c r="F877" s="30"/>
      <c r="G877" s="20"/>
    </row>
    <row r="878">
      <c r="F878" s="30"/>
      <c r="G878" s="20"/>
    </row>
    <row r="879">
      <c r="F879" s="30"/>
      <c r="G879" s="20"/>
    </row>
    <row r="880">
      <c r="F880" s="30"/>
      <c r="G880" s="20"/>
    </row>
    <row r="881">
      <c r="F881" s="30"/>
      <c r="G881" s="20"/>
    </row>
    <row r="882">
      <c r="F882" s="30"/>
      <c r="G882" s="20"/>
    </row>
    <row r="883">
      <c r="F883" s="30"/>
      <c r="G883" s="20"/>
    </row>
    <row r="884">
      <c r="F884" s="30"/>
      <c r="G884" s="20"/>
    </row>
    <row r="885">
      <c r="F885" s="30"/>
      <c r="G885" s="20"/>
    </row>
    <row r="886">
      <c r="F886" s="30"/>
      <c r="G886" s="20"/>
    </row>
    <row r="887">
      <c r="F887" s="30"/>
      <c r="G887" s="20"/>
    </row>
    <row r="888">
      <c r="F888" s="30"/>
      <c r="G888" s="20"/>
    </row>
    <row r="889">
      <c r="F889" s="30"/>
      <c r="G889" s="20"/>
    </row>
    <row r="890">
      <c r="F890" s="30"/>
      <c r="G890" s="20"/>
    </row>
    <row r="891">
      <c r="F891" s="30"/>
      <c r="G891" s="20"/>
    </row>
    <row r="892">
      <c r="F892" s="30"/>
      <c r="G892" s="20"/>
    </row>
    <row r="893">
      <c r="F893" s="30"/>
      <c r="G893" s="20"/>
    </row>
    <row r="894">
      <c r="F894" s="30"/>
      <c r="G894" s="20"/>
    </row>
    <row r="895">
      <c r="F895" s="30"/>
      <c r="G895" s="20"/>
    </row>
    <row r="896">
      <c r="F896" s="30"/>
      <c r="G896" s="20"/>
    </row>
    <row r="897">
      <c r="F897" s="30"/>
      <c r="G897" s="20"/>
    </row>
    <row r="898">
      <c r="F898" s="30"/>
      <c r="G898" s="20"/>
    </row>
    <row r="899">
      <c r="F899" s="30"/>
      <c r="G899" s="20"/>
    </row>
    <row r="900">
      <c r="F900" s="30"/>
      <c r="G900" s="20"/>
    </row>
    <row r="901">
      <c r="F901" s="30"/>
      <c r="G901" s="20"/>
    </row>
    <row r="902">
      <c r="F902" s="30"/>
      <c r="G902" s="20"/>
    </row>
    <row r="903">
      <c r="F903" s="30"/>
      <c r="G903" s="20"/>
    </row>
    <row r="904">
      <c r="F904" s="30"/>
      <c r="G904" s="20"/>
    </row>
    <row r="905">
      <c r="F905" s="30"/>
      <c r="G905" s="20"/>
    </row>
    <row r="906">
      <c r="F906" s="30"/>
      <c r="G906" s="20"/>
    </row>
    <row r="907">
      <c r="F907" s="30"/>
      <c r="G907" s="20"/>
    </row>
    <row r="908">
      <c r="F908" s="30"/>
      <c r="G908" s="20"/>
    </row>
    <row r="909">
      <c r="F909" s="30"/>
      <c r="G909" s="20"/>
    </row>
    <row r="910">
      <c r="F910" s="30"/>
      <c r="G910" s="20"/>
    </row>
    <row r="911">
      <c r="F911" s="30"/>
      <c r="G911" s="20"/>
    </row>
    <row r="912">
      <c r="F912" s="30"/>
      <c r="G912" s="20"/>
    </row>
    <row r="913">
      <c r="F913" s="30"/>
      <c r="G913" s="20"/>
    </row>
    <row r="914">
      <c r="F914" s="30"/>
      <c r="G914" s="20"/>
    </row>
    <row r="915">
      <c r="F915" s="30"/>
      <c r="G915" s="20"/>
    </row>
    <row r="916">
      <c r="F916" s="30"/>
      <c r="G916" s="20"/>
    </row>
    <row r="917">
      <c r="F917" s="30"/>
      <c r="G917" s="20"/>
    </row>
    <row r="918">
      <c r="F918" s="30"/>
      <c r="G918" s="20"/>
    </row>
    <row r="919">
      <c r="F919" s="30"/>
      <c r="G919" s="20"/>
    </row>
    <row r="920">
      <c r="F920" s="30"/>
      <c r="G920" s="20"/>
    </row>
    <row r="921">
      <c r="F921" s="30"/>
      <c r="G921" s="20"/>
    </row>
    <row r="922">
      <c r="F922" s="30"/>
      <c r="G922" s="20"/>
    </row>
    <row r="923">
      <c r="F923" s="30"/>
      <c r="G923" s="20"/>
    </row>
    <row r="924">
      <c r="F924" s="30"/>
      <c r="G924" s="20"/>
    </row>
    <row r="925">
      <c r="F925" s="30"/>
      <c r="G925" s="20"/>
    </row>
    <row r="926">
      <c r="F926" s="30"/>
      <c r="G926" s="20"/>
    </row>
    <row r="927">
      <c r="F927" s="30"/>
      <c r="G927" s="20"/>
    </row>
    <row r="928">
      <c r="F928" s="30"/>
      <c r="G928" s="20"/>
    </row>
    <row r="929">
      <c r="F929" s="30"/>
      <c r="G929" s="20"/>
    </row>
    <row r="930">
      <c r="F930" s="30"/>
      <c r="G930" s="20"/>
    </row>
    <row r="931">
      <c r="F931" s="30"/>
      <c r="G931" s="20"/>
    </row>
    <row r="932">
      <c r="F932" s="30"/>
      <c r="G932" s="20"/>
    </row>
    <row r="933">
      <c r="F933" s="30"/>
      <c r="G933" s="20"/>
    </row>
    <row r="934">
      <c r="F934" s="30"/>
      <c r="G934" s="20"/>
    </row>
    <row r="935">
      <c r="F935" s="30"/>
      <c r="G935" s="20"/>
    </row>
    <row r="936">
      <c r="F936" s="30"/>
      <c r="G936" s="20"/>
    </row>
    <row r="937">
      <c r="F937" s="30"/>
      <c r="G937" s="20"/>
    </row>
    <row r="938">
      <c r="F938" s="30"/>
      <c r="G938" s="20"/>
    </row>
    <row r="939">
      <c r="F939" s="30"/>
      <c r="G939" s="20"/>
    </row>
    <row r="940">
      <c r="F940" s="30"/>
      <c r="G940" s="20"/>
    </row>
    <row r="941">
      <c r="F941" s="30"/>
      <c r="G941" s="20"/>
    </row>
    <row r="942">
      <c r="F942" s="30"/>
      <c r="G942" s="20"/>
    </row>
    <row r="943">
      <c r="F943" s="30"/>
      <c r="G943" s="20"/>
    </row>
    <row r="944">
      <c r="F944" s="30"/>
      <c r="G944" s="20"/>
    </row>
    <row r="945">
      <c r="F945" s="30"/>
      <c r="G945" s="20"/>
    </row>
    <row r="946">
      <c r="F946" s="30"/>
      <c r="G946" s="20"/>
    </row>
    <row r="947">
      <c r="F947" s="30"/>
      <c r="G947" s="20"/>
    </row>
    <row r="948">
      <c r="F948" s="30"/>
      <c r="G948" s="20"/>
    </row>
    <row r="949">
      <c r="F949" s="30"/>
      <c r="G949" s="20"/>
    </row>
    <row r="950">
      <c r="F950" s="30"/>
      <c r="G950" s="20"/>
    </row>
    <row r="951">
      <c r="F951" s="30"/>
      <c r="G951" s="20"/>
    </row>
    <row r="952">
      <c r="F952" s="30"/>
      <c r="G952" s="20"/>
    </row>
    <row r="953">
      <c r="F953" s="30"/>
      <c r="G953" s="20"/>
    </row>
    <row r="954">
      <c r="F954" s="30"/>
      <c r="G954" s="20"/>
    </row>
    <row r="955">
      <c r="F955" s="30"/>
      <c r="G955" s="20"/>
    </row>
    <row r="956">
      <c r="F956" s="30"/>
      <c r="G956" s="20"/>
    </row>
    <row r="957">
      <c r="F957" s="30"/>
      <c r="G957" s="20"/>
    </row>
    <row r="958">
      <c r="F958" s="30"/>
      <c r="G958" s="20"/>
    </row>
    <row r="959">
      <c r="F959" s="30"/>
      <c r="G959" s="20"/>
    </row>
    <row r="960">
      <c r="F960" s="30"/>
      <c r="G960" s="20"/>
    </row>
    <row r="961">
      <c r="F961" s="30"/>
      <c r="G961" s="20"/>
    </row>
    <row r="962">
      <c r="F962" s="30"/>
      <c r="G962" s="20"/>
    </row>
    <row r="963">
      <c r="F963" s="30"/>
      <c r="G963" s="20"/>
    </row>
    <row r="964">
      <c r="F964" s="30"/>
      <c r="G964" s="20"/>
    </row>
    <row r="965">
      <c r="F965" s="30"/>
      <c r="G965" s="20"/>
    </row>
    <row r="966">
      <c r="F966" s="30"/>
      <c r="G966" s="20"/>
    </row>
    <row r="967">
      <c r="F967" s="30"/>
      <c r="G967" s="20"/>
    </row>
    <row r="968">
      <c r="F968" s="30"/>
      <c r="G968" s="20"/>
    </row>
    <row r="969">
      <c r="F969" s="30"/>
      <c r="G969" s="20"/>
    </row>
    <row r="970">
      <c r="F970" s="30"/>
      <c r="G970" s="20"/>
    </row>
    <row r="971">
      <c r="F971" s="30"/>
      <c r="G971" s="20"/>
    </row>
    <row r="972">
      <c r="F972" s="30"/>
      <c r="G972" s="20"/>
    </row>
    <row r="973">
      <c r="F973" s="30"/>
      <c r="G973" s="20"/>
    </row>
    <row r="974">
      <c r="F974" s="30"/>
      <c r="G974" s="20"/>
    </row>
    <row r="975">
      <c r="F975" s="30"/>
      <c r="G975" s="20"/>
    </row>
    <row r="976">
      <c r="F976" s="30"/>
      <c r="G976" s="20"/>
    </row>
    <row r="977">
      <c r="F977" s="30"/>
      <c r="G977" s="20"/>
    </row>
    <row r="978">
      <c r="F978" s="30"/>
      <c r="G978" s="20"/>
    </row>
    <row r="979">
      <c r="F979" s="30"/>
      <c r="G979" s="20"/>
    </row>
    <row r="980">
      <c r="F980" s="30"/>
      <c r="G980" s="20"/>
    </row>
    <row r="981">
      <c r="F981" s="30"/>
      <c r="G981" s="20"/>
    </row>
    <row r="982">
      <c r="F982" s="30"/>
      <c r="G982" s="20"/>
    </row>
    <row r="983">
      <c r="F983" s="30"/>
      <c r="G983" s="20"/>
    </row>
    <row r="984">
      <c r="F984" s="30"/>
      <c r="G984" s="20"/>
    </row>
    <row r="985">
      <c r="F985" s="30"/>
      <c r="G985" s="20"/>
    </row>
    <row r="986">
      <c r="F986" s="30"/>
      <c r="G986" s="20"/>
    </row>
    <row r="987">
      <c r="F987" s="30"/>
      <c r="G987" s="20"/>
    </row>
    <row r="988">
      <c r="F988" s="30"/>
      <c r="G988" s="20"/>
    </row>
    <row r="989">
      <c r="F989" s="30"/>
      <c r="G989" s="20"/>
    </row>
    <row r="990">
      <c r="F990" s="30"/>
      <c r="G990" s="20"/>
    </row>
    <row r="991">
      <c r="F991" s="30"/>
      <c r="G991" s="20"/>
    </row>
    <row r="992">
      <c r="F992" s="30"/>
      <c r="G992" s="20"/>
    </row>
    <row r="993">
      <c r="F993" s="30"/>
      <c r="G993" s="20"/>
    </row>
    <row r="994">
      <c r="F994" s="30"/>
      <c r="G994" s="20"/>
    </row>
    <row r="995">
      <c r="F995" s="30"/>
      <c r="G995" s="20"/>
    </row>
    <row r="996">
      <c r="F996" s="30"/>
      <c r="G996" s="20"/>
    </row>
    <row r="997">
      <c r="F997" s="30"/>
      <c r="G997" s="20"/>
    </row>
    <row r="998">
      <c r="F998" s="30"/>
      <c r="G998" s="20"/>
    </row>
    <row r="999">
      <c r="F999" s="30"/>
      <c r="G999" s="20"/>
    </row>
    <row r="1000">
      <c r="F1000" s="30"/>
      <c r="G1000" s="20"/>
    </row>
    <row r="1001">
      <c r="F1001" s="30"/>
      <c r="G1001" s="20"/>
    </row>
    <row r="1002">
      <c r="F1002" s="30"/>
      <c r="G1002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453</v>
      </c>
      <c r="B1" s="29"/>
      <c r="C1" s="36" t="s">
        <v>454</v>
      </c>
      <c r="D1" s="29">
        <f>SUMIF(C:C,"SOLES",B:B)+((SUMIF(C:C,"DOLARES",B:B))*A2)</f>
        <v>19087.64</v>
      </c>
      <c r="E1" s="39"/>
      <c r="F1" s="29"/>
    </row>
    <row r="2">
      <c r="A2" s="4">
        <v>3.38</v>
      </c>
      <c r="E2" s="40"/>
    </row>
    <row r="3">
      <c r="A3" s="29" t="s">
        <v>455</v>
      </c>
      <c r="B3" s="29" t="s">
        <v>425</v>
      </c>
      <c r="C3" s="29" t="s">
        <v>456</v>
      </c>
      <c r="D3" s="29" t="s">
        <v>457</v>
      </c>
      <c r="E3" s="41" t="s">
        <v>458</v>
      </c>
      <c r="F3" s="29" t="s">
        <v>459</v>
      </c>
      <c r="H3" s="4">
        <v>3700.0</v>
      </c>
      <c r="I3" s="4">
        <v>3200.0</v>
      </c>
      <c r="J3" s="4">
        <v>500.0</v>
      </c>
      <c r="K3" s="4">
        <v>500.0</v>
      </c>
      <c r="L3" s="26">
        <f>K4/K3</f>
        <v>3.346</v>
      </c>
      <c r="M3" s="4">
        <v>380.0</v>
      </c>
    </row>
    <row r="4">
      <c r="A4" s="42">
        <v>45870.0</v>
      </c>
      <c r="B4" s="28">
        <v>1000.0</v>
      </c>
      <c r="C4" s="29" t="s">
        <v>460</v>
      </c>
      <c r="D4" s="29" t="s">
        <v>461</v>
      </c>
      <c r="E4" s="43" t="s">
        <v>462</v>
      </c>
      <c r="F4" s="34" t="b">
        <v>0</v>
      </c>
      <c r="K4" s="4">
        <v>1673.0</v>
      </c>
      <c r="M4" s="26">
        <f>M3*L3</f>
        <v>1271.48</v>
      </c>
    </row>
    <row r="5">
      <c r="A5" s="44">
        <v>45915.0</v>
      </c>
      <c r="B5" s="28">
        <v>1200.0</v>
      </c>
      <c r="C5" s="29" t="s">
        <v>463</v>
      </c>
      <c r="D5" s="29" t="s">
        <v>464</v>
      </c>
      <c r="E5" s="43" t="s">
        <v>465</v>
      </c>
      <c r="F5" s="34" t="b">
        <v>0</v>
      </c>
    </row>
    <row r="6">
      <c r="A6" s="44">
        <v>45924.0</v>
      </c>
      <c r="B6" s="28">
        <v>269.0</v>
      </c>
      <c r="C6" s="29" t="s">
        <v>460</v>
      </c>
      <c r="D6" s="29" t="s">
        <v>461</v>
      </c>
      <c r="E6" s="43" t="s">
        <v>464</v>
      </c>
      <c r="F6" s="34" t="b">
        <v>0</v>
      </c>
    </row>
    <row r="7">
      <c r="A7" s="42">
        <v>45925.0</v>
      </c>
      <c r="B7" s="36">
        <v>240.0</v>
      </c>
      <c r="C7" s="36" t="s">
        <v>460</v>
      </c>
      <c r="D7" s="36" t="s">
        <v>461</v>
      </c>
      <c r="E7" s="43" t="s">
        <v>466</v>
      </c>
      <c r="F7" s="34" t="b">
        <v>0</v>
      </c>
    </row>
    <row r="8">
      <c r="A8" s="42">
        <v>45935.0</v>
      </c>
      <c r="B8" s="36">
        <v>1400.0</v>
      </c>
      <c r="C8" s="36" t="s">
        <v>463</v>
      </c>
      <c r="D8" s="36" t="s">
        <v>464</v>
      </c>
      <c r="E8" s="43" t="s">
        <v>465</v>
      </c>
      <c r="F8" s="34" t="b">
        <v>0</v>
      </c>
    </row>
    <row r="9">
      <c r="A9" s="42">
        <v>45937.0</v>
      </c>
      <c r="B9" s="36">
        <v>1000.0</v>
      </c>
      <c r="C9" s="36" t="s">
        <v>460</v>
      </c>
      <c r="D9" s="29" t="s">
        <v>461</v>
      </c>
      <c r="E9" s="43" t="s">
        <v>462</v>
      </c>
      <c r="F9" s="34" t="b">
        <v>0</v>
      </c>
    </row>
    <row r="10">
      <c r="A10" s="42">
        <v>45939.0</v>
      </c>
      <c r="B10" s="36">
        <v>800.0</v>
      </c>
      <c r="C10" s="36" t="s">
        <v>460</v>
      </c>
      <c r="D10" s="36" t="s">
        <v>461</v>
      </c>
      <c r="E10" s="43" t="s">
        <v>464</v>
      </c>
      <c r="F10" s="34" t="b">
        <v>0</v>
      </c>
    </row>
    <row r="11">
      <c r="A11" s="45">
        <v>45947.0</v>
      </c>
      <c r="B11" s="36">
        <v>200.0</v>
      </c>
      <c r="C11" s="36" t="s">
        <v>460</v>
      </c>
      <c r="D11" s="36" t="s">
        <v>461</v>
      </c>
      <c r="E11" s="43" t="s">
        <v>464</v>
      </c>
      <c r="F11" s="34" t="b">
        <v>0</v>
      </c>
    </row>
    <row r="12">
      <c r="A12" s="37">
        <v>45951.0</v>
      </c>
      <c r="B12" s="4">
        <v>356.0</v>
      </c>
      <c r="C12" s="4" t="s">
        <v>460</v>
      </c>
      <c r="D12" s="4" t="s">
        <v>461</v>
      </c>
      <c r="E12" s="43" t="s">
        <v>464</v>
      </c>
      <c r="F12" s="34" t="b">
        <v>0</v>
      </c>
    </row>
    <row r="13">
      <c r="A13" s="37">
        <v>45989.0</v>
      </c>
      <c r="B13" s="4">
        <v>490.0</v>
      </c>
      <c r="C13" s="4" t="s">
        <v>460</v>
      </c>
      <c r="D13" s="4" t="s">
        <v>461</v>
      </c>
      <c r="E13" s="31" t="s">
        <v>467</v>
      </c>
      <c r="F13" s="34" t="b">
        <v>0</v>
      </c>
    </row>
    <row r="14">
      <c r="A14" s="37">
        <v>45989.0</v>
      </c>
      <c r="B14" s="4">
        <v>523.0</v>
      </c>
      <c r="C14" s="4" t="s">
        <v>460</v>
      </c>
      <c r="D14" s="4" t="s">
        <v>461</v>
      </c>
      <c r="E14" s="31" t="s">
        <v>464</v>
      </c>
      <c r="F14" s="34" t="b">
        <v>0</v>
      </c>
    </row>
    <row r="15">
      <c r="E15" s="40"/>
      <c r="F15" s="34" t="b">
        <v>0</v>
      </c>
    </row>
    <row r="16">
      <c r="E16" s="40"/>
      <c r="F16" s="34" t="b">
        <v>0</v>
      </c>
    </row>
    <row r="17">
      <c r="E17" s="40"/>
      <c r="F17" s="34" t="b">
        <v>0</v>
      </c>
    </row>
    <row r="18">
      <c r="E18" s="40"/>
      <c r="F18" s="34" t="b">
        <v>0</v>
      </c>
    </row>
    <row r="19">
      <c r="E19" s="40"/>
      <c r="F19" s="34" t="b">
        <v>0</v>
      </c>
    </row>
    <row r="20">
      <c r="E20" s="40"/>
    </row>
    <row r="21">
      <c r="E21" s="40"/>
    </row>
    <row r="22">
      <c r="E22" s="40"/>
    </row>
    <row r="23">
      <c r="E23" s="40"/>
    </row>
    <row r="24">
      <c r="E24" s="40"/>
    </row>
    <row r="25">
      <c r="E25" s="40"/>
    </row>
    <row r="26">
      <c r="E26" s="40"/>
    </row>
    <row r="27">
      <c r="E27" s="40"/>
    </row>
    <row r="28">
      <c r="E28" s="40"/>
    </row>
    <row r="29">
      <c r="E29" s="40"/>
    </row>
    <row r="30">
      <c r="E30" s="40"/>
    </row>
    <row r="31">
      <c r="E31" s="40"/>
    </row>
    <row r="32">
      <c r="E32" s="40"/>
    </row>
    <row r="33">
      <c r="E33" s="40"/>
    </row>
    <row r="34">
      <c r="E34" s="40"/>
    </row>
    <row r="35">
      <c r="E35" s="40"/>
    </row>
    <row r="36">
      <c r="E36" s="40"/>
    </row>
    <row r="37">
      <c r="E37" s="40"/>
    </row>
    <row r="38">
      <c r="E38" s="40"/>
    </row>
    <row r="39">
      <c r="E39" s="40"/>
    </row>
    <row r="40">
      <c r="E40" s="40"/>
    </row>
    <row r="41">
      <c r="E41" s="40"/>
    </row>
    <row r="42">
      <c r="E42" s="40"/>
    </row>
    <row r="43">
      <c r="E43" s="40"/>
    </row>
    <row r="44">
      <c r="E44" s="40"/>
    </row>
    <row r="45">
      <c r="E45" s="40"/>
    </row>
    <row r="46">
      <c r="E46" s="40"/>
    </row>
    <row r="47">
      <c r="E47" s="40"/>
    </row>
    <row r="48">
      <c r="E48" s="40"/>
    </row>
    <row r="49">
      <c r="E49" s="40"/>
    </row>
    <row r="50">
      <c r="E50" s="40"/>
    </row>
    <row r="51">
      <c r="E51" s="40"/>
    </row>
    <row r="52">
      <c r="E52" s="40"/>
    </row>
    <row r="53">
      <c r="E53" s="40"/>
    </row>
    <row r="54">
      <c r="E54" s="40"/>
    </row>
    <row r="55">
      <c r="E55" s="40"/>
    </row>
    <row r="56">
      <c r="E56" s="40"/>
    </row>
    <row r="57">
      <c r="E57" s="40"/>
    </row>
    <row r="58">
      <c r="E58" s="40"/>
    </row>
    <row r="59">
      <c r="E59" s="40"/>
    </row>
    <row r="60">
      <c r="E60" s="40"/>
    </row>
    <row r="61">
      <c r="E61" s="40"/>
    </row>
    <row r="62">
      <c r="E62" s="40"/>
    </row>
    <row r="63">
      <c r="E63" s="40"/>
    </row>
    <row r="64">
      <c r="E64" s="40"/>
    </row>
    <row r="65">
      <c r="E65" s="40"/>
    </row>
    <row r="66">
      <c r="E66" s="40"/>
    </row>
    <row r="67">
      <c r="E67" s="40"/>
    </row>
    <row r="68">
      <c r="E68" s="40"/>
    </row>
    <row r="69">
      <c r="E69" s="40"/>
    </row>
    <row r="70">
      <c r="E70" s="40"/>
    </row>
    <row r="71">
      <c r="E71" s="40"/>
    </row>
    <row r="72">
      <c r="E72" s="40"/>
    </row>
    <row r="73">
      <c r="E73" s="40"/>
    </row>
    <row r="74">
      <c r="E74" s="40"/>
    </row>
    <row r="75">
      <c r="E75" s="40"/>
    </row>
    <row r="76">
      <c r="E76" s="40"/>
    </row>
    <row r="77">
      <c r="E77" s="40"/>
    </row>
    <row r="78">
      <c r="E78" s="40"/>
    </row>
    <row r="79">
      <c r="E79" s="40"/>
    </row>
    <row r="80">
      <c r="E80" s="40"/>
    </row>
    <row r="81">
      <c r="E81" s="40"/>
    </row>
    <row r="82">
      <c r="E82" s="40"/>
    </row>
    <row r="83">
      <c r="E83" s="40"/>
    </row>
    <row r="84">
      <c r="E84" s="40"/>
    </row>
    <row r="85">
      <c r="E85" s="40"/>
    </row>
    <row r="86">
      <c r="E86" s="40"/>
    </row>
    <row r="87">
      <c r="E87" s="40"/>
    </row>
    <row r="88">
      <c r="E88" s="40"/>
    </row>
    <row r="89">
      <c r="E89" s="40"/>
    </row>
    <row r="90">
      <c r="E90" s="40"/>
    </row>
    <row r="91">
      <c r="E91" s="40"/>
    </row>
    <row r="92">
      <c r="E92" s="40"/>
    </row>
    <row r="93">
      <c r="E93" s="40"/>
    </row>
    <row r="94">
      <c r="E94" s="40"/>
    </row>
    <row r="95">
      <c r="E95" s="40"/>
    </row>
    <row r="96">
      <c r="E96" s="40"/>
    </row>
    <row r="97">
      <c r="E97" s="40"/>
    </row>
    <row r="98">
      <c r="E98" s="40"/>
    </row>
    <row r="99">
      <c r="E99" s="40"/>
    </row>
    <row r="100">
      <c r="E100" s="40"/>
    </row>
    <row r="101">
      <c r="E101" s="40"/>
    </row>
    <row r="102">
      <c r="E102" s="40"/>
    </row>
    <row r="103">
      <c r="E103" s="40"/>
    </row>
    <row r="104">
      <c r="E104" s="40"/>
    </row>
    <row r="105">
      <c r="E105" s="40"/>
    </row>
    <row r="106">
      <c r="E106" s="40"/>
    </row>
    <row r="107">
      <c r="E107" s="40"/>
    </row>
    <row r="108">
      <c r="E108" s="40"/>
    </row>
    <row r="109">
      <c r="E109" s="40"/>
    </row>
    <row r="110">
      <c r="E110" s="40"/>
    </row>
    <row r="111">
      <c r="E111" s="40"/>
    </row>
    <row r="112">
      <c r="E112" s="40"/>
    </row>
    <row r="113">
      <c r="E113" s="40"/>
    </row>
    <row r="114">
      <c r="E114" s="40"/>
    </row>
    <row r="115">
      <c r="E115" s="40"/>
    </row>
    <row r="116">
      <c r="E116" s="40"/>
    </row>
    <row r="117">
      <c r="E117" s="40"/>
    </row>
    <row r="118">
      <c r="E118" s="40"/>
    </row>
    <row r="119">
      <c r="E119" s="40"/>
    </row>
    <row r="120">
      <c r="E120" s="40"/>
    </row>
    <row r="121">
      <c r="E121" s="40"/>
    </row>
    <row r="122">
      <c r="E122" s="40"/>
    </row>
    <row r="123">
      <c r="E123" s="40"/>
    </row>
    <row r="124">
      <c r="E124" s="40"/>
    </row>
    <row r="125">
      <c r="E125" s="40"/>
    </row>
    <row r="126">
      <c r="E126" s="40"/>
    </row>
    <row r="127">
      <c r="E127" s="40"/>
    </row>
    <row r="128">
      <c r="E128" s="40"/>
    </row>
    <row r="129">
      <c r="E129" s="40"/>
    </row>
    <row r="130">
      <c r="E130" s="40"/>
    </row>
    <row r="131">
      <c r="E131" s="40"/>
    </row>
    <row r="132">
      <c r="E132" s="40"/>
    </row>
    <row r="133">
      <c r="E133" s="40"/>
    </row>
    <row r="134">
      <c r="E134" s="40"/>
    </row>
    <row r="135">
      <c r="E135" s="40"/>
    </row>
    <row r="136">
      <c r="E136" s="40"/>
    </row>
    <row r="137">
      <c r="E137" s="40"/>
    </row>
    <row r="138">
      <c r="E138" s="40"/>
    </row>
    <row r="139">
      <c r="E139" s="40"/>
    </row>
    <row r="140">
      <c r="E140" s="40"/>
    </row>
    <row r="141">
      <c r="E141" s="40"/>
    </row>
    <row r="142">
      <c r="E142" s="40"/>
    </row>
    <row r="143">
      <c r="E143" s="40"/>
    </row>
    <row r="144">
      <c r="E144" s="40"/>
    </row>
    <row r="145">
      <c r="E145" s="40"/>
    </row>
    <row r="146">
      <c r="E146" s="40"/>
    </row>
    <row r="147">
      <c r="E147" s="40"/>
    </row>
    <row r="148">
      <c r="E148" s="40"/>
    </row>
    <row r="149">
      <c r="E149" s="40"/>
    </row>
    <row r="150">
      <c r="E150" s="40"/>
    </row>
    <row r="151">
      <c r="E151" s="40"/>
    </row>
    <row r="152">
      <c r="E152" s="40"/>
    </row>
    <row r="153">
      <c r="E153" s="40"/>
    </row>
    <row r="154">
      <c r="E154" s="40"/>
    </row>
    <row r="155">
      <c r="E155" s="40"/>
    </row>
    <row r="156">
      <c r="E156" s="40"/>
    </row>
    <row r="157">
      <c r="E157" s="40"/>
    </row>
    <row r="158">
      <c r="E158" s="40"/>
    </row>
    <row r="159">
      <c r="E159" s="40"/>
    </row>
    <row r="160">
      <c r="E160" s="40"/>
    </row>
    <row r="161">
      <c r="E161" s="40"/>
    </row>
    <row r="162">
      <c r="E162" s="40"/>
    </row>
    <row r="163">
      <c r="E163" s="40"/>
    </row>
    <row r="164">
      <c r="E164" s="40"/>
    </row>
    <row r="165">
      <c r="E165" s="40"/>
    </row>
    <row r="166">
      <c r="E166" s="40"/>
    </row>
    <row r="167">
      <c r="E167" s="40"/>
    </row>
    <row r="168">
      <c r="E168" s="40"/>
    </row>
    <row r="169">
      <c r="E169" s="40"/>
    </row>
    <row r="170">
      <c r="E170" s="40"/>
    </row>
    <row r="171">
      <c r="E171" s="40"/>
    </row>
    <row r="172">
      <c r="E172" s="40"/>
    </row>
    <row r="173">
      <c r="E173" s="40"/>
    </row>
    <row r="174">
      <c r="E174" s="40"/>
    </row>
    <row r="175">
      <c r="E175" s="40"/>
    </row>
    <row r="176">
      <c r="E176" s="40"/>
    </row>
    <row r="177">
      <c r="E177" s="40"/>
    </row>
    <row r="178">
      <c r="E178" s="40"/>
    </row>
    <row r="179">
      <c r="E179" s="40"/>
    </row>
    <row r="180">
      <c r="E180" s="40"/>
    </row>
    <row r="181">
      <c r="E181" s="40"/>
    </row>
    <row r="182">
      <c r="E182" s="40"/>
    </row>
    <row r="183">
      <c r="E183" s="40"/>
    </row>
    <row r="184">
      <c r="E184" s="40"/>
    </row>
    <row r="185">
      <c r="E185" s="40"/>
    </row>
    <row r="186">
      <c r="E186" s="40"/>
    </row>
    <row r="187">
      <c r="E187" s="40"/>
    </row>
    <row r="188">
      <c r="E188" s="40"/>
    </row>
    <row r="189">
      <c r="E189" s="40"/>
    </row>
    <row r="190">
      <c r="E190" s="40"/>
    </row>
    <row r="191">
      <c r="E191" s="40"/>
    </row>
    <row r="192">
      <c r="E192" s="40"/>
    </row>
    <row r="193">
      <c r="E193" s="40"/>
    </row>
    <row r="194">
      <c r="E194" s="40"/>
    </row>
    <row r="195">
      <c r="E195" s="40"/>
    </row>
    <row r="196">
      <c r="E196" s="40"/>
    </row>
    <row r="197">
      <c r="E197" s="40"/>
    </row>
    <row r="198">
      <c r="E198" s="40"/>
    </row>
    <row r="199">
      <c r="E199" s="40"/>
    </row>
    <row r="200">
      <c r="E200" s="40"/>
    </row>
    <row r="201">
      <c r="E201" s="40"/>
    </row>
    <row r="202">
      <c r="E202" s="40"/>
    </row>
    <row r="203">
      <c r="E203" s="40"/>
    </row>
    <row r="204">
      <c r="E204" s="40"/>
    </row>
    <row r="205">
      <c r="E205" s="40"/>
    </row>
    <row r="206">
      <c r="E206" s="40"/>
    </row>
    <row r="207">
      <c r="E207" s="40"/>
    </row>
    <row r="208">
      <c r="E208" s="40"/>
    </row>
    <row r="209">
      <c r="E209" s="40"/>
    </row>
    <row r="210">
      <c r="E210" s="40"/>
    </row>
    <row r="211">
      <c r="E211" s="40"/>
    </row>
    <row r="212">
      <c r="E212" s="40"/>
    </row>
    <row r="213">
      <c r="E213" s="40"/>
    </row>
    <row r="214">
      <c r="E214" s="40"/>
    </row>
    <row r="215">
      <c r="E215" s="40"/>
    </row>
    <row r="216">
      <c r="E216" s="40"/>
    </row>
    <row r="217">
      <c r="E217" s="40"/>
    </row>
    <row r="218">
      <c r="E218" s="40"/>
    </row>
    <row r="219">
      <c r="E219" s="40"/>
    </row>
    <row r="220">
      <c r="E220" s="40"/>
    </row>
    <row r="221">
      <c r="E221" s="40"/>
    </row>
    <row r="222">
      <c r="E222" s="40"/>
    </row>
    <row r="223">
      <c r="E223" s="40"/>
    </row>
    <row r="224">
      <c r="E224" s="40"/>
    </row>
    <row r="225">
      <c r="E225" s="40"/>
    </row>
    <row r="226">
      <c r="E226" s="40"/>
    </row>
    <row r="227">
      <c r="E227" s="40"/>
    </row>
    <row r="228">
      <c r="E228" s="40"/>
    </row>
    <row r="229">
      <c r="E229" s="40"/>
    </row>
    <row r="230">
      <c r="E230" s="40"/>
    </row>
    <row r="231">
      <c r="E231" s="40"/>
    </row>
    <row r="232">
      <c r="E232" s="40"/>
    </row>
    <row r="233">
      <c r="E233" s="40"/>
    </row>
    <row r="234">
      <c r="E234" s="40"/>
    </row>
    <row r="235">
      <c r="E235" s="40"/>
    </row>
    <row r="236">
      <c r="E236" s="40"/>
    </row>
    <row r="237">
      <c r="E237" s="40"/>
    </row>
    <row r="238">
      <c r="E238" s="40"/>
    </row>
    <row r="239">
      <c r="E239" s="40"/>
    </row>
    <row r="240">
      <c r="E240" s="40"/>
    </row>
    <row r="241">
      <c r="E241" s="40"/>
    </row>
    <row r="242">
      <c r="E242" s="40"/>
    </row>
    <row r="243">
      <c r="E243" s="40"/>
    </row>
    <row r="244">
      <c r="E244" s="40"/>
    </row>
    <row r="245">
      <c r="E245" s="40"/>
    </row>
    <row r="246">
      <c r="E246" s="40"/>
    </row>
    <row r="247">
      <c r="E247" s="40"/>
    </row>
    <row r="248">
      <c r="E248" s="40"/>
    </row>
    <row r="249">
      <c r="E249" s="40"/>
    </row>
    <row r="250">
      <c r="E250" s="40"/>
    </row>
    <row r="251">
      <c r="E251" s="40"/>
    </row>
    <row r="252">
      <c r="E252" s="40"/>
    </row>
    <row r="253">
      <c r="E253" s="40"/>
    </row>
    <row r="254">
      <c r="E254" s="40"/>
    </row>
    <row r="255">
      <c r="E255" s="40"/>
    </row>
    <row r="256">
      <c r="E256" s="40"/>
    </row>
    <row r="257">
      <c r="E257" s="40"/>
    </row>
    <row r="258">
      <c r="E258" s="40"/>
    </row>
    <row r="259">
      <c r="E259" s="40"/>
    </row>
    <row r="260">
      <c r="E260" s="40"/>
    </row>
    <row r="261">
      <c r="E261" s="40"/>
    </row>
    <row r="262">
      <c r="E262" s="40"/>
    </row>
    <row r="263">
      <c r="E263" s="40"/>
    </row>
    <row r="264">
      <c r="E264" s="40"/>
    </row>
    <row r="265">
      <c r="E265" s="40"/>
    </row>
    <row r="266">
      <c r="E266" s="40"/>
    </row>
    <row r="267">
      <c r="E267" s="40"/>
    </row>
    <row r="268">
      <c r="E268" s="40"/>
    </row>
    <row r="269">
      <c r="E269" s="40"/>
    </row>
    <row r="270">
      <c r="E270" s="40"/>
    </row>
    <row r="271">
      <c r="E271" s="40"/>
    </row>
    <row r="272">
      <c r="E272" s="40"/>
    </row>
    <row r="273">
      <c r="E273" s="40"/>
    </row>
    <row r="274">
      <c r="E274" s="40"/>
    </row>
    <row r="275">
      <c r="E275" s="40"/>
    </row>
    <row r="276">
      <c r="E276" s="40"/>
    </row>
    <row r="277">
      <c r="E277" s="40"/>
    </row>
    <row r="278">
      <c r="E278" s="40"/>
    </row>
    <row r="279">
      <c r="E279" s="40"/>
    </row>
    <row r="280">
      <c r="E280" s="40"/>
    </row>
    <row r="281">
      <c r="E281" s="40"/>
    </row>
    <row r="282">
      <c r="E282" s="40"/>
    </row>
    <row r="283">
      <c r="E283" s="40"/>
    </row>
    <row r="284">
      <c r="E284" s="40"/>
    </row>
    <row r="285">
      <c r="E285" s="40"/>
    </row>
    <row r="286">
      <c r="E286" s="40"/>
    </row>
    <row r="287">
      <c r="E287" s="40"/>
    </row>
    <row r="288">
      <c r="E288" s="40"/>
    </row>
    <row r="289">
      <c r="E289" s="40"/>
    </row>
    <row r="290">
      <c r="E290" s="40"/>
    </row>
    <row r="291">
      <c r="E291" s="40"/>
    </row>
    <row r="292">
      <c r="E292" s="40"/>
    </row>
    <row r="293">
      <c r="E293" s="40"/>
    </row>
    <row r="294">
      <c r="E294" s="40"/>
    </row>
    <row r="295">
      <c r="E295" s="40"/>
    </row>
    <row r="296">
      <c r="E296" s="40"/>
    </row>
    <row r="297">
      <c r="E297" s="40"/>
    </row>
    <row r="298">
      <c r="E298" s="40"/>
    </row>
    <row r="299">
      <c r="E299" s="40"/>
    </row>
    <row r="300">
      <c r="E300" s="40"/>
    </row>
    <row r="301">
      <c r="E301" s="40"/>
    </row>
    <row r="302">
      <c r="E302" s="40"/>
    </row>
    <row r="303">
      <c r="E303" s="40"/>
    </row>
    <row r="304">
      <c r="E304" s="40"/>
    </row>
    <row r="305">
      <c r="E305" s="40"/>
    </row>
    <row r="306">
      <c r="E306" s="40"/>
    </row>
    <row r="307">
      <c r="E307" s="40"/>
    </row>
    <row r="308">
      <c r="E308" s="40"/>
    </row>
    <row r="309">
      <c r="E309" s="40"/>
    </row>
    <row r="310">
      <c r="E310" s="40"/>
    </row>
    <row r="311">
      <c r="E311" s="40"/>
    </row>
    <row r="312">
      <c r="E312" s="40"/>
    </row>
    <row r="313">
      <c r="E313" s="40"/>
    </row>
    <row r="314">
      <c r="E314" s="40"/>
    </row>
    <row r="315">
      <c r="E315" s="40"/>
    </row>
    <row r="316">
      <c r="E316" s="40"/>
    </row>
    <row r="317">
      <c r="E317" s="40"/>
    </row>
    <row r="318">
      <c r="E318" s="40"/>
    </row>
    <row r="319">
      <c r="E319" s="40"/>
    </row>
    <row r="320">
      <c r="E320" s="40"/>
    </row>
    <row r="321">
      <c r="E321" s="40"/>
    </row>
    <row r="322">
      <c r="E322" s="40"/>
    </row>
    <row r="323">
      <c r="E323" s="40"/>
    </row>
    <row r="324">
      <c r="E324" s="40"/>
    </row>
    <row r="325">
      <c r="E325" s="40"/>
    </row>
    <row r="326">
      <c r="E326" s="40"/>
    </row>
    <row r="327">
      <c r="E327" s="40"/>
    </row>
    <row r="328">
      <c r="E328" s="40"/>
    </row>
    <row r="329">
      <c r="E329" s="40"/>
    </row>
    <row r="330">
      <c r="E330" s="40"/>
    </row>
    <row r="331">
      <c r="E331" s="40"/>
    </row>
    <row r="332">
      <c r="E332" s="40"/>
    </row>
    <row r="333">
      <c r="E333" s="40"/>
    </row>
    <row r="334">
      <c r="E334" s="40"/>
    </row>
    <row r="335">
      <c r="E335" s="40"/>
    </row>
    <row r="336">
      <c r="E336" s="40"/>
    </row>
    <row r="337">
      <c r="E337" s="40"/>
    </row>
    <row r="338">
      <c r="E338" s="40"/>
    </row>
    <row r="339">
      <c r="E339" s="40"/>
    </row>
    <row r="340">
      <c r="E340" s="40"/>
    </row>
    <row r="341">
      <c r="E341" s="40"/>
    </row>
    <row r="342">
      <c r="E342" s="40"/>
    </row>
    <row r="343">
      <c r="E343" s="40"/>
    </row>
    <row r="344">
      <c r="E344" s="40"/>
    </row>
    <row r="345">
      <c r="E345" s="40"/>
    </row>
    <row r="346">
      <c r="E346" s="40"/>
    </row>
    <row r="347">
      <c r="E347" s="40"/>
    </row>
    <row r="348">
      <c r="E348" s="40"/>
    </row>
    <row r="349">
      <c r="E349" s="40"/>
    </row>
    <row r="350">
      <c r="E350" s="40"/>
    </row>
    <row r="351">
      <c r="E351" s="40"/>
    </row>
    <row r="352">
      <c r="E352" s="40"/>
    </row>
    <row r="353">
      <c r="E353" s="40"/>
    </row>
    <row r="354">
      <c r="E354" s="40"/>
    </row>
    <row r="355">
      <c r="E355" s="40"/>
    </row>
    <row r="356">
      <c r="E356" s="40"/>
    </row>
    <row r="357">
      <c r="E357" s="40"/>
    </row>
    <row r="358">
      <c r="E358" s="40"/>
    </row>
    <row r="359">
      <c r="E359" s="40"/>
    </row>
    <row r="360">
      <c r="E360" s="40"/>
    </row>
    <row r="361">
      <c r="E361" s="40"/>
    </row>
    <row r="362">
      <c r="E362" s="40"/>
    </row>
    <row r="363">
      <c r="E363" s="40"/>
    </row>
    <row r="364">
      <c r="E364" s="40"/>
    </row>
    <row r="365">
      <c r="E365" s="40"/>
    </row>
    <row r="366">
      <c r="E366" s="40"/>
    </row>
    <row r="367">
      <c r="E367" s="40"/>
    </row>
    <row r="368">
      <c r="E368" s="40"/>
    </row>
    <row r="369">
      <c r="E369" s="40"/>
    </row>
    <row r="370">
      <c r="E370" s="40"/>
    </row>
    <row r="371">
      <c r="E371" s="40"/>
    </row>
    <row r="372">
      <c r="E372" s="40"/>
    </row>
    <row r="373">
      <c r="E373" s="40"/>
    </row>
    <row r="374">
      <c r="E374" s="40"/>
    </row>
    <row r="375">
      <c r="E375" s="40"/>
    </row>
    <row r="376">
      <c r="E376" s="40"/>
    </row>
    <row r="377">
      <c r="E377" s="40"/>
    </row>
    <row r="378">
      <c r="E378" s="40"/>
    </row>
    <row r="379">
      <c r="E379" s="40"/>
    </row>
    <row r="380">
      <c r="E380" s="40"/>
    </row>
    <row r="381">
      <c r="E381" s="40"/>
    </row>
    <row r="382">
      <c r="E382" s="40"/>
    </row>
    <row r="383">
      <c r="E383" s="40"/>
    </row>
    <row r="384">
      <c r="E384" s="40"/>
    </row>
    <row r="385">
      <c r="E385" s="40"/>
    </row>
    <row r="386">
      <c r="E386" s="40"/>
    </row>
    <row r="387">
      <c r="E387" s="40"/>
    </row>
    <row r="388">
      <c r="E388" s="40"/>
    </row>
    <row r="389">
      <c r="E389" s="40"/>
    </row>
    <row r="390">
      <c r="E390" s="40"/>
    </row>
    <row r="391">
      <c r="E391" s="40"/>
    </row>
    <row r="392">
      <c r="E392" s="40"/>
    </row>
    <row r="393">
      <c r="E393" s="40"/>
    </row>
    <row r="394">
      <c r="E394" s="40"/>
    </row>
    <row r="395">
      <c r="E395" s="40"/>
    </row>
    <row r="396">
      <c r="E396" s="40"/>
    </row>
    <row r="397">
      <c r="E397" s="40"/>
    </row>
    <row r="398">
      <c r="E398" s="40"/>
    </row>
    <row r="399">
      <c r="E399" s="40"/>
    </row>
    <row r="400">
      <c r="E400" s="40"/>
    </row>
    <row r="401">
      <c r="E401" s="40"/>
    </row>
    <row r="402">
      <c r="E402" s="40"/>
    </row>
    <row r="403">
      <c r="E403" s="40"/>
    </row>
    <row r="404">
      <c r="E404" s="40"/>
    </row>
    <row r="405">
      <c r="E405" s="40"/>
    </row>
    <row r="406">
      <c r="E406" s="40"/>
    </row>
    <row r="407">
      <c r="E407" s="40"/>
    </row>
    <row r="408">
      <c r="E408" s="40"/>
    </row>
    <row r="409">
      <c r="E409" s="40"/>
    </row>
    <row r="410">
      <c r="E410" s="40"/>
    </row>
    <row r="411">
      <c r="E411" s="40"/>
    </row>
    <row r="412">
      <c r="E412" s="40"/>
    </row>
    <row r="413">
      <c r="E413" s="40"/>
    </row>
    <row r="414">
      <c r="E414" s="40"/>
    </row>
    <row r="415">
      <c r="E415" s="40"/>
    </row>
    <row r="416">
      <c r="E416" s="40"/>
    </row>
    <row r="417">
      <c r="E417" s="40"/>
    </row>
    <row r="418">
      <c r="E418" s="40"/>
    </row>
    <row r="419">
      <c r="E419" s="40"/>
    </row>
    <row r="420">
      <c r="E420" s="40"/>
    </row>
    <row r="421">
      <c r="E421" s="40"/>
    </row>
    <row r="422">
      <c r="E422" s="40"/>
    </row>
    <row r="423">
      <c r="E423" s="40"/>
    </row>
    <row r="424">
      <c r="E424" s="40"/>
    </row>
    <row r="425">
      <c r="E425" s="40"/>
    </row>
    <row r="426">
      <c r="E426" s="40"/>
    </row>
    <row r="427">
      <c r="E427" s="40"/>
    </row>
    <row r="428">
      <c r="E428" s="40"/>
    </row>
    <row r="429">
      <c r="E429" s="40"/>
    </row>
    <row r="430">
      <c r="E430" s="40"/>
    </row>
    <row r="431">
      <c r="E431" s="40"/>
    </row>
    <row r="432">
      <c r="E432" s="40"/>
    </row>
    <row r="433">
      <c r="E433" s="40"/>
    </row>
    <row r="434">
      <c r="E434" s="40"/>
    </row>
    <row r="435">
      <c r="E435" s="40"/>
    </row>
    <row r="436">
      <c r="E436" s="40"/>
    </row>
    <row r="437">
      <c r="E437" s="40"/>
    </row>
    <row r="438">
      <c r="E438" s="40"/>
    </row>
    <row r="439">
      <c r="E439" s="40"/>
    </row>
    <row r="440">
      <c r="E440" s="40"/>
    </row>
    <row r="441">
      <c r="E441" s="40"/>
    </row>
    <row r="442">
      <c r="E442" s="40"/>
    </row>
    <row r="443">
      <c r="E443" s="40"/>
    </row>
    <row r="444">
      <c r="E444" s="40"/>
    </row>
    <row r="445">
      <c r="E445" s="40"/>
    </row>
    <row r="446">
      <c r="E446" s="40"/>
    </row>
    <row r="447">
      <c r="E447" s="40"/>
    </row>
    <row r="448">
      <c r="E448" s="40"/>
    </row>
    <row r="449">
      <c r="E449" s="40"/>
    </row>
    <row r="450">
      <c r="E450" s="40"/>
    </row>
    <row r="451">
      <c r="E451" s="40"/>
    </row>
    <row r="452">
      <c r="E452" s="40"/>
    </row>
    <row r="453">
      <c r="E453" s="40"/>
    </row>
    <row r="454">
      <c r="E454" s="40"/>
    </row>
    <row r="455">
      <c r="E455" s="40"/>
    </row>
    <row r="456">
      <c r="E456" s="40"/>
    </row>
    <row r="457">
      <c r="E457" s="40"/>
    </row>
    <row r="458">
      <c r="E458" s="40"/>
    </row>
    <row r="459">
      <c r="E459" s="40"/>
    </row>
    <row r="460">
      <c r="E460" s="40"/>
    </row>
    <row r="461">
      <c r="E461" s="40"/>
    </row>
    <row r="462">
      <c r="E462" s="40"/>
    </row>
    <row r="463">
      <c r="E463" s="40"/>
    </row>
    <row r="464">
      <c r="E464" s="40"/>
    </row>
    <row r="465">
      <c r="E465" s="40"/>
    </row>
    <row r="466">
      <c r="E466" s="40"/>
    </row>
    <row r="467">
      <c r="E467" s="40"/>
    </row>
    <row r="468">
      <c r="E468" s="40"/>
    </row>
    <row r="469">
      <c r="E469" s="40"/>
    </row>
    <row r="470">
      <c r="E470" s="40"/>
    </row>
    <row r="471">
      <c r="E471" s="40"/>
    </row>
    <row r="472">
      <c r="E472" s="40"/>
    </row>
    <row r="473">
      <c r="E473" s="40"/>
    </row>
    <row r="474">
      <c r="E474" s="40"/>
    </row>
    <row r="475">
      <c r="E475" s="40"/>
    </row>
    <row r="476">
      <c r="E476" s="40"/>
    </row>
    <row r="477">
      <c r="E477" s="40"/>
    </row>
    <row r="478">
      <c r="E478" s="40"/>
    </row>
    <row r="479">
      <c r="E479" s="40"/>
    </row>
    <row r="480">
      <c r="E480" s="40"/>
    </row>
    <row r="481">
      <c r="E481" s="40"/>
    </row>
    <row r="482">
      <c r="E482" s="40"/>
    </row>
    <row r="483">
      <c r="E483" s="40"/>
    </row>
    <row r="484">
      <c r="E484" s="40"/>
    </row>
    <row r="485">
      <c r="E485" s="40"/>
    </row>
    <row r="486">
      <c r="E486" s="40"/>
    </row>
    <row r="487">
      <c r="E487" s="40"/>
    </row>
    <row r="488">
      <c r="E488" s="40"/>
    </row>
    <row r="489">
      <c r="E489" s="40"/>
    </row>
    <row r="490">
      <c r="E490" s="40"/>
    </row>
    <row r="491">
      <c r="E491" s="40"/>
    </row>
    <row r="492">
      <c r="E492" s="40"/>
    </row>
    <row r="493">
      <c r="E493" s="40"/>
    </row>
    <row r="494">
      <c r="E494" s="40"/>
    </row>
    <row r="495">
      <c r="E495" s="40"/>
    </row>
    <row r="496">
      <c r="E496" s="40"/>
    </row>
    <row r="497">
      <c r="E497" s="40"/>
    </row>
    <row r="498">
      <c r="E498" s="40"/>
    </row>
    <row r="499">
      <c r="E499" s="40"/>
    </row>
    <row r="500">
      <c r="E500" s="40"/>
    </row>
    <row r="501">
      <c r="E501" s="40"/>
    </row>
    <row r="502">
      <c r="E502" s="40"/>
    </row>
    <row r="503">
      <c r="E503" s="40"/>
    </row>
    <row r="504">
      <c r="E504" s="40"/>
    </row>
    <row r="505">
      <c r="E505" s="40"/>
    </row>
    <row r="506">
      <c r="E506" s="40"/>
    </row>
    <row r="507">
      <c r="E507" s="40"/>
    </row>
    <row r="508">
      <c r="E508" s="40"/>
    </row>
    <row r="509">
      <c r="E509" s="40"/>
    </row>
    <row r="510">
      <c r="E510" s="40"/>
    </row>
    <row r="511">
      <c r="E511" s="40"/>
    </row>
    <row r="512">
      <c r="E512" s="40"/>
    </row>
    <row r="513">
      <c r="E513" s="40"/>
    </row>
    <row r="514">
      <c r="E514" s="40"/>
    </row>
    <row r="515">
      <c r="E515" s="40"/>
    </row>
    <row r="516">
      <c r="E516" s="40"/>
    </row>
    <row r="517">
      <c r="E517" s="40"/>
    </row>
    <row r="518">
      <c r="E518" s="40"/>
    </row>
    <row r="519">
      <c r="E519" s="40"/>
    </row>
    <row r="520">
      <c r="E520" s="40"/>
    </row>
    <row r="521">
      <c r="E521" s="40"/>
    </row>
    <row r="522">
      <c r="E522" s="40"/>
    </row>
    <row r="523">
      <c r="E523" s="40"/>
    </row>
    <row r="524">
      <c r="E524" s="40"/>
    </row>
    <row r="525">
      <c r="E525" s="40"/>
    </row>
    <row r="526">
      <c r="E526" s="40"/>
    </row>
    <row r="527">
      <c r="E527" s="40"/>
    </row>
    <row r="528">
      <c r="E528" s="40"/>
    </row>
    <row r="529">
      <c r="E529" s="40"/>
    </row>
    <row r="530">
      <c r="E530" s="40"/>
    </row>
    <row r="531">
      <c r="E531" s="40"/>
    </row>
    <row r="532">
      <c r="E532" s="40"/>
    </row>
    <row r="533">
      <c r="E533" s="40"/>
    </row>
    <row r="534">
      <c r="E534" s="40"/>
    </row>
    <row r="535">
      <c r="E535" s="40"/>
    </row>
    <row r="536">
      <c r="E536" s="40"/>
    </row>
    <row r="537">
      <c r="E537" s="40"/>
    </row>
    <row r="538">
      <c r="E538" s="40"/>
    </row>
    <row r="539">
      <c r="E539" s="40"/>
    </row>
    <row r="540">
      <c r="E540" s="40"/>
    </row>
    <row r="541">
      <c r="E541" s="40"/>
    </row>
    <row r="542">
      <c r="E542" s="40"/>
    </row>
    <row r="543">
      <c r="E543" s="40"/>
    </row>
    <row r="544">
      <c r="E544" s="40"/>
    </row>
    <row r="545">
      <c r="E545" s="40"/>
    </row>
    <row r="546">
      <c r="E546" s="40"/>
    </row>
    <row r="547">
      <c r="E547" s="40"/>
    </row>
    <row r="548">
      <c r="E548" s="40"/>
    </row>
    <row r="549">
      <c r="E549" s="40"/>
    </row>
    <row r="550">
      <c r="E550" s="40"/>
    </row>
    <row r="551">
      <c r="E551" s="40"/>
    </row>
    <row r="552">
      <c r="E552" s="40"/>
    </row>
    <row r="553">
      <c r="E553" s="40"/>
    </row>
    <row r="554">
      <c r="E554" s="40"/>
    </row>
    <row r="555">
      <c r="E555" s="40"/>
    </row>
    <row r="556">
      <c r="E556" s="40"/>
    </row>
    <row r="557">
      <c r="E557" s="40"/>
    </row>
    <row r="558">
      <c r="E558" s="40"/>
    </row>
    <row r="559">
      <c r="E559" s="40"/>
    </row>
    <row r="560">
      <c r="E560" s="40"/>
    </row>
    <row r="561">
      <c r="E561" s="40"/>
    </row>
    <row r="562">
      <c r="E562" s="40"/>
    </row>
    <row r="563">
      <c r="E563" s="40"/>
    </row>
    <row r="564">
      <c r="E564" s="40"/>
    </row>
    <row r="565">
      <c r="E565" s="40"/>
    </row>
    <row r="566">
      <c r="E566" s="40"/>
    </row>
    <row r="567">
      <c r="E567" s="40"/>
    </row>
    <row r="568">
      <c r="E568" s="40"/>
    </row>
    <row r="569">
      <c r="E569" s="40"/>
    </row>
    <row r="570">
      <c r="E570" s="40"/>
    </row>
    <row r="571">
      <c r="E571" s="40"/>
    </row>
    <row r="572">
      <c r="E572" s="40"/>
    </row>
    <row r="573">
      <c r="E573" s="40"/>
    </row>
    <row r="574">
      <c r="E574" s="40"/>
    </row>
    <row r="575">
      <c r="E575" s="40"/>
    </row>
    <row r="576">
      <c r="E576" s="40"/>
    </row>
    <row r="577">
      <c r="E577" s="40"/>
    </row>
    <row r="578">
      <c r="E578" s="40"/>
    </row>
    <row r="579">
      <c r="E579" s="40"/>
    </row>
    <row r="580">
      <c r="E580" s="40"/>
    </row>
    <row r="581">
      <c r="E581" s="40"/>
    </row>
    <row r="582">
      <c r="E582" s="40"/>
    </row>
    <row r="583">
      <c r="E583" s="40"/>
    </row>
    <row r="584">
      <c r="E584" s="40"/>
    </row>
    <row r="585">
      <c r="E585" s="40"/>
    </row>
    <row r="586">
      <c r="E586" s="40"/>
    </row>
    <row r="587">
      <c r="E587" s="40"/>
    </row>
    <row r="588">
      <c r="E588" s="40"/>
    </row>
    <row r="589">
      <c r="E589" s="40"/>
    </row>
    <row r="590">
      <c r="E590" s="40"/>
    </row>
    <row r="591">
      <c r="E591" s="40"/>
    </row>
    <row r="592">
      <c r="E592" s="40"/>
    </row>
    <row r="593">
      <c r="E593" s="40"/>
    </row>
    <row r="594">
      <c r="E594" s="40"/>
    </row>
    <row r="595">
      <c r="E595" s="40"/>
    </row>
    <row r="596">
      <c r="E596" s="40"/>
    </row>
    <row r="597">
      <c r="E597" s="40"/>
    </row>
    <row r="598">
      <c r="E598" s="40"/>
    </row>
    <row r="599">
      <c r="E599" s="40"/>
    </row>
    <row r="600">
      <c r="E600" s="40"/>
    </row>
    <row r="601">
      <c r="E601" s="40"/>
    </row>
    <row r="602">
      <c r="E602" s="40"/>
    </row>
    <row r="603">
      <c r="E603" s="40"/>
    </row>
    <row r="604">
      <c r="E604" s="40"/>
    </row>
    <row r="605">
      <c r="E605" s="40"/>
    </row>
    <row r="606">
      <c r="E606" s="40"/>
    </row>
    <row r="607">
      <c r="E607" s="40"/>
    </row>
    <row r="608">
      <c r="E608" s="40"/>
    </row>
    <row r="609">
      <c r="E609" s="40"/>
    </row>
    <row r="610">
      <c r="E610" s="40"/>
    </row>
    <row r="611">
      <c r="E611" s="40"/>
    </row>
    <row r="612">
      <c r="E612" s="40"/>
    </row>
    <row r="613">
      <c r="E613" s="40"/>
    </row>
    <row r="614">
      <c r="E614" s="40"/>
    </row>
    <row r="615">
      <c r="E615" s="40"/>
    </row>
    <row r="616">
      <c r="E616" s="40"/>
    </row>
    <row r="617">
      <c r="E617" s="40"/>
    </row>
    <row r="618">
      <c r="E618" s="40"/>
    </row>
    <row r="619">
      <c r="E619" s="40"/>
    </row>
    <row r="620">
      <c r="E620" s="40"/>
    </row>
    <row r="621">
      <c r="E621" s="40"/>
    </row>
    <row r="622">
      <c r="E622" s="40"/>
    </row>
    <row r="623">
      <c r="E623" s="40"/>
    </row>
    <row r="624">
      <c r="E624" s="40"/>
    </row>
    <row r="625">
      <c r="E625" s="40"/>
    </row>
    <row r="626">
      <c r="E626" s="40"/>
    </row>
    <row r="627">
      <c r="E627" s="40"/>
    </row>
    <row r="628">
      <c r="E628" s="40"/>
    </row>
    <row r="629">
      <c r="E629" s="40"/>
    </row>
    <row r="630">
      <c r="E630" s="40"/>
    </row>
    <row r="631">
      <c r="E631" s="40"/>
    </row>
    <row r="632">
      <c r="E632" s="40"/>
    </row>
    <row r="633">
      <c r="E633" s="40"/>
    </row>
    <row r="634">
      <c r="E634" s="40"/>
    </row>
    <row r="635">
      <c r="E635" s="40"/>
    </row>
    <row r="636">
      <c r="E636" s="40"/>
    </row>
    <row r="637">
      <c r="E637" s="40"/>
    </row>
    <row r="638">
      <c r="E638" s="40"/>
    </row>
    <row r="639">
      <c r="E639" s="40"/>
    </row>
    <row r="640">
      <c r="E640" s="40"/>
    </row>
    <row r="641">
      <c r="E641" s="40"/>
    </row>
    <row r="642">
      <c r="E642" s="40"/>
    </row>
    <row r="643">
      <c r="E643" s="40"/>
    </row>
    <row r="644">
      <c r="E644" s="40"/>
    </row>
    <row r="645">
      <c r="E645" s="40"/>
    </row>
    <row r="646">
      <c r="E646" s="40"/>
    </row>
    <row r="647">
      <c r="E647" s="40"/>
    </row>
    <row r="648">
      <c r="E648" s="40"/>
    </row>
    <row r="649">
      <c r="E649" s="40"/>
    </row>
    <row r="650">
      <c r="E650" s="40"/>
    </row>
    <row r="651">
      <c r="E651" s="40"/>
    </row>
    <row r="652">
      <c r="E652" s="40"/>
    </row>
    <row r="653">
      <c r="E653" s="40"/>
    </row>
    <row r="654">
      <c r="E654" s="40"/>
    </row>
    <row r="655">
      <c r="E655" s="40"/>
    </row>
    <row r="656">
      <c r="E656" s="40"/>
    </row>
    <row r="657">
      <c r="E657" s="40"/>
    </row>
    <row r="658">
      <c r="E658" s="40"/>
    </row>
    <row r="659">
      <c r="E659" s="40"/>
    </row>
    <row r="660">
      <c r="E660" s="40"/>
    </row>
    <row r="661">
      <c r="E661" s="40"/>
    </row>
    <row r="662">
      <c r="E662" s="40"/>
    </row>
    <row r="663">
      <c r="E663" s="40"/>
    </row>
    <row r="664">
      <c r="E664" s="40"/>
    </row>
    <row r="665">
      <c r="E665" s="40"/>
    </row>
    <row r="666">
      <c r="E666" s="40"/>
    </row>
    <row r="667">
      <c r="E667" s="40"/>
    </row>
    <row r="668">
      <c r="E668" s="40"/>
    </row>
    <row r="669">
      <c r="E669" s="40"/>
    </row>
    <row r="670">
      <c r="E670" s="40"/>
    </row>
    <row r="671">
      <c r="E671" s="40"/>
    </row>
    <row r="672">
      <c r="E672" s="40"/>
    </row>
    <row r="673">
      <c r="E673" s="40"/>
    </row>
    <row r="674">
      <c r="E674" s="40"/>
    </row>
    <row r="675">
      <c r="E675" s="40"/>
    </row>
    <row r="676">
      <c r="E676" s="40"/>
    </row>
    <row r="677">
      <c r="E677" s="40"/>
    </row>
    <row r="678">
      <c r="E678" s="40"/>
    </row>
    <row r="679">
      <c r="E679" s="40"/>
    </row>
    <row r="680">
      <c r="E680" s="40"/>
    </row>
    <row r="681">
      <c r="E681" s="40"/>
    </row>
    <row r="682">
      <c r="E682" s="40"/>
    </row>
    <row r="683">
      <c r="E683" s="40"/>
    </row>
    <row r="684">
      <c r="E684" s="40"/>
    </row>
    <row r="685">
      <c r="E685" s="40"/>
    </row>
    <row r="686">
      <c r="E686" s="40"/>
    </row>
    <row r="687">
      <c r="E687" s="40"/>
    </row>
    <row r="688">
      <c r="E688" s="40"/>
    </row>
    <row r="689">
      <c r="E689" s="40"/>
    </row>
    <row r="690">
      <c r="E690" s="40"/>
    </row>
    <row r="691">
      <c r="E691" s="40"/>
    </row>
    <row r="692">
      <c r="E692" s="40"/>
    </row>
    <row r="693">
      <c r="E693" s="40"/>
    </row>
    <row r="694">
      <c r="E694" s="40"/>
    </row>
    <row r="695">
      <c r="E695" s="40"/>
    </row>
    <row r="696">
      <c r="E696" s="40"/>
    </row>
    <row r="697">
      <c r="E697" s="40"/>
    </row>
    <row r="698">
      <c r="E698" s="40"/>
    </row>
    <row r="699">
      <c r="E699" s="40"/>
    </row>
    <row r="700">
      <c r="E700" s="40"/>
    </row>
    <row r="701">
      <c r="E701" s="40"/>
    </row>
    <row r="702">
      <c r="E702" s="40"/>
    </row>
    <row r="703">
      <c r="E703" s="40"/>
    </row>
    <row r="704">
      <c r="E704" s="40"/>
    </row>
    <row r="705">
      <c r="E705" s="40"/>
    </row>
    <row r="706">
      <c r="E706" s="40"/>
    </row>
    <row r="707">
      <c r="E707" s="40"/>
    </row>
    <row r="708">
      <c r="E708" s="40"/>
    </row>
    <row r="709">
      <c r="E709" s="40"/>
    </row>
    <row r="710">
      <c r="E710" s="40"/>
    </row>
    <row r="711">
      <c r="E711" s="40"/>
    </row>
    <row r="712">
      <c r="E712" s="40"/>
    </row>
    <row r="713">
      <c r="E713" s="40"/>
    </row>
    <row r="714">
      <c r="E714" s="40"/>
    </row>
    <row r="715">
      <c r="E715" s="40"/>
    </row>
    <row r="716">
      <c r="E716" s="40"/>
    </row>
    <row r="717">
      <c r="E717" s="40"/>
    </row>
    <row r="718">
      <c r="E718" s="40"/>
    </row>
    <row r="719">
      <c r="E719" s="40"/>
    </row>
    <row r="720">
      <c r="E720" s="40"/>
    </row>
    <row r="721">
      <c r="E721" s="40"/>
    </row>
    <row r="722">
      <c r="E722" s="40"/>
    </row>
    <row r="723">
      <c r="E723" s="40"/>
    </row>
    <row r="724">
      <c r="E724" s="40"/>
    </row>
    <row r="725">
      <c r="E725" s="40"/>
    </row>
    <row r="726">
      <c r="E726" s="40"/>
    </row>
    <row r="727">
      <c r="E727" s="40"/>
    </row>
    <row r="728">
      <c r="E728" s="40"/>
    </row>
    <row r="729">
      <c r="E729" s="40"/>
    </row>
    <row r="730">
      <c r="E730" s="40"/>
    </row>
    <row r="731">
      <c r="E731" s="40"/>
    </row>
    <row r="732">
      <c r="E732" s="40"/>
    </row>
    <row r="733">
      <c r="E733" s="40"/>
    </row>
    <row r="734">
      <c r="E734" s="40"/>
    </row>
    <row r="735">
      <c r="E735" s="40"/>
    </row>
    <row r="736">
      <c r="E736" s="40"/>
    </row>
    <row r="737">
      <c r="E737" s="40"/>
    </row>
    <row r="738">
      <c r="E738" s="40"/>
    </row>
    <row r="739">
      <c r="E739" s="40"/>
    </row>
    <row r="740">
      <c r="E740" s="40"/>
    </row>
    <row r="741">
      <c r="E741" s="40"/>
    </row>
    <row r="742">
      <c r="E742" s="40"/>
    </row>
    <row r="743">
      <c r="E743" s="40"/>
    </row>
    <row r="744">
      <c r="E744" s="40"/>
    </row>
    <row r="745">
      <c r="E745" s="40"/>
    </row>
    <row r="746">
      <c r="E746" s="40"/>
    </row>
    <row r="747">
      <c r="E747" s="40"/>
    </row>
    <row r="748">
      <c r="E748" s="40"/>
    </row>
    <row r="749">
      <c r="E749" s="40"/>
    </row>
    <row r="750">
      <c r="E750" s="40"/>
    </row>
    <row r="751">
      <c r="E751" s="40"/>
    </row>
    <row r="752">
      <c r="E752" s="40"/>
    </row>
    <row r="753">
      <c r="E753" s="40"/>
    </row>
    <row r="754">
      <c r="E754" s="40"/>
    </row>
    <row r="755">
      <c r="E755" s="40"/>
    </row>
    <row r="756">
      <c r="E756" s="40"/>
    </row>
    <row r="757">
      <c r="E757" s="40"/>
    </row>
    <row r="758">
      <c r="E758" s="40"/>
    </row>
    <row r="759">
      <c r="E759" s="40"/>
    </row>
    <row r="760">
      <c r="E760" s="40"/>
    </row>
    <row r="761">
      <c r="E761" s="40"/>
    </row>
    <row r="762">
      <c r="E762" s="40"/>
    </row>
    <row r="763">
      <c r="E763" s="40"/>
    </row>
    <row r="764">
      <c r="E764" s="40"/>
    </row>
    <row r="765">
      <c r="E765" s="40"/>
    </row>
    <row r="766">
      <c r="E766" s="40"/>
    </row>
    <row r="767">
      <c r="E767" s="40"/>
    </row>
    <row r="768">
      <c r="E768" s="40"/>
    </row>
    <row r="769">
      <c r="E769" s="40"/>
    </row>
    <row r="770">
      <c r="E770" s="40"/>
    </row>
    <row r="771">
      <c r="E771" s="40"/>
    </row>
    <row r="772">
      <c r="E772" s="40"/>
    </row>
    <row r="773">
      <c r="E773" s="40"/>
    </row>
    <row r="774">
      <c r="E774" s="40"/>
    </row>
    <row r="775">
      <c r="E775" s="40"/>
    </row>
    <row r="776">
      <c r="E776" s="40"/>
    </row>
    <row r="777">
      <c r="E777" s="40"/>
    </row>
    <row r="778">
      <c r="E778" s="40"/>
    </row>
    <row r="779">
      <c r="E779" s="40"/>
    </row>
    <row r="780">
      <c r="E780" s="40"/>
    </row>
    <row r="781">
      <c r="E781" s="40"/>
    </row>
    <row r="782">
      <c r="E782" s="40"/>
    </row>
    <row r="783">
      <c r="E783" s="40"/>
    </row>
    <row r="784">
      <c r="E784" s="40"/>
    </row>
    <row r="785">
      <c r="E785" s="40"/>
    </row>
    <row r="786">
      <c r="E786" s="40"/>
    </row>
    <row r="787">
      <c r="E787" s="40"/>
    </row>
    <row r="788">
      <c r="E788" s="40"/>
    </row>
    <row r="789">
      <c r="E789" s="40"/>
    </row>
    <row r="790">
      <c r="E790" s="40"/>
    </row>
    <row r="791">
      <c r="E791" s="40"/>
    </row>
    <row r="792">
      <c r="E792" s="40"/>
    </row>
    <row r="793">
      <c r="E793" s="40"/>
    </row>
    <row r="794">
      <c r="E794" s="40"/>
    </row>
    <row r="795">
      <c r="E795" s="40"/>
    </row>
    <row r="796">
      <c r="E796" s="40"/>
    </row>
    <row r="797">
      <c r="E797" s="40"/>
    </row>
    <row r="798">
      <c r="E798" s="40"/>
    </row>
    <row r="799">
      <c r="E799" s="40"/>
    </row>
    <row r="800">
      <c r="E800" s="40"/>
    </row>
    <row r="801">
      <c r="E801" s="40"/>
    </row>
    <row r="802">
      <c r="E802" s="40"/>
    </row>
    <row r="803">
      <c r="E803" s="40"/>
    </row>
    <row r="804">
      <c r="E804" s="40"/>
    </row>
    <row r="805">
      <c r="E805" s="40"/>
    </row>
    <row r="806">
      <c r="E806" s="40"/>
    </row>
    <row r="807">
      <c r="E807" s="40"/>
    </row>
    <row r="808">
      <c r="E808" s="40"/>
    </row>
    <row r="809">
      <c r="E809" s="40"/>
    </row>
    <row r="810">
      <c r="E810" s="40"/>
    </row>
    <row r="811">
      <c r="E811" s="40"/>
    </row>
    <row r="812">
      <c r="E812" s="40"/>
    </row>
    <row r="813">
      <c r="E813" s="40"/>
    </row>
    <row r="814">
      <c r="E814" s="40"/>
    </row>
    <row r="815">
      <c r="E815" s="40"/>
    </row>
    <row r="816">
      <c r="E816" s="40"/>
    </row>
    <row r="817">
      <c r="E817" s="40"/>
    </row>
    <row r="818">
      <c r="E818" s="40"/>
    </row>
    <row r="819">
      <c r="E819" s="40"/>
    </row>
    <row r="820">
      <c r="E820" s="40"/>
    </row>
    <row r="821">
      <c r="E821" s="40"/>
    </row>
    <row r="822">
      <c r="E822" s="40"/>
    </row>
    <row r="823">
      <c r="E823" s="40"/>
    </row>
    <row r="824">
      <c r="E824" s="40"/>
    </row>
    <row r="825">
      <c r="E825" s="40"/>
    </row>
    <row r="826">
      <c r="E826" s="40"/>
    </row>
    <row r="827">
      <c r="E827" s="40"/>
    </row>
    <row r="828">
      <c r="E828" s="40"/>
    </row>
    <row r="829">
      <c r="E829" s="40"/>
    </row>
    <row r="830">
      <c r="E830" s="40"/>
    </row>
    <row r="831">
      <c r="E831" s="40"/>
    </row>
    <row r="832">
      <c r="E832" s="40"/>
    </row>
    <row r="833">
      <c r="E833" s="40"/>
    </row>
    <row r="834">
      <c r="E834" s="40"/>
    </row>
    <row r="835">
      <c r="E835" s="40"/>
    </row>
    <row r="836">
      <c r="E836" s="40"/>
    </row>
    <row r="837">
      <c r="E837" s="40"/>
    </row>
    <row r="838">
      <c r="E838" s="40"/>
    </row>
    <row r="839">
      <c r="E839" s="40"/>
    </row>
    <row r="840">
      <c r="E840" s="40"/>
    </row>
    <row r="841">
      <c r="E841" s="40"/>
    </row>
    <row r="842">
      <c r="E842" s="40"/>
    </row>
    <row r="843">
      <c r="E843" s="40"/>
    </row>
    <row r="844">
      <c r="E844" s="40"/>
    </row>
    <row r="845">
      <c r="E845" s="40"/>
    </row>
    <row r="846">
      <c r="E846" s="40"/>
    </row>
    <row r="847">
      <c r="E847" s="40"/>
    </row>
    <row r="848">
      <c r="E848" s="40"/>
    </row>
    <row r="849">
      <c r="E849" s="40"/>
    </row>
    <row r="850">
      <c r="E850" s="40"/>
    </row>
    <row r="851">
      <c r="E851" s="40"/>
    </row>
    <row r="852">
      <c r="E852" s="40"/>
    </row>
    <row r="853">
      <c r="E853" s="40"/>
    </row>
    <row r="854">
      <c r="E854" s="40"/>
    </row>
    <row r="855">
      <c r="E855" s="40"/>
    </row>
    <row r="856">
      <c r="E856" s="40"/>
    </row>
    <row r="857">
      <c r="E857" s="40"/>
    </row>
    <row r="858">
      <c r="E858" s="40"/>
    </row>
    <row r="859">
      <c r="E859" s="40"/>
    </row>
    <row r="860">
      <c r="E860" s="40"/>
    </row>
    <row r="861">
      <c r="E861" s="40"/>
    </row>
    <row r="862">
      <c r="E862" s="40"/>
    </row>
    <row r="863">
      <c r="E863" s="40"/>
    </row>
    <row r="864">
      <c r="E864" s="40"/>
    </row>
    <row r="865">
      <c r="E865" s="40"/>
    </row>
    <row r="866">
      <c r="E866" s="40"/>
    </row>
    <row r="867">
      <c r="E867" s="40"/>
    </row>
    <row r="868">
      <c r="E868" s="40"/>
    </row>
    <row r="869">
      <c r="E869" s="40"/>
    </row>
    <row r="870">
      <c r="E870" s="40"/>
    </row>
    <row r="871">
      <c r="E871" s="40"/>
    </row>
    <row r="872">
      <c r="E872" s="40"/>
    </row>
    <row r="873">
      <c r="E873" s="40"/>
    </row>
    <row r="874">
      <c r="E874" s="40"/>
    </row>
    <row r="875">
      <c r="E875" s="40"/>
    </row>
    <row r="876">
      <c r="E876" s="40"/>
    </row>
    <row r="877">
      <c r="E877" s="40"/>
    </row>
    <row r="878">
      <c r="E878" s="40"/>
    </row>
    <row r="879">
      <c r="E879" s="40"/>
    </row>
    <row r="880">
      <c r="E880" s="40"/>
    </row>
    <row r="881">
      <c r="E881" s="40"/>
    </row>
    <row r="882">
      <c r="E882" s="40"/>
    </row>
    <row r="883">
      <c r="E883" s="40"/>
    </row>
    <row r="884">
      <c r="E884" s="40"/>
    </row>
    <row r="885">
      <c r="E885" s="40"/>
    </row>
    <row r="886">
      <c r="E886" s="40"/>
    </row>
    <row r="887">
      <c r="E887" s="40"/>
    </row>
    <row r="888">
      <c r="E888" s="40"/>
    </row>
    <row r="889">
      <c r="E889" s="40"/>
    </row>
    <row r="890">
      <c r="E890" s="40"/>
    </row>
    <row r="891">
      <c r="E891" s="40"/>
    </row>
    <row r="892">
      <c r="E892" s="40"/>
    </row>
    <row r="893">
      <c r="E893" s="40"/>
    </row>
    <row r="894">
      <c r="E894" s="40"/>
    </row>
    <row r="895">
      <c r="E895" s="40"/>
    </row>
    <row r="896">
      <c r="E896" s="40"/>
    </row>
    <row r="897">
      <c r="E897" s="40"/>
    </row>
    <row r="898">
      <c r="E898" s="40"/>
    </row>
    <row r="899">
      <c r="E899" s="40"/>
    </row>
    <row r="900">
      <c r="E900" s="40"/>
    </row>
    <row r="901">
      <c r="E901" s="40"/>
    </row>
    <row r="902">
      <c r="E902" s="40"/>
    </row>
    <row r="903">
      <c r="E903" s="40"/>
    </row>
    <row r="904">
      <c r="E904" s="40"/>
    </row>
    <row r="905">
      <c r="E905" s="40"/>
    </row>
    <row r="906">
      <c r="E906" s="40"/>
    </row>
    <row r="907">
      <c r="E907" s="40"/>
    </row>
    <row r="908">
      <c r="E908" s="40"/>
    </row>
    <row r="909">
      <c r="E909" s="40"/>
    </row>
    <row r="910">
      <c r="E910" s="40"/>
    </row>
    <row r="911">
      <c r="E911" s="40"/>
    </row>
    <row r="912">
      <c r="E912" s="40"/>
    </row>
    <row r="913">
      <c r="E913" s="40"/>
    </row>
    <row r="914">
      <c r="E914" s="40"/>
    </row>
    <row r="915">
      <c r="E915" s="40"/>
    </row>
    <row r="916">
      <c r="E916" s="40"/>
    </row>
    <row r="917">
      <c r="E917" s="40"/>
    </row>
    <row r="918">
      <c r="E918" s="40"/>
    </row>
    <row r="919">
      <c r="E919" s="40"/>
    </row>
    <row r="920">
      <c r="E920" s="40"/>
    </row>
    <row r="921">
      <c r="E921" s="40"/>
    </row>
    <row r="922">
      <c r="E922" s="40"/>
    </row>
    <row r="923">
      <c r="E923" s="40"/>
    </row>
    <row r="924">
      <c r="E924" s="40"/>
    </row>
    <row r="925">
      <c r="E925" s="40"/>
    </row>
    <row r="926">
      <c r="E926" s="40"/>
    </row>
    <row r="927">
      <c r="E927" s="40"/>
    </row>
    <row r="928">
      <c r="E928" s="40"/>
    </row>
    <row r="929">
      <c r="E929" s="40"/>
    </row>
    <row r="930">
      <c r="E930" s="40"/>
    </row>
    <row r="931">
      <c r="E931" s="40"/>
    </row>
    <row r="932">
      <c r="E932" s="40"/>
    </row>
    <row r="933">
      <c r="E933" s="40"/>
    </row>
    <row r="934">
      <c r="E934" s="40"/>
    </row>
    <row r="935">
      <c r="E935" s="40"/>
    </row>
    <row r="936">
      <c r="E936" s="40"/>
    </row>
    <row r="937">
      <c r="E937" s="40"/>
    </row>
    <row r="938">
      <c r="E938" s="40"/>
    </row>
    <row r="939">
      <c r="E939" s="40"/>
    </row>
    <row r="940">
      <c r="E940" s="40"/>
    </row>
    <row r="941">
      <c r="E941" s="40"/>
    </row>
    <row r="942">
      <c r="E942" s="40"/>
    </row>
    <row r="943">
      <c r="E943" s="40"/>
    </row>
    <row r="944">
      <c r="E944" s="40"/>
    </row>
    <row r="945">
      <c r="E945" s="40"/>
    </row>
    <row r="946">
      <c r="E946" s="40"/>
    </row>
    <row r="947">
      <c r="E947" s="40"/>
    </row>
    <row r="948">
      <c r="E948" s="40"/>
    </row>
    <row r="949">
      <c r="E949" s="40"/>
    </row>
    <row r="950">
      <c r="E950" s="40"/>
    </row>
    <row r="951">
      <c r="E951" s="40"/>
    </row>
    <row r="952">
      <c r="E952" s="40"/>
    </row>
    <row r="953">
      <c r="E953" s="40"/>
    </row>
    <row r="954">
      <c r="E954" s="40"/>
    </row>
    <row r="955">
      <c r="E955" s="40"/>
    </row>
    <row r="956">
      <c r="E956" s="40"/>
    </row>
    <row r="957">
      <c r="E957" s="40"/>
    </row>
    <row r="958">
      <c r="E958" s="40"/>
    </row>
    <row r="959">
      <c r="E959" s="40"/>
    </row>
    <row r="960">
      <c r="E960" s="40"/>
    </row>
    <row r="961">
      <c r="E961" s="40"/>
    </row>
    <row r="962">
      <c r="E962" s="40"/>
    </row>
    <row r="963">
      <c r="E963" s="40"/>
    </row>
    <row r="964">
      <c r="E964" s="40"/>
    </row>
    <row r="965">
      <c r="E965" s="40"/>
    </row>
    <row r="966">
      <c r="E966" s="40"/>
    </row>
    <row r="967">
      <c r="E967" s="40"/>
    </row>
    <row r="968">
      <c r="E968" s="40"/>
    </row>
    <row r="969">
      <c r="E969" s="40"/>
    </row>
    <row r="970">
      <c r="E970" s="40"/>
    </row>
    <row r="971">
      <c r="E971" s="40"/>
    </row>
    <row r="972">
      <c r="E972" s="40"/>
    </row>
    <row r="973">
      <c r="E973" s="40"/>
    </row>
    <row r="974">
      <c r="E974" s="40"/>
    </row>
    <row r="975">
      <c r="E975" s="40"/>
    </row>
    <row r="976">
      <c r="E976" s="40"/>
    </row>
    <row r="977">
      <c r="E977" s="40"/>
    </row>
    <row r="978">
      <c r="E978" s="40"/>
    </row>
    <row r="979">
      <c r="E979" s="40"/>
    </row>
    <row r="980">
      <c r="E980" s="40"/>
    </row>
    <row r="981">
      <c r="E981" s="40"/>
    </row>
    <row r="982">
      <c r="E982" s="40"/>
    </row>
    <row r="983">
      <c r="E983" s="40"/>
    </row>
    <row r="984">
      <c r="E984" s="40"/>
    </row>
    <row r="985">
      <c r="E985" s="40"/>
    </row>
    <row r="986">
      <c r="E986" s="40"/>
    </row>
    <row r="987">
      <c r="E987" s="40"/>
    </row>
    <row r="988">
      <c r="E988" s="40"/>
    </row>
    <row r="989">
      <c r="E989" s="40"/>
    </row>
    <row r="990">
      <c r="E990" s="40"/>
    </row>
    <row r="991">
      <c r="E991" s="40"/>
    </row>
    <row r="992">
      <c r="E992" s="40"/>
    </row>
    <row r="993">
      <c r="E993" s="40"/>
    </row>
    <row r="994">
      <c r="E994" s="40"/>
    </row>
    <row r="995">
      <c r="E995" s="40"/>
    </row>
    <row r="996">
      <c r="E996" s="40"/>
    </row>
    <row r="997">
      <c r="E997" s="40"/>
    </row>
    <row r="998">
      <c r="E998" s="40"/>
    </row>
    <row r="999">
      <c r="E999" s="40"/>
    </row>
    <row r="1000">
      <c r="E1000" s="40"/>
    </row>
  </sheetData>
  <autoFilter ref="$A$3:$F$1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6">
        <v>10000.0</v>
      </c>
      <c r="C1" s="47">
        <v>66.73</v>
      </c>
      <c r="D1" s="46">
        <f>B1/C1</f>
        <v>149.8576352</v>
      </c>
    </row>
    <row r="2">
      <c r="B2" s="17"/>
      <c r="C2" s="47">
        <v>230.0</v>
      </c>
      <c r="D2" s="46">
        <f>C2/B1</f>
        <v>0.023</v>
      </c>
    </row>
    <row r="3">
      <c r="A3" s="17"/>
      <c r="C3" s="48"/>
    </row>
    <row r="4">
      <c r="C4" s="48"/>
    </row>
    <row r="5">
      <c r="C5" s="48"/>
    </row>
    <row r="6">
      <c r="C6" s="48"/>
    </row>
    <row r="7">
      <c r="C7" s="48"/>
    </row>
    <row r="8">
      <c r="C8" s="48"/>
    </row>
    <row r="9">
      <c r="C9" s="48"/>
      <c r="F9" s="4">
        <v>50.0</v>
      </c>
    </row>
    <row r="10">
      <c r="C10" s="48"/>
    </row>
    <row r="11">
      <c r="C11" s="48"/>
    </row>
    <row r="12">
      <c r="I12" s="48"/>
    </row>
    <row r="13">
      <c r="F13" s="4">
        <v>65.0</v>
      </c>
      <c r="I13" s="48"/>
    </row>
    <row r="14">
      <c r="E14" s="26">
        <f>(E16+800)*D16</f>
        <v>317.4</v>
      </c>
      <c r="F14" s="26">
        <f>I15*F13</f>
        <v>195</v>
      </c>
      <c r="G14" s="26">
        <f>F14-E14</f>
        <v>-122.4</v>
      </c>
      <c r="I14" s="48"/>
    </row>
    <row r="15">
      <c r="C15" s="49" t="s">
        <v>468</v>
      </c>
      <c r="D15" s="50"/>
      <c r="E15" s="50"/>
      <c r="F15" s="50"/>
      <c r="G15" s="51"/>
      <c r="H15" s="4" t="s">
        <v>469</v>
      </c>
      <c r="I15" s="52">
        <v>3.0</v>
      </c>
      <c r="J15" s="48">
        <f>I15</f>
        <v>3</v>
      </c>
    </row>
    <row r="16">
      <c r="C16" s="53" t="s">
        <v>470</v>
      </c>
      <c r="D16" s="54">
        <f>D2</f>
        <v>0.023</v>
      </c>
      <c r="E16" s="55">
        <v>13000.0</v>
      </c>
      <c r="F16" s="56">
        <f>((800+800+$E$16)*$D$16)</f>
        <v>335.8</v>
      </c>
      <c r="G16" s="52">
        <f>((1000+800+$E$16)*$D$16)*140%</f>
        <v>476.56</v>
      </c>
      <c r="H16" s="4" t="s">
        <v>471</v>
      </c>
      <c r="I16" s="48">
        <f t="shared" ref="I16:I20" si="1">G16/$I$15</f>
        <v>158.8533333</v>
      </c>
      <c r="J16" s="57">
        <f t="shared" ref="J16:J20" si="2">(G16-F16)/$J$15</f>
        <v>46.92</v>
      </c>
    </row>
    <row r="17">
      <c r="E17" s="4" t="s">
        <v>472</v>
      </c>
      <c r="F17" s="56">
        <f>((2000+800+$E$16)*$D$16)</f>
        <v>363.4</v>
      </c>
      <c r="G17" s="52">
        <f>((2000+800+$E$16)*$D$16)*140%</f>
        <v>508.76</v>
      </c>
      <c r="H17" s="4" t="s">
        <v>473</v>
      </c>
      <c r="I17" s="48">
        <f t="shared" si="1"/>
        <v>169.5866667</v>
      </c>
      <c r="J17" s="57">
        <f t="shared" si="2"/>
        <v>48.45333333</v>
      </c>
    </row>
    <row r="18">
      <c r="F18" s="56">
        <f>((3000+800+$E$16)*$D$16)</f>
        <v>386.4</v>
      </c>
      <c r="G18" s="52">
        <f>((4000+800+$E$16)*$D$16)*140%</f>
        <v>573.16</v>
      </c>
      <c r="H18" s="4" t="s">
        <v>474</v>
      </c>
      <c r="I18" s="48">
        <f t="shared" si="1"/>
        <v>191.0533333</v>
      </c>
      <c r="J18" s="57">
        <f t="shared" si="2"/>
        <v>62.25333333</v>
      </c>
    </row>
    <row r="19">
      <c r="F19" s="56">
        <f>((4500+800+$E$16)*$D$16)</f>
        <v>420.9</v>
      </c>
      <c r="G19" s="52">
        <f>((5500+800+$E$16)*$D$16)*140%</f>
        <v>621.46</v>
      </c>
      <c r="H19" s="4" t="s">
        <v>475</v>
      </c>
      <c r="I19" s="48">
        <f t="shared" si="1"/>
        <v>207.1533333</v>
      </c>
      <c r="J19" s="57">
        <f t="shared" si="2"/>
        <v>66.85333333</v>
      </c>
    </row>
    <row r="20">
      <c r="F20" s="56">
        <f>((6500+800+$E$16)*$D$16)</f>
        <v>466.9</v>
      </c>
      <c r="G20" s="52">
        <f>((6500+800+$E$16)*$D$16)*140%</f>
        <v>653.66</v>
      </c>
      <c r="H20" s="4" t="s">
        <v>476</v>
      </c>
      <c r="I20" s="48">
        <f t="shared" si="1"/>
        <v>217.8866667</v>
      </c>
      <c r="J20" s="57">
        <f t="shared" si="2"/>
        <v>62.25333333</v>
      </c>
    </row>
    <row r="21">
      <c r="F21" s="56">
        <f>((16000+800+$E$16)*$D$16)</f>
        <v>685.4</v>
      </c>
      <c r="G21" s="52">
        <f>((20000+800+$E$16)*$D$16)*140%</f>
        <v>1088.36</v>
      </c>
      <c r="I21" s="48"/>
    </row>
    <row r="22">
      <c r="I22" s="48"/>
    </row>
    <row r="23">
      <c r="I23" s="48"/>
    </row>
    <row r="27">
      <c r="C27" s="48"/>
    </row>
    <row r="28">
      <c r="C28" s="48"/>
    </row>
    <row r="29">
      <c r="C29" s="48"/>
    </row>
    <row r="30">
      <c r="C30" s="48"/>
    </row>
    <row r="31">
      <c r="C31" s="48"/>
    </row>
    <row r="32">
      <c r="C32" s="48"/>
    </row>
    <row r="33">
      <c r="C33" s="48"/>
    </row>
    <row r="34">
      <c r="C34" s="48"/>
    </row>
    <row r="35">
      <c r="C35" s="48"/>
    </row>
    <row r="36">
      <c r="C36" s="48"/>
    </row>
    <row r="37">
      <c r="C37" s="48"/>
    </row>
    <row r="38">
      <c r="C38" s="48"/>
    </row>
    <row r="39">
      <c r="C39" s="48"/>
    </row>
    <row r="40">
      <c r="C40" s="48"/>
    </row>
    <row r="41">
      <c r="C41" s="48"/>
    </row>
    <row r="42">
      <c r="C42" s="48"/>
    </row>
    <row r="43">
      <c r="C43" s="48"/>
    </row>
    <row r="44">
      <c r="C44" s="48"/>
    </row>
    <row r="45">
      <c r="C45" s="48"/>
    </row>
    <row r="46">
      <c r="C46" s="48"/>
    </row>
    <row r="47">
      <c r="C47" s="48"/>
    </row>
    <row r="48">
      <c r="C48" s="48"/>
    </row>
    <row r="49">
      <c r="C49" s="48"/>
    </row>
    <row r="50">
      <c r="C50" s="48"/>
    </row>
    <row r="51">
      <c r="C51" s="48"/>
    </row>
    <row r="52">
      <c r="C52" s="48"/>
    </row>
    <row r="53">
      <c r="C53" s="48"/>
    </row>
    <row r="54">
      <c r="C54" s="48"/>
    </row>
    <row r="55">
      <c r="C55" s="48"/>
    </row>
    <row r="56">
      <c r="C56" s="48"/>
    </row>
    <row r="57">
      <c r="C57" s="48"/>
    </row>
    <row r="58">
      <c r="C58" s="48"/>
    </row>
    <row r="59">
      <c r="C59" s="48"/>
    </row>
    <row r="60">
      <c r="C60" s="48"/>
    </row>
    <row r="61">
      <c r="C61" s="48"/>
    </row>
    <row r="62">
      <c r="C62" s="48"/>
    </row>
    <row r="63">
      <c r="C63" s="48"/>
    </row>
    <row r="64">
      <c r="C64" s="48"/>
    </row>
    <row r="65">
      <c r="C65" s="48"/>
    </row>
    <row r="66">
      <c r="C66" s="48"/>
    </row>
    <row r="67">
      <c r="C67" s="48"/>
    </row>
    <row r="68">
      <c r="C68" s="48"/>
    </row>
    <row r="69">
      <c r="C69" s="48"/>
    </row>
    <row r="70">
      <c r="C70" s="48"/>
    </row>
    <row r="71">
      <c r="C71" s="48"/>
    </row>
    <row r="72">
      <c r="C72" s="48"/>
    </row>
    <row r="73">
      <c r="C73" s="48"/>
    </row>
    <row r="74">
      <c r="C74" s="48"/>
    </row>
    <row r="75">
      <c r="C75" s="48"/>
    </row>
    <row r="76">
      <c r="C76" s="48"/>
    </row>
    <row r="77">
      <c r="C77" s="48"/>
    </row>
    <row r="78">
      <c r="C78" s="48"/>
    </row>
    <row r="79">
      <c r="C79" s="48"/>
    </row>
    <row r="80">
      <c r="C80" s="48"/>
    </row>
    <row r="81">
      <c r="C81" s="48"/>
    </row>
    <row r="82">
      <c r="C82" s="48"/>
    </row>
    <row r="83">
      <c r="C83" s="48"/>
    </row>
    <row r="84">
      <c r="C84" s="48"/>
    </row>
    <row r="85">
      <c r="C85" s="48"/>
    </row>
    <row r="86">
      <c r="C86" s="48"/>
    </row>
    <row r="87">
      <c r="C87" s="48"/>
    </row>
    <row r="88">
      <c r="C88" s="48"/>
    </row>
    <row r="89">
      <c r="C89" s="48"/>
    </row>
    <row r="90">
      <c r="C90" s="48"/>
    </row>
    <row r="91">
      <c r="C91" s="48"/>
    </row>
    <row r="92">
      <c r="C92" s="48"/>
    </row>
    <row r="93">
      <c r="C93" s="48"/>
    </row>
    <row r="94">
      <c r="C94" s="48"/>
    </row>
    <row r="95">
      <c r="C95" s="48"/>
    </row>
    <row r="96">
      <c r="C96" s="48"/>
    </row>
    <row r="97">
      <c r="C97" s="48"/>
    </row>
    <row r="98">
      <c r="C98" s="48"/>
    </row>
    <row r="99">
      <c r="C99" s="48"/>
    </row>
    <row r="100">
      <c r="C100" s="48"/>
    </row>
    <row r="101">
      <c r="C101" s="48"/>
    </row>
    <row r="102">
      <c r="C102" s="48"/>
    </row>
    <row r="103">
      <c r="C103" s="48"/>
    </row>
    <row r="104">
      <c r="C104" s="48"/>
    </row>
    <row r="105">
      <c r="C105" s="48"/>
    </row>
    <row r="106">
      <c r="C106" s="48"/>
    </row>
    <row r="107">
      <c r="C107" s="48"/>
    </row>
    <row r="108">
      <c r="C108" s="48"/>
    </row>
    <row r="109">
      <c r="C109" s="48"/>
    </row>
    <row r="110">
      <c r="C110" s="48"/>
    </row>
    <row r="111">
      <c r="C111" s="48"/>
    </row>
    <row r="112">
      <c r="C112" s="48"/>
    </row>
    <row r="113">
      <c r="C113" s="48"/>
    </row>
    <row r="114">
      <c r="C114" s="48"/>
    </row>
    <row r="115">
      <c r="C115" s="48"/>
    </row>
    <row r="116">
      <c r="C116" s="48"/>
    </row>
    <row r="117">
      <c r="C117" s="48"/>
    </row>
    <row r="118">
      <c r="C118" s="48"/>
    </row>
    <row r="119">
      <c r="C119" s="48"/>
    </row>
    <row r="120">
      <c r="C120" s="48"/>
    </row>
    <row r="121">
      <c r="C121" s="48"/>
    </row>
    <row r="122">
      <c r="C122" s="48"/>
    </row>
    <row r="123">
      <c r="C123" s="48"/>
    </row>
    <row r="124">
      <c r="C124" s="48"/>
    </row>
    <row r="125">
      <c r="C125" s="48"/>
    </row>
    <row r="126">
      <c r="C126" s="48"/>
    </row>
    <row r="127">
      <c r="C127" s="48"/>
    </row>
    <row r="128">
      <c r="C128" s="48"/>
    </row>
    <row r="129">
      <c r="C129" s="48"/>
    </row>
    <row r="130">
      <c r="C130" s="48"/>
    </row>
    <row r="131">
      <c r="C131" s="48"/>
    </row>
    <row r="132">
      <c r="C132" s="48"/>
    </row>
    <row r="133">
      <c r="C133" s="48"/>
    </row>
    <row r="134">
      <c r="C134" s="48"/>
    </row>
    <row r="135">
      <c r="C135" s="48"/>
    </row>
    <row r="136">
      <c r="C136" s="48"/>
    </row>
    <row r="137">
      <c r="C137" s="48"/>
    </row>
    <row r="138">
      <c r="C138" s="48"/>
    </row>
    <row r="139">
      <c r="C139" s="48"/>
    </row>
    <row r="140">
      <c r="C140" s="48"/>
    </row>
    <row r="141">
      <c r="C141" s="48"/>
    </row>
    <row r="142">
      <c r="C142" s="48"/>
    </row>
    <row r="143">
      <c r="C143" s="48"/>
    </row>
    <row r="144">
      <c r="C144" s="48"/>
    </row>
    <row r="145">
      <c r="C145" s="48"/>
    </row>
    <row r="146">
      <c r="C146" s="48"/>
    </row>
    <row r="147">
      <c r="C147" s="48"/>
    </row>
    <row r="148">
      <c r="C148" s="48"/>
    </row>
    <row r="149">
      <c r="C149" s="48"/>
    </row>
    <row r="150">
      <c r="C150" s="48"/>
    </row>
    <row r="151">
      <c r="C151" s="48"/>
    </row>
    <row r="152">
      <c r="C152" s="48"/>
    </row>
    <row r="153">
      <c r="C153" s="48"/>
    </row>
    <row r="154">
      <c r="C154" s="48"/>
    </row>
    <row r="155">
      <c r="C155" s="48"/>
    </row>
    <row r="156">
      <c r="C156" s="48"/>
    </row>
    <row r="157">
      <c r="C157" s="48"/>
    </row>
    <row r="158">
      <c r="C158" s="48"/>
    </row>
    <row r="159">
      <c r="C159" s="48"/>
    </row>
    <row r="160">
      <c r="C160" s="48"/>
    </row>
    <row r="161">
      <c r="C161" s="48"/>
    </row>
    <row r="162">
      <c r="C162" s="48"/>
    </row>
    <row r="163">
      <c r="C163" s="48"/>
    </row>
    <row r="164">
      <c r="C164" s="48"/>
    </row>
    <row r="165">
      <c r="C165" s="48"/>
    </row>
    <row r="166">
      <c r="C166" s="48"/>
    </row>
    <row r="167">
      <c r="C167" s="48"/>
    </row>
    <row r="168">
      <c r="C168" s="48"/>
    </row>
    <row r="169">
      <c r="C169" s="48"/>
    </row>
    <row r="170">
      <c r="C170" s="48"/>
    </row>
    <row r="171">
      <c r="C171" s="48"/>
    </row>
    <row r="172">
      <c r="C172" s="48"/>
    </row>
    <row r="173">
      <c r="C173" s="48"/>
    </row>
    <row r="174">
      <c r="C174" s="48"/>
    </row>
    <row r="175">
      <c r="C175" s="48"/>
    </row>
    <row r="176">
      <c r="C176" s="48"/>
    </row>
    <row r="177">
      <c r="C177" s="48"/>
    </row>
    <row r="178">
      <c r="C178" s="48"/>
    </row>
    <row r="179">
      <c r="C179" s="48"/>
    </row>
    <row r="180">
      <c r="C180" s="48"/>
    </row>
    <row r="181">
      <c r="C181" s="48"/>
    </row>
    <row r="182">
      <c r="C182" s="48"/>
    </row>
    <row r="183">
      <c r="C183" s="48"/>
    </row>
    <row r="184">
      <c r="C184" s="48"/>
    </row>
    <row r="185">
      <c r="C185" s="48"/>
    </row>
    <row r="186">
      <c r="C186" s="48"/>
    </row>
    <row r="187">
      <c r="C187" s="48"/>
    </row>
    <row r="188">
      <c r="C188" s="48"/>
    </row>
    <row r="189">
      <c r="C189" s="48"/>
    </row>
    <row r="190">
      <c r="C190" s="48"/>
    </row>
    <row r="191">
      <c r="C191" s="48"/>
    </row>
    <row r="192">
      <c r="C192" s="48"/>
    </row>
    <row r="193">
      <c r="C193" s="48"/>
    </row>
    <row r="194">
      <c r="C194" s="48"/>
    </row>
    <row r="195">
      <c r="C195" s="48"/>
    </row>
    <row r="196">
      <c r="C196" s="48"/>
    </row>
    <row r="197">
      <c r="C197" s="48"/>
    </row>
    <row r="198">
      <c r="C198" s="48"/>
    </row>
    <row r="199">
      <c r="C199" s="48"/>
    </row>
    <row r="200">
      <c r="C200" s="48"/>
    </row>
    <row r="201">
      <c r="C201" s="48"/>
    </row>
    <row r="202">
      <c r="C202" s="48"/>
    </row>
    <row r="203">
      <c r="C203" s="48"/>
    </row>
    <row r="204">
      <c r="C204" s="48"/>
    </row>
    <row r="205">
      <c r="C205" s="48"/>
    </row>
    <row r="206">
      <c r="C206" s="48"/>
    </row>
    <row r="207">
      <c r="C207" s="48"/>
    </row>
    <row r="208">
      <c r="C208" s="48"/>
    </row>
    <row r="209">
      <c r="C209" s="48"/>
    </row>
    <row r="210">
      <c r="C210" s="48"/>
    </row>
    <row r="211">
      <c r="C211" s="48"/>
    </row>
    <row r="212">
      <c r="C212" s="48"/>
    </row>
    <row r="213">
      <c r="C213" s="48"/>
    </row>
    <row r="214">
      <c r="C214" s="48"/>
    </row>
    <row r="215">
      <c r="C215" s="48"/>
    </row>
    <row r="216">
      <c r="C216" s="48"/>
    </row>
    <row r="217">
      <c r="C217" s="48"/>
    </row>
    <row r="218">
      <c r="C218" s="48"/>
    </row>
    <row r="219">
      <c r="C219" s="48"/>
    </row>
    <row r="220">
      <c r="C220" s="48"/>
    </row>
    <row r="221">
      <c r="C221" s="48"/>
    </row>
    <row r="222">
      <c r="C222" s="48"/>
    </row>
    <row r="223">
      <c r="C223" s="48"/>
    </row>
    <row r="224">
      <c r="C224" s="48"/>
    </row>
    <row r="225">
      <c r="C225" s="48"/>
    </row>
    <row r="226">
      <c r="C226" s="48"/>
    </row>
    <row r="227">
      <c r="C227" s="48"/>
    </row>
    <row r="228">
      <c r="C228" s="48"/>
    </row>
    <row r="229">
      <c r="C229" s="48"/>
    </row>
    <row r="230">
      <c r="C230" s="48"/>
    </row>
    <row r="231">
      <c r="C231" s="48"/>
    </row>
    <row r="232">
      <c r="C232" s="48"/>
    </row>
    <row r="233">
      <c r="C233" s="48"/>
    </row>
    <row r="234">
      <c r="C234" s="48"/>
    </row>
    <row r="235">
      <c r="C235" s="48"/>
    </row>
    <row r="236">
      <c r="C236" s="48"/>
    </row>
    <row r="237">
      <c r="C237" s="48"/>
    </row>
    <row r="238">
      <c r="C238" s="48"/>
    </row>
    <row r="239">
      <c r="C239" s="48"/>
    </row>
    <row r="240">
      <c r="C240" s="48"/>
    </row>
    <row r="241">
      <c r="C241" s="48"/>
    </row>
    <row r="242">
      <c r="C242" s="48"/>
    </row>
    <row r="243">
      <c r="C243" s="48"/>
    </row>
    <row r="244">
      <c r="C244" s="48"/>
    </row>
    <row r="245">
      <c r="C245" s="48"/>
    </row>
    <row r="246">
      <c r="C246" s="48"/>
    </row>
    <row r="247">
      <c r="C247" s="48"/>
    </row>
    <row r="248">
      <c r="C248" s="48"/>
    </row>
    <row r="249">
      <c r="C249" s="48"/>
    </row>
    <row r="250">
      <c r="C250" s="48"/>
    </row>
    <row r="251">
      <c r="C251" s="48"/>
    </row>
    <row r="252">
      <c r="C252" s="48"/>
    </row>
    <row r="253">
      <c r="C253" s="48"/>
    </row>
    <row r="254">
      <c r="C254" s="48"/>
    </row>
    <row r="255">
      <c r="C255" s="48"/>
    </row>
    <row r="256">
      <c r="C256" s="48"/>
    </row>
    <row r="257">
      <c r="C257" s="48"/>
    </row>
    <row r="258">
      <c r="C258" s="48"/>
    </row>
    <row r="259">
      <c r="C259" s="48"/>
    </row>
    <row r="260">
      <c r="C260" s="48"/>
    </row>
    <row r="261">
      <c r="C261" s="48"/>
    </row>
    <row r="262">
      <c r="C262" s="48"/>
    </row>
    <row r="263">
      <c r="C263" s="48"/>
    </row>
    <row r="264">
      <c r="C264" s="48"/>
    </row>
    <row r="265">
      <c r="C265" s="48"/>
    </row>
    <row r="266">
      <c r="C266" s="48"/>
    </row>
    <row r="267">
      <c r="C267" s="48"/>
    </row>
    <row r="268">
      <c r="C268" s="48"/>
    </row>
    <row r="269">
      <c r="C269" s="48"/>
    </row>
    <row r="270">
      <c r="C270" s="48"/>
    </row>
    <row r="271">
      <c r="C271" s="48"/>
    </row>
    <row r="272">
      <c r="C272" s="48"/>
    </row>
    <row r="273">
      <c r="C273" s="48"/>
    </row>
    <row r="274">
      <c r="C274" s="48"/>
    </row>
    <row r="275">
      <c r="C275" s="48"/>
    </row>
    <row r="276">
      <c r="C276" s="48"/>
    </row>
    <row r="277">
      <c r="C277" s="48"/>
    </row>
    <row r="278">
      <c r="C278" s="48"/>
    </row>
    <row r="279">
      <c r="C279" s="48"/>
    </row>
    <row r="280">
      <c r="C280" s="48"/>
    </row>
    <row r="281">
      <c r="C281" s="48"/>
    </row>
    <row r="282">
      <c r="C282" s="48"/>
    </row>
    <row r="283">
      <c r="C283" s="48"/>
    </row>
    <row r="284">
      <c r="C284" s="48"/>
    </row>
    <row r="285">
      <c r="C285" s="48"/>
    </row>
    <row r="286">
      <c r="C286" s="48"/>
    </row>
    <row r="287">
      <c r="C287" s="48"/>
    </row>
    <row r="288">
      <c r="C288" s="48"/>
    </row>
    <row r="289">
      <c r="C289" s="48"/>
    </row>
    <row r="290">
      <c r="C290" s="48"/>
    </row>
    <row r="291">
      <c r="C291" s="48"/>
    </row>
    <row r="292">
      <c r="C292" s="48"/>
    </row>
    <row r="293">
      <c r="C293" s="48"/>
    </row>
    <row r="294">
      <c r="C294" s="48"/>
    </row>
    <row r="295">
      <c r="C295" s="48"/>
    </row>
    <row r="296">
      <c r="C296" s="48"/>
    </row>
    <row r="297">
      <c r="C297" s="48"/>
    </row>
    <row r="298">
      <c r="C298" s="48"/>
    </row>
    <row r="299">
      <c r="C299" s="48"/>
    </row>
    <row r="300">
      <c r="C300" s="48"/>
    </row>
    <row r="301">
      <c r="C301" s="48"/>
    </row>
    <row r="302">
      <c r="C302" s="48"/>
    </row>
    <row r="303">
      <c r="C303" s="48"/>
    </row>
    <row r="304">
      <c r="C304" s="48"/>
    </row>
    <row r="305">
      <c r="C305" s="48"/>
    </row>
    <row r="306">
      <c r="C306" s="48"/>
    </row>
    <row r="307">
      <c r="C307" s="48"/>
    </row>
    <row r="308">
      <c r="C308" s="48"/>
    </row>
    <row r="309">
      <c r="C309" s="48"/>
    </row>
    <row r="310">
      <c r="C310" s="48"/>
    </row>
    <row r="311">
      <c r="C311" s="48"/>
    </row>
    <row r="312">
      <c r="C312" s="48"/>
    </row>
    <row r="313">
      <c r="C313" s="48"/>
    </row>
    <row r="314">
      <c r="C314" s="48"/>
    </row>
    <row r="315">
      <c r="C315" s="48"/>
    </row>
    <row r="316">
      <c r="C316" s="48"/>
    </row>
    <row r="317">
      <c r="C317" s="48"/>
    </row>
    <row r="318">
      <c r="C318" s="48"/>
    </row>
    <row r="319">
      <c r="C319" s="48"/>
    </row>
    <row r="320">
      <c r="C320" s="48"/>
    </row>
    <row r="321">
      <c r="C321" s="48"/>
    </row>
    <row r="322">
      <c r="C322" s="48"/>
    </row>
    <row r="323">
      <c r="C323" s="48"/>
    </row>
    <row r="324">
      <c r="C324" s="48"/>
    </row>
    <row r="325">
      <c r="C325" s="48"/>
    </row>
    <row r="326">
      <c r="C326" s="48"/>
    </row>
    <row r="327">
      <c r="C327" s="48"/>
    </row>
    <row r="328">
      <c r="C328" s="48"/>
    </row>
    <row r="329">
      <c r="C329" s="48"/>
    </row>
    <row r="330">
      <c r="C330" s="48"/>
    </row>
    <row r="331">
      <c r="C331" s="48"/>
    </row>
    <row r="332">
      <c r="C332" s="48"/>
    </row>
    <row r="333">
      <c r="C333" s="48"/>
    </row>
    <row r="334">
      <c r="C334" s="48"/>
    </row>
    <row r="335">
      <c r="C335" s="48"/>
    </row>
    <row r="336">
      <c r="C336" s="48"/>
    </row>
    <row r="337">
      <c r="C337" s="48"/>
    </row>
    <row r="338">
      <c r="C338" s="48"/>
    </row>
    <row r="339">
      <c r="C339" s="48"/>
    </row>
    <row r="340">
      <c r="C340" s="48"/>
    </row>
    <row r="341">
      <c r="C341" s="48"/>
    </row>
    <row r="342">
      <c r="C342" s="48"/>
    </row>
    <row r="343">
      <c r="C343" s="48"/>
    </row>
    <row r="344">
      <c r="C344" s="48"/>
    </row>
    <row r="345">
      <c r="C345" s="48"/>
    </row>
    <row r="346">
      <c r="C346" s="48"/>
    </row>
    <row r="347">
      <c r="C347" s="48"/>
    </row>
    <row r="348">
      <c r="C348" s="48"/>
    </row>
    <row r="349">
      <c r="C349" s="48"/>
    </row>
    <row r="350">
      <c r="C350" s="48"/>
    </row>
    <row r="351">
      <c r="C351" s="48"/>
    </row>
    <row r="352">
      <c r="C352" s="48"/>
    </row>
    <row r="353">
      <c r="C353" s="48"/>
    </row>
    <row r="354">
      <c r="C354" s="48"/>
    </row>
    <row r="355">
      <c r="C355" s="48"/>
    </row>
    <row r="356">
      <c r="C356" s="48"/>
    </row>
    <row r="357">
      <c r="C357" s="48"/>
    </row>
    <row r="358">
      <c r="C358" s="48"/>
    </row>
    <row r="359">
      <c r="C359" s="48"/>
    </row>
    <row r="360">
      <c r="C360" s="48"/>
    </row>
    <row r="361">
      <c r="C361" s="48"/>
    </row>
    <row r="362">
      <c r="C362" s="48"/>
    </row>
    <row r="363">
      <c r="C363" s="48"/>
    </row>
    <row r="364">
      <c r="C364" s="48"/>
    </row>
    <row r="365">
      <c r="C365" s="48"/>
    </row>
    <row r="366">
      <c r="C366" s="48"/>
    </row>
    <row r="367">
      <c r="C367" s="48"/>
    </row>
    <row r="368">
      <c r="C368" s="48"/>
    </row>
    <row r="369">
      <c r="C369" s="48"/>
    </row>
    <row r="370">
      <c r="C370" s="48"/>
    </row>
    <row r="371">
      <c r="C371" s="48"/>
    </row>
    <row r="372">
      <c r="C372" s="48"/>
    </row>
    <row r="373">
      <c r="C373" s="48"/>
    </row>
    <row r="374">
      <c r="C374" s="48"/>
    </row>
    <row r="375">
      <c r="C375" s="48"/>
    </row>
    <row r="376">
      <c r="C376" s="48"/>
    </row>
    <row r="377">
      <c r="C377" s="48"/>
    </row>
    <row r="378">
      <c r="C378" s="48"/>
    </row>
    <row r="379">
      <c r="C379" s="48"/>
    </row>
    <row r="380">
      <c r="C380" s="48"/>
    </row>
    <row r="381">
      <c r="C381" s="48"/>
    </row>
    <row r="382">
      <c r="C382" s="48"/>
    </row>
    <row r="383">
      <c r="C383" s="48"/>
    </row>
    <row r="384">
      <c r="C384" s="48"/>
    </row>
    <row r="385">
      <c r="C385" s="48"/>
    </row>
    <row r="386">
      <c r="C386" s="48"/>
    </row>
    <row r="387">
      <c r="C387" s="48"/>
    </row>
    <row r="388">
      <c r="C388" s="48"/>
    </row>
    <row r="389">
      <c r="C389" s="48"/>
    </row>
    <row r="390">
      <c r="C390" s="48"/>
    </row>
    <row r="391">
      <c r="C391" s="48"/>
    </row>
    <row r="392">
      <c r="C392" s="48"/>
    </row>
    <row r="393">
      <c r="C393" s="48"/>
    </row>
    <row r="394">
      <c r="C394" s="48"/>
    </row>
    <row r="395">
      <c r="C395" s="48"/>
    </row>
    <row r="396">
      <c r="C396" s="48"/>
    </row>
    <row r="397">
      <c r="C397" s="48"/>
    </row>
    <row r="398">
      <c r="C398" s="48"/>
    </row>
    <row r="399">
      <c r="C399" s="48"/>
    </row>
    <row r="400">
      <c r="C400" s="48"/>
    </row>
    <row r="401">
      <c r="C401" s="48"/>
    </row>
    <row r="402">
      <c r="C402" s="48"/>
    </row>
    <row r="403">
      <c r="C403" s="48"/>
    </row>
    <row r="404">
      <c r="C404" s="48"/>
    </row>
    <row r="405">
      <c r="C405" s="48"/>
    </row>
    <row r="406">
      <c r="C406" s="48"/>
    </row>
    <row r="407">
      <c r="C407" s="48"/>
    </row>
    <row r="408">
      <c r="C408" s="48"/>
    </row>
    <row r="409">
      <c r="C409" s="48"/>
    </row>
    <row r="410">
      <c r="C410" s="48"/>
    </row>
    <row r="411">
      <c r="C411" s="48"/>
    </row>
    <row r="412">
      <c r="C412" s="48"/>
    </row>
    <row r="413">
      <c r="C413" s="48"/>
    </row>
    <row r="414">
      <c r="C414" s="48"/>
    </row>
    <row r="415">
      <c r="C415" s="48"/>
    </row>
    <row r="416">
      <c r="C416" s="48"/>
    </row>
    <row r="417">
      <c r="C417" s="48"/>
    </row>
    <row r="418">
      <c r="C418" s="48"/>
    </row>
    <row r="419">
      <c r="C419" s="48"/>
    </row>
    <row r="420">
      <c r="C420" s="48"/>
    </row>
    <row r="421">
      <c r="C421" s="48"/>
    </row>
    <row r="422">
      <c r="C422" s="48"/>
    </row>
    <row r="423">
      <c r="C423" s="48"/>
    </row>
    <row r="424">
      <c r="C424" s="48"/>
    </row>
    <row r="425">
      <c r="C425" s="48"/>
    </row>
    <row r="426">
      <c r="C426" s="48"/>
    </row>
    <row r="427">
      <c r="C427" s="48"/>
    </row>
    <row r="428">
      <c r="C428" s="48"/>
    </row>
    <row r="429">
      <c r="C429" s="48"/>
    </row>
    <row r="430">
      <c r="C430" s="48"/>
    </row>
    <row r="431">
      <c r="C431" s="48"/>
    </row>
    <row r="432">
      <c r="C432" s="48"/>
    </row>
    <row r="433">
      <c r="C433" s="48"/>
    </row>
    <row r="434">
      <c r="C434" s="48"/>
    </row>
    <row r="435">
      <c r="C435" s="48"/>
    </row>
    <row r="436">
      <c r="C436" s="48"/>
    </row>
    <row r="437">
      <c r="C437" s="48"/>
    </row>
    <row r="438">
      <c r="C438" s="48"/>
    </row>
    <row r="439">
      <c r="C439" s="48"/>
    </row>
    <row r="440">
      <c r="C440" s="48"/>
    </row>
    <row r="441">
      <c r="C441" s="48"/>
    </row>
    <row r="442">
      <c r="C442" s="48"/>
    </row>
    <row r="443">
      <c r="C443" s="48"/>
    </row>
    <row r="444">
      <c r="C444" s="48"/>
    </row>
    <row r="445">
      <c r="C445" s="48"/>
    </row>
    <row r="446">
      <c r="C446" s="48"/>
    </row>
    <row r="447">
      <c r="C447" s="48"/>
    </row>
    <row r="448">
      <c r="C448" s="48"/>
    </row>
    <row r="449">
      <c r="C449" s="48"/>
    </row>
    <row r="450">
      <c r="C450" s="48"/>
    </row>
    <row r="451">
      <c r="C451" s="48"/>
    </row>
    <row r="452">
      <c r="C452" s="48"/>
    </row>
    <row r="453">
      <c r="C453" s="48"/>
    </row>
    <row r="454">
      <c r="C454" s="48"/>
    </row>
    <row r="455">
      <c r="C455" s="48"/>
    </row>
    <row r="456">
      <c r="C456" s="48"/>
    </row>
    <row r="457">
      <c r="C457" s="48"/>
    </row>
    <row r="458">
      <c r="C458" s="48"/>
    </row>
    <row r="459">
      <c r="C459" s="48"/>
    </row>
    <row r="460">
      <c r="C460" s="48"/>
    </row>
    <row r="461">
      <c r="C461" s="48"/>
    </row>
    <row r="462">
      <c r="C462" s="48"/>
    </row>
    <row r="463">
      <c r="C463" s="48"/>
    </row>
    <row r="464">
      <c r="C464" s="48"/>
    </row>
    <row r="465">
      <c r="C465" s="48"/>
    </row>
    <row r="466">
      <c r="C466" s="48"/>
    </row>
    <row r="467">
      <c r="C467" s="48"/>
    </row>
    <row r="468">
      <c r="C468" s="48"/>
    </row>
    <row r="469">
      <c r="C469" s="48"/>
    </row>
    <row r="470">
      <c r="C470" s="48"/>
    </row>
    <row r="471">
      <c r="C471" s="48"/>
    </row>
    <row r="472">
      <c r="C472" s="48"/>
    </row>
    <row r="473">
      <c r="C473" s="48"/>
    </row>
    <row r="474">
      <c r="C474" s="48"/>
    </row>
    <row r="475">
      <c r="C475" s="48"/>
    </row>
    <row r="476">
      <c r="C476" s="48"/>
    </row>
    <row r="477">
      <c r="C477" s="48"/>
    </row>
    <row r="478">
      <c r="C478" s="48"/>
    </row>
    <row r="479">
      <c r="C479" s="48"/>
    </row>
    <row r="480">
      <c r="C480" s="48"/>
    </row>
    <row r="481">
      <c r="C481" s="48"/>
    </row>
    <row r="482">
      <c r="C482" s="48"/>
    </row>
    <row r="483">
      <c r="C483" s="48"/>
    </row>
    <row r="484">
      <c r="C484" s="48"/>
    </row>
    <row r="485">
      <c r="C485" s="48"/>
    </row>
    <row r="486">
      <c r="C486" s="48"/>
    </row>
    <row r="487">
      <c r="C487" s="48"/>
    </row>
    <row r="488">
      <c r="C488" s="48"/>
    </row>
    <row r="489">
      <c r="C489" s="48"/>
    </row>
    <row r="490">
      <c r="C490" s="48"/>
    </row>
    <row r="491">
      <c r="C491" s="48"/>
    </row>
    <row r="492">
      <c r="C492" s="48"/>
    </row>
    <row r="493">
      <c r="C493" s="48"/>
    </row>
    <row r="494">
      <c r="C494" s="48"/>
    </row>
    <row r="495">
      <c r="C495" s="48"/>
    </row>
    <row r="496">
      <c r="C496" s="48"/>
    </row>
    <row r="497">
      <c r="C497" s="48"/>
    </row>
    <row r="498">
      <c r="C498" s="48"/>
    </row>
    <row r="499">
      <c r="C499" s="48"/>
    </row>
    <row r="500">
      <c r="C500" s="48"/>
    </row>
    <row r="501">
      <c r="C501" s="48"/>
    </row>
    <row r="502">
      <c r="C502" s="48"/>
    </row>
    <row r="503">
      <c r="C503" s="48"/>
    </row>
    <row r="504">
      <c r="C504" s="48"/>
    </row>
    <row r="505">
      <c r="C505" s="48"/>
    </row>
    <row r="506">
      <c r="C506" s="48"/>
    </row>
    <row r="507">
      <c r="C507" s="48"/>
    </row>
    <row r="508">
      <c r="C508" s="48"/>
    </row>
    <row r="509">
      <c r="C509" s="48"/>
    </row>
    <row r="510">
      <c r="C510" s="48"/>
    </row>
    <row r="511">
      <c r="C511" s="48"/>
    </row>
    <row r="512">
      <c r="C512" s="48"/>
    </row>
    <row r="513">
      <c r="C513" s="48"/>
    </row>
    <row r="514">
      <c r="C514" s="48"/>
    </row>
    <row r="515">
      <c r="C515" s="48"/>
    </row>
    <row r="516">
      <c r="C516" s="48"/>
    </row>
    <row r="517">
      <c r="C517" s="48"/>
    </row>
    <row r="518">
      <c r="C518" s="48"/>
    </row>
    <row r="519">
      <c r="C519" s="48"/>
    </row>
    <row r="520">
      <c r="C520" s="48"/>
    </row>
    <row r="521">
      <c r="C521" s="48"/>
    </row>
    <row r="522">
      <c r="C522" s="48"/>
    </row>
    <row r="523">
      <c r="C523" s="48"/>
    </row>
    <row r="524">
      <c r="C524" s="48"/>
    </row>
    <row r="525">
      <c r="C525" s="48"/>
    </row>
    <row r="526">
      <c r="C526" s="48"/>
    </row>
    <row r="527">
      <c r="C527" s="48"/>
    </row>
    <row r="528">
      <c r="C528" s="48"/>
    </row>
    <row r="529">
      <c r="C529" s="48"/>
    </row>
    <row r="530">
      <c r="C530" s="48"/>
    </row>
    <row r="531">
      <c r="C531" s="48"/>
    </row>
    <row r="532">
      <c r="C532" s="48"/>
    </row>
    <row r="533">
      <c r="C533" s="48"/>
    </row>
    <row r="534">
      <c r="C534" s="48"/>
    </row>
    <row r="535">
      <c r="C535" s="48"/>
    </row>
    <row r="536">
      <c r="C536" s="48"/>
    </row>
    <row r="537">
      <c r="C537" s="48"/>
    </row>
    <row r="538">
      <c r="C538" s="48"/>
    </row>
    <row r="539">
      <c r="C539" s="48"/>
    </row>
    <row r="540">
      <c r="C540" s="48"/>
    </row>
    <row r="541">
      <c r="C541" s="48"/>
    </row>
    <row r="542">
      <c r="C542" s="48"/>
    </row>
    <row r="543">
      <c r="C543" s="48"/>
    </row>
    <row r="544">
      <c r="C544" s="48"/>
    </row>
    <row r="545">
      <c r="C545" s="48"/>
    </row>
    <row r="546">
      <c r="C546" s="48"/>
    </row>
    <row r="547">
      <c r="C547" s="48"/>
    </row>
    <row r="548">
      <c r="C548" s="48"/>
    </row>
    <row r="549">
      <c r="C549" s="48"/>
    </row>
    <row r="550">
      <c r="C550" s="48"/>
    </row>
    <row r="551">
      <c r="C551" s="48"/>
    </row>
    <row r="552">
      <c r="C552" s="48"/>
    </row>
    <row r="553">
      <c r="C553" s="48"/>
    </row>
    <row r="554">
      <c r="C554" s="48"/>
    </row>
    <row r="555">
      <c r="C555" s="48"/>
    </row>
    <row r="556">
      <c r="C556" s="48"/>
    </row>
    <row r="557">
      <c r="C557" s="48"/>
    </row>
    <row r="558">
      <c r="C558" s="48"/>
    </row>
    <row r="559">
      <c r="C559" s="48"/>
    </row>
    <row r="560">
      <c r="C560" s="48"/>
    </row>
    <row r="561">
      <c r="C561" s="48"/>
    </row>
    <row r="562">
      <c r="C562" s="48"/>
    </row>
    <row r="563">
      <c r="C563" s="48"/>
    </row>
    <row r="564">
      <c r="C564" s="48"/>
    </row>
    <row r="565">
      <c r="C565" s="48"/>
    </row>
    <row r="566">
      <c r="C566" s="48"/>
    </row>
    <row r="567">
      <c r="C567" s="48"/>
    </row>
    <row r="568">
      <c r="C568" s="48"/>
    </row>
    <row r="569">
      <c r="C569" s="48"/>
    </row>
    <row r="570">
      <c r="C570" s="48"/>
    </row>
    <row r="571">
      <c r="C571" s="48"/>
    </row>
    <row r="572">
      <c r="C572" s="48"/>
    </row>
    <row r="573">
      <c r="C573" s="48"/>
    </row>
    <row r="574">
      <c r="C574" s="48"/>
    </row>
    <row r="575">
      <c r="C575" s="48"/>
    </row>
    <row r="576">
      <c r="C576" s="48"/>
    </row>
    <row r="577">
      <c r="C577" s="48"/>
    </row>
    <row r="578">
      <c r="C578" s="48"/>
    </row>
    <row r="579">
      <c r="C579" s="48"/>
    </row>
    <row r="580">
      <c r="C580" s="48"/>
    </row>
    <row r="581">
      <c r="C581" s="48"/>
    </row>
    <row r="582">
      <c r="C582" s="48"/>
    </row>
    <row r="583">
      <c r="C583" s="48"/>
    </row>
    <row r="584">
      <c r="C584" s="48"/>
    </row>
    <row r="585">
      <c r="C585" s="48"/>
    </row>
    <row r="586">
      <c r="C586" s="48"/>
    </row>
    <row r="587">
      <c r="C587" s="48"/>
    </row>
    <row r="588">
      <c r="C588" s="48"/>
    </row>
    <row r="589">
      <c r="C589" s="48"/>
    </row>
    <row r="590">
      <c r="C590" s="48"/>
    </row>
    <row r="591">
      <c r="C591" s="48"/>
    </row>
    <row r="592">
      <c r="C592" s="48"/>
    </row>
    <row r="593">
      <c r="C593" s="48"/>
    </row>
    <row r="594">
      <c r="C594" s="48"/>
    </row>
    <row r="595">
      <c r="C595" s="48"/>
    </row>
    <row r="596">
      <c r="C596" s="48"/>
    </row>
    <row r="597">
      <c r="C597" s="48"/>
    </row>
    <row r="598">
      <c r="C598" s="48"/>
    </row>
    <row r="599">
      <c r="C599" s="48"/>
    </row>
    <row r="600">
      <c r="C600" s="48"/>
    </row>
    <row r="601">
      <c r="C601" s="48"/>
    </row>
    <row r="602">
      <c r="C602" s="48"/>
    </row>
    <row r="603">
      <c r="C603" s="48"/>
    </row>
    <row r="604">
      <c r="C604" s="48"/>
    </row>
    <row r="605">
      <c r="C605" s="48"/>
    </row>
    <row r="606">
      <c r="C606" s="48"/>
    </row>
    <row r="607">
      <c r="C607" s="48"/>
    </row>
    <row r="608">
      <c r="C608" s="48"/>
    </row>
    <row r="609">
      <c r="C609" s="48"/>
    </row>
    <row r="610">
      <c r="C610" s="48"/>
    </row>
    <row r="611">
      <c r="C611" s="48"/>
    </row>
    <row r="612">
      <c r="C612" s="48"/>
    </row>
    <row r="613">
      <c r="C613" s="48"/>
    </row>
    <row r="614">
      <c r="C614" s="48"/>
    </row>
    <row r="615">
      <c r="C615" s="48"/>
    </row>
    <row r="616">
      <c r="C616" s="48"/>
    </row>
    <row r="617">
      <c r="C617" s="48"/>
    </row>
    <row r="618">
      <c r="C618" s="48"/>
    </row>
    <row r="619">
      <c r="C619" s="48"/>
    </row>
    <row r="620">
      <c r="C620" s="48"/>
    </row>
    <row r="621">
      <c r="C621" s="48"/>
    </row>
    <row r="622">
      <c r="C622" s="48"/>
    </row>
    <row r="623">
      <c r="C623" s="48"/>
    </row>
    <row r="624">
      <c r="C624" s="48"/>
    </row>
    <row r="625">
      <c r="C625" s="48"/>
    </row>
    <row r="626">
      <c r="C626" s="48"/>
    </row>
    <row r="627">
      <c r="C627" s="48"/>
    </row>
    <row r="628">
      <c r="C628" s="48"/>
    </row>
    <row r="629">
      <c r="C629" s="48"/>
    </row>
    <row r="630">
      <c r="C630" s="48"/>
    </row>
    <row r="631">
      <c r="C631" s="48"/>
    </row>
    <row r="632">
      <c r="C632" s="48"/>
    </row>
    <row r="633">
      <c r="C633" s="48"/>
    </row>
    <row r="634">
      <c r="C634" s="48"/>
    </row>
    <row r="635">
      <c r="C635" s="48"/>
    </row>
    <row r="636">
      <c r="C636" s="48"/>
    </row>
    <row r="637">
      <c r="C637" s="48"/>
    </row>
    <row r="638">
      <c r="C638" s="48"/>
    </row>
    <row r="639">
      <c r="C639" s="48"/>
    </row>
    <row r="640">
      <c r="C640" s="48"/>
    </row>
    <row r="641">
      <c r="C641" s="48"/>
    </row>
    <row r="642">
      <c r="C642" s="48"/>
    </row>
    <row r="643">
      <c r="C643" s="48"/>
    </row>
    <row r="644">
      <c r="C644" s="48"/>
    </row>
    <row r="645">
      <c r="C645" s="48"/>
    </row>
    <row r="646">
      <c r="C646" s="48"/>
    </row>
    <row r="647">
      <c r="C647" s="48"/>
    </row>
    <row r="648">
      <c r="C648" s="48"/>
    </row>
    <row r="649">
      <c r="C649" s="48"/>
    </row>
    <row r="650">
      <c r="C650" s="48"/>
    </row>
    <row r="651">
      <c r="C651" s="48"/>
    </row>
    <row r="652">
      <c r="C652" s="48"/>
    </row>
    <row r="653">
      <c r="C653" s="48"/>
    </row>
    <row r="654">
      <c r="C654" s="48"/>
    </row>
    <row r="655">
      <c r="C655" s="48"/>
    </row>
    <row r="656">
      <c r="C656" s="48"/>
    </row>
    <row r="657">
      <c r="C657" s="48"/>
    </row>
    <row r="658">
      <c r="C658" s="48"/>
    </row>
    <row r="659">
      <c r="C659" s="48"/>
    </row>
    <row r="660">
      <c r="C660" s="48"/>
    </row>
    <row r="661">
      <c r="C661" s="48"/>
    </row>
    <row r="662">
      <c r="C662" s="48"/>
    </row>
    <row r="663">
      <c r="C663" s="48"/>
    </row>
    <row r="664">
      <c r="C664" s="48"/>
    </row>
    <row r="665">
      <c r="C665" s="48"/>
    </row>
    <row r="666">
      <c r="C666" s="48"/>
    </row>
    <row r="667">
      <c r="C667" s="48"/>
    </row>
    <row r="668">
      <c r="C668" s="48"/>
    </row>
    <row r="669">
      <c r="C669" s="48"/>
    </row>
    <row r="670">
      <c r="C670" s="48"/>
    </row>
    <row r="671">
      <c r="C671" s="48"/>
    </row>
    <row r="672">
      <c r="C672" s="48"/>
    </row>
    <row r="673">
      <c r="C673" s="48"/>
    </row>
    <row r="674">
      <c r="C674" s="48"/>
    </row>
    <row r="675">
      <c r="C675" s="48"/>
    </row>
    <row r="676">
      <c r="C676" s="48"/>
    </row>
    <row r="677">
      <c r="C677" s="48"/>
    </row>
    <row r="678">
      <c r="C678" s="48"/>
    </row>
    <row r="679">
      <c r="C679" s="48"/>
    </row>
    <row r="680">
      <c r="C680" s="48"/>
    </row>
    <row r="681">
      <c r="C681" s="48"/>
    </row>
    <row r="682">
      <c r="C682" s="48"/>
    </row>
    <row r="683">
      <c r="C683" s="48"/>
    </row>
    <row r="684">
      <c r="C684" s="48"/>
    </row>
    <row r="685">
      <c r="C685" s="48"/>
    </row>
    <row r="686">
      <c r="C686" s="48"/>
    </row>
    <row r="687">
      <c r="C687" s="48"/>
    </row>
    <row r="688">
      <c r="C688" s="48"/>
    </row>
    <row r="689">
      <c r="C689" s="48"/>
    </row>
    <row r="690">
      <c r="C690" s="48"/>
    </row>
    <row r="691">
      <c r="C691" s="48"/>
    </row>
    <row r="692">
      <c r="C692" s="48"/>
    </row>
    <row r="693">
      <c r="C693" s="48"/>
    </row>
    <row r="694">
      <c r="C694" s="48"/>
    </row>
    <row r="695">
      <c r="C695" s="48"/>
    </row>
    <row r="696">
      <c r="C696" s="48"/>
    </row>
    <row r="697">
      <c r="C697" s="48"/>
    </row>
    <row r="698">
      <c r="C698" s="48"/>
    </row>
    <row r="699">
      <c r="C699" s="48"/>
    </row>
    <row r="700">
      <c r="C700" s="48"/>
    </row>
    <row r="701">
      <c r="C701" s="48"/>
    </row>
    <row r="702">
      <c r="C702" s="48"/>
    </row>
    <row r="703">
      <c r="C703" s="48"/>
    </row>
    <row r="704">
      <c r="C704" s="48"/>
    </row>
    <row r="705">
      <c r="C705" s="48"/>
    </row>
    <row r="706">
      <c r="C706" s="48"/>
    </row>
    <row r="707">
      <c r="C707" s="48"/>
    </row>
    <row r="708">
      <c r="C708" s="48"/>
    </row>
    <row r="709">
      <c r="C709" s="48"/>
    </row>
    <row r="710">
      <c r="C710" s="48"/>
    </row>
    <row r="711">
      <c r="C711" s="48"/>
    </row>
    <row r="712">
      <c r="C712" s="48"/>
    </row>
    <row r="713">
      <c r="C713" s="48"/>
    </row>
    <row r="714">
      <c r="C714" s="48"/>
    </row>
    <row r="715">
      <c r="C715" s="48"/>
    </row>
    <row r="716">
      <c r="C716" s="48"/>
    </row>
    <row r="717">
      <c r="C717" s="48"/>
    </row>
    <row r="718">
      <c r="C718" s="48"/>
    </row>
    <row r="719">
      <c r="C719" s="48"/>
    </row>
    <row r="720">
      <c r="C720" s="48"/>
    </row>
    <row r="721">
      <c r="C721" s="48"/>
    </row>
    <row r="722">
      <c r="C722" s="48"/>
    </row>
    <row r="723">
      <c r="C723" s="48"/>
    </row>
    <row r="724">
      <c r="C724" s="48"/>
    </row>
    <row r="725">
      <c r="C725" s="48"/>
    </row>
    <row r="726">
      <c r="C726" s="48"/>
    </row>
    <row r="727">
      <c r="C727" s="48"/>
    </row>
    <row r="728">
      <c r="C728" s="48"/>
    </row>
    <row r="729">
      <c r="C729" s="48"/>
    </row>
    <row r="730">
      <c r="C730" s="48"/>
    </row>
    <row r="731">
      <c r="C731" s="48"/>
    </row>
    <row r="732">
      <c r="C732" s="48"/>
    </row>
    <row r="733">
      <c r="C733" s="48"/>
    </row>
    <row r="734">
      <c r="C734" s="48"/>
    </row>
    <row r="735">
      <c r="C735" s="48"/>
    </row>
    <row r="736">
      <c r="C736" s="48"/>
    </row>
    <row r="737">
      <c r="C737" s="48"/>
    </row>
    <row r="738">
      <c r="C738" s="48"/>
    </row>
    <row r="739">
      <c r="C739" s="48"/>
    </row>
    <row r="740">
      <c r="C740" s="48"/>
    </row>
    <row r="741">
      <c r="C741" s="48"/>
    </row>
    <row r="742">
      <c r="C742" s="48"/>
    </row>
    <row r="743">
      <c r="C743" s="48"/>
    </row>
    <row r="744">
      <c r="C744" s="48"/>
    </row>
    <row r="745">
      <c r="C745" s="48"/>
    </row>
    <row r="746">
      <c r="C746" s="48"/>
    </row>
    <row r="747">
      <c r="C747" s="48"/>
    </row>
    <row r="748">
      <c r="C748" s="48"/>
    </row>
    <row r="749">
      <c r="C749" s="48"/>
    </row>
    <row r="750">
      <c r="C750" s="48"/>
    </row>
    <row r="751">
      <c r="C751" s="48"/>
    </row>
    <row r="752">
      <c r="C752" s="48"/>
    </row>
    <row r="753">
      <c r="C753" s="48"/>
    </row>
    <row r="754">
      <c r="C754" s="48"/>
    </row>
    <row r="755">
      <c r="C755" s="48"/>
    </row>
    <row r="756">
      <c r="C756" s="48"/>
    </row>
    <row r="757">
      <c r="C757" s="48"/>
    </row>
    <row r="758">
      <c r="C758" s="48"/>
    </row>
    <row r="759">
      <c r="C759" s="48"/>
    </row>
    <row r="760">
      <c r="C760" s="48"/>
    </row>
    <row r="761">
      <c r="C761" s="48"/>
    </row>
    <row r="762">
      <c r="C762" s="48"/>
    </row>
    <row r="763">
      <c r="C763" s="48"/>
    </row>
    <row r="764">
      <c r="C764" s="48"/>
    </row>
    <row r="765">
      <c r="C765" s="48"/>
    </row>
    <row r="766">
      <c r="C766" s="48"/>
    </row>
    <row r="767">
      <c r="C767" s="48"/>
    </row>
    <row r="768">
      <c r="C768" s="48"/>
    </row>
    <row r="769">
      <c r="C769" s="48"/>
    </row>
    <row r="770">
      <c r="C770" s="48"/>
    </row>
    <row r="771">
      <c r="C771" s="48"/>
    </row>
    <row r="772">
      <c r="C772" s="48"/>
    </row>
    <row r="773">
      <c r="C773" s="48"/>
    </row>
    <row r="774">
      <c r="C774" s="48"/>
    </row>
    <row r="775">
      <c r="C775" s="48"/>
    </row>
    <row r="776">
      <c r="C776" s="48"/>
    </row>
    <row r="777">
      <c r="C777" s="48"/>
    </row>
    <row r="778">
      <c r="C778" s="48"/>
    </row>
    <row r="779">
      <c r="C779" s="48"/>
    </row>
    <row r="780">
      <c r="C780" s="48"/>
    </row>
    <row r="781">
      <c r="C781" s="48"/>
    </row>
    <row r="782">
      <c r="C782" s="48"/>
    </row>
    <row r="783">
      <c r="C783" s="48"/>
    </row>
    <row r="784">
      <c r="C784" s="48"/>
    </row>
    <row r="785">
      <c r="C785" s="48"/>
    </row>
    <row r="786">
      <c r="C786" s="48"/>
    </row>
    <row r="787">
      <c r="C787" s="48"/>
    </row>
    <row r="788">
      <c r="C788" s="48"/>
    </row>
    <row r="789">
      <c r="C789" s="48"/>
    </row>
    <row r="790">
      <c r="C790" s="48"/>
    </row>
    <row r="791">
      <c r="C791" s="48"/>
    </row>
    <row r="792">
      <c r="C792" s="48"/>
    </row>
    <row r="793">
      <c r="C793" s="48"/>
    </row>
    <row r="794">
      <c r="C794" s="48"/>
    </row>
    <row r="795">
      <c r="C795" s="48"/>
    </row>
    <row r="796">
      <c r="C796" s="48"/>
    </row>
    <row r="797">
      <c r="C797" s="48"/>
    </row>
    <row r="798">
      <c r="C798" s="48"/>
    </row>
    <row r="799">
      <c r="C799" s="48"/>
    </row>
    <row r="800">
      <c r="C800" s="48"/>
    </row>
    <row r="801">
      <c r="C801" s="48"/>
    </row>
    <row r="802">
      <c r="C802" s="48"/>
    </row>
    <row r="803">
      <c r="C803" s="48"/>
    </row>
    <row r="804">
      <c r="C804" s="48"/>
    </row>
    <row r="805">
      <c r="C805" s="48"/>
    </row>
    <row r="806">
      <c r="C806" s="48"/>
    </row>
    <row r="807">
      <c r="C807" s="48"/>
    </row>
    <row r="808">
      <c r="C808" s="48"/>
    </row>
    <row r="809">
      <c r="C809" s="48"/>
    </row>
    <row r="810">
      <c r="C810" s="48"/>
    </row>
    <row r="811">
      <c r="C811" s="48"/>
    </row>
    <row r="812">
      <c r="C812" s="48"/>
    </row>
    <row r="813">
      <c r="C813" s="48"/>
    </row>
    <row r="814">
      <c r="C814" s="48"/>
    </row>
    <row r="815">
      <c r="C815" s="48"/>
    </row>
    <row r="816">
      <c r="C816" s="48"/>
    </row>
    <row r="817">
      <c r="C817" s="48"/>
    </row>
    <row r="818">
      <c r="C818" s="48"/>
    </row>
    <row r="819">
      <c r="C819" s="48"/>
    </row>
    <row r="820">
      <c r="C820" s="48"/>
    </row>
    <row r="821">
      <c r="C821" s="48"/>
    </row>
    <row r="822">
      <c r="C822" s="48"/>
    </row>
    <row r="823">
      <c r="C823" s="48"/>
    </row>
    <row r="824">
      <c r="C824" s="48"/>
    </row>
    <row r="825">
      <c r="C825" s="48"/>
    </row>
    <row r="826">
      <c r="C826" s="48"/>
    </row>
    <row r="827">
      <c r="C827" s="48"/>
    </row>
    <row r="828">
      <c r="C828" s="48"/>
    </row>
    <row r="829">
      <c r="C829" s="48"/>
    </row>
    <row r="830">
      <c r="C830" s="48"/>
    </row>
    <row r="831">
      <c r="C831" s="48"/>
    </row>
    <row r="832">
      <c r="C832" s="48"/>
    </row>
    <row r="833">
      <c r="C833" s="48"/>
    </row>
    <row r="834">
      <c r="C834" s="48"/>
    </row>
    <row r="835">
      <c r="C835" s="48"/>
    </row>
    <row r="836">
      <c r="C836" s="48"/>
    </row>
    <row r="837">
      <c r="C837" s="48"/>
    </row>
    <row r="838">
      <c r="C838" s="48"/>
    </row>
    <row r="839">
      <c r="C839" s="48"/>
    </row>
    <row r="840">
      <c r="C840" s="48"/>
    </row>
    <row r="841">
      <c r="C841" s="48"/>
    </row>
    <row r="842">
      <c r="C842" s="48"/>
    </row>
    <row r="843">
      <c r="C843" s="48"/>
    </row>
    <row r="844">
      <c r="C844" s="48"/>
    </row>
    <row r="845">
      <c r="C845" s="48"/>
    </row>
    <row r="846">
      <c r="C846" s="48"/>
    </row>
    <row r="847">
      <c r="C847" s="48"/>
    </row>
    <row r="848">
      <c r="C848" s="48"/>
    </row>
    <row r="849">
      <c r="C849" s="48"/>
    </row>
    <row r="850">
      <c r="C850" s="48"/>
    </row>
    <row r="851">
      <c r="C851" s="48"/>
    </row>
    <row r="852">
      <c r="C852" s="48"/>
    </row>
    <row r="853">
      <c r="C853" s="48"/>
    </row>
    <row r="854">
      <c r="C854" s="48"/>
    </row>
    <row r="855">
      <c r="C855" s="48"/>
    </row>
    <row r="856">
      <c r="C856" s="48"/>
    </row>
    <row r="857">
      <c r="C857" s="48"/>
    </row>
    <row r="858">
      <c r="C858" s="48"/>
    </row>
    <row r="859">
      <c r="C859" s="48"/>
    </row>
    <row r="860">
      <c r="C860" s="48"/>
    </row>
    <row r="861">
      <c r="C861" s="48"/>
    </row>
    <row r="862">
      <c r="C862" s="48"/>
    </row>
    <row r="863">
      <c r="C863" s="48"/>
    </row>
    <row r="864">
      <c r="C864" s="48"/>
    </row>
    <row r="865">
      <c r="C865" s="48"/>
    </row>
    <row r="866">
      <c r="C866" s="48"/>
    </row>
    <row r="867">
      <c r="C867" s="48"/>
    </row>
    <row r="868">
      <c r="C868" s="48"/>
    </row>
    <row r="869">
      <c r="C869" s="48"/>
    </row>
    <row r="870">
      <c r="C870" s="48"/>
    </row>
    <row r="871">
      <c r="C871" s="48"/>
    </row>
    <row r="872">
      <c r="C872" s="48"/>
    </row>
    <row r="873">
      <c r="C873" s="48"/>
    </row>
    <row r="874">
      <c r="C874" s="48"/>
    </row>
    <row r="875">
      <c r="C875" s="48"/>
    </row>
    <row r="876">
      <c r="C876" s="48"/>
    </row>
    <row r="877">
      <c r="C877" s="48"/>
    </row>
    <row r="878">
      <c r="C878" s="48"/>
    </row>
    <row r="879">
      <c r="C879" s="48"/>
    </row>
    <row r="880">
      <c r="C880" s="48"/>
    </row>
    <row r="881">
      <c r="C881" s="48"/>
    </row>
    <row r="882">
      <c r="C882" s="48"/>
    </row>
    <row r="883">
      <c r="C883" s="48"/>
    </row>
    <row r="884">
      <c r="C884" s="48"/>
    </row>
    <row r="885">
      <c r="C885" s="48"/>
    </row>
    <row r="886">
      <c r="C886" s="48"/>
    </row>
    <row r="887">
      <c r="C887" s="48"/>
    </row>
    <row r="888">
      <c r="C888" s="48"/>
    </row>
    <row r="889">
      <c r="C889" s="48"/>
    </row>
    <row r="890">
      <c r="C890" s="48"/>
    </row>
    <row r="891">
      <c r="C891" s="48"/>
    </row>
    <row r="892">
      <c r="C892" s="48"/>
    </row>
    <row r="893">
      <c r="C893" s="48"/>
    </row>
    <row r="894">
      <c r="C894" s="48"/>
    </row>
    <row r="895">
      <c r="C895" s="48"/>
    </row>
    <row r="896">
      <c r="C896" s="48"/>
    </row>
    <row r="897">
      <c r="C897" s="48"/>
    </row>
    <row r="898">
      <c r="C898" s="48"/>
    </row>
    <row r="899">
      <c r="C899" s="48"/>
    </row>
    <row r="900">
      <c r="C900" s="48"/>
    </row>
    <row r="901">
      <c r="C901" s="48"/>
    </row>
    <row r="902">
      <c r="C902" s="48"/>
    </row>
    <row r="903">
      <c r="C903" s="48"/>
    </row>
    <row r="904">
      <c r="C904" s="48"/>
    </row>
    <row r="905">
      <c r="C905" s="48"/>
    </row>
    <row r="906">
      <c r="C906" s="48"/>
    </row>
    <row r="907">
      <c r="C907" s="48"/>
    </row>
    <row r="908">
      <c r="C908" s="48"/>
    </row>
    <row r="909">
      <c r="C909" s="48"/>
    </row>
    <row r="910">
      <c r="C910" s="48"/>
    </row>
    <row r="911">
      <c r="C911" s="48"/>
    </row>
    <row r="912">
      <c r="C912" s="48"/>
    </row>
    <row r="913">
      <c r="C913" s="48"/>
    </row>
    <row r="914">
      <c r="C914" s="48"/>
    </row>
    <row r="915">
      <c r="C915" s="48"/>
    </row>
    <row r="916">
      <c r="C916" s="48"/>
    </row>
    <row r="917">
      <c r="C917" s="48"/>
    </row>
    <row r="918">
      <c r="C918" s="48"/>
    </row>
    <row r="919">
      <c r="C919" s="48"/>
    </row>
    <row r="920">
      <c r="C920" s="48"/>
    </row>
    <row r="921">
      <c r="C921" s="48"/>
    </row>
    <row r="922">
      <c r="C922" s="48"/>
    </row>
    <row r="923">
      <c r="C923" s="48"/>
    </row>
    <row r="924">
      <c r="C924" s="48"/>
    </row>
    <row r="925">
      <c r="C925" s="48"/>
    </row>
    <row r="926">
      <c r="C926" s="48"/>
    </row>
    <row r="927">
      <c r="C927" s="48"/>
    </row>
    <row r="928">
      <c r="C928" s="48"/>
    </row>
    <row r="929">
      <c r="C929" s="48"/>
    </row>
    <row r="930">
      <c r="C930" s="48"/>
    </row>
    <row r="931">
      <c r="C931" s="48"/>
    </row>
    <row r="932">
      <c r="C932" s="48"/>
    </row>
    <row r="933">
      <c r="C933" s="48"/>
    </row>
    <row r="934">
      <c r="C934" s="48"/>
    </row>
    <row r="935">
      <c r="C935" s="48"/>
    </row>
    <row r="936">
      <c r="C936" s="48"/>
    </row>
    <row r="937">
      <c r="C937" s="48"/>
    </row>
    <row r="938">
      <c r="C938" s="48"/>
    </row>
    <row r="939">
      <c r="C939" s="48"/>
    </row>
    <row r="940">
      <c r="C940" s="48"/>
    </row>
    <row r="941">
      <c r="C941" s="48"/>
    </row>
    <row r="942">
      <c r="C942" s="48"/>
    </row>
    <row r="943">
      <c r="C943" s="48"/>
    </row>
    <row r="944">
      <c r="C944" s="48"/>
    </row>
    <row r="945">
      <c r="C945" s="48"/>
    </row>
    <row r="946">
      <c r="C946" s="48"/>
    </row>
    <row r="947">
      <c r="C947" s="48"/>
    </row>
    <row r="948">
      <c r="C948" s="48"/>
    </row>
    <row r="949">
      <c r="C949" s="48"/>
    </row>
    <row r="950">
      <c r="C950" s="48"/>
    </row>
    <row r="951">
      <c r="C951" s="48"/>
    </row>
    <row r="952">
      <c r="C952" s="48"/>
    </row>
    <row r="953">
      <c r="C953" s="48"/>
    </row>
    <row r="954">
      <c r="C954" s="48"/>
    </row>
    <row r="955">
      <c r="C955" s="48"/>
    </row>
    <row r="956">
      <c r="C956" s="48"/>
    </row>
    <row r="957">
      <c r="C957" s="48"/>
    </row>
    <row r="958">
      <c r="C958" s="48"/>
    </row>
    <row r="959">
      <c r="C959" s="48"/>
    </row>
    <row r="960">
      <c r="C960" s="48"/>
    </row>
    <row r="961">
      <c r="C961" s="48"/>
    </row>
    <row r="962">
      <c r="C962" s="48"/>
    </row>
    <row r="963">
      <c r="C963" s="48"/>
    </row>
    <row r="964">
      <c r="C964" s="48"/>
    </row>
    <row r="965">
      <c r="C965" s="48"/>
    </row>
    <row r="966">
      <c r="C966" s="48"/>
    </row>
    <row r="967">
      <c r="C967" s="48"/>
    </row>
    <row r="968">
      <c r="C968" s="48"/>
    </row>
    <row r="969">
      <c r="C969" s="48"/>
    </row>
    <row r="970">
      <c r="C970" s="48"/>
    </row>
    <row r="971">
      <c r="C971" s="48"/>
    </row>
    <row r="972">
      <c r="C972" s="48"/>
    </row>
    <row r="973">
      <c r="C973" s="48"/>
    </row>
    <row r="974">
      <c r="C974" s="48"/>
    </row>
    <row r="975">
      <c r="C975" s="48"/>
    </row>
    <row r="976">
      <c r="C976" s="48"/>
    </row>
    <row r="977">
      <c r="C977" s="48"/>
    </row>
    <row r="978">
      <c r="C978" s="48"/>
    </row>
    <row r="979">
      <c r="C979" s="48"/>
    </row>
  </sheetData>
  <mergeCells count="1">
    <mergeCell ref="C15:G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477</v>
      </c>
      <c r="B1" s="4" t="s">
        <v>478</v>
      </c>
      <c r="C1" s="4" t="s">
        <v>479</v>
      </c>
      <c r="D1" s="4" t="s">
        <v>480</v>
      </c>
      <c r="E1" s="4" t="s">
        <v>481</v>
      </c>
    </row>
  </sheetData>
  <drawing r:id="rId1"/>
</worksheet>
</file>